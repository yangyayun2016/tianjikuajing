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6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7.xml" ContentType="application/vnd.openxmlformats-officedocument.spreadsheetml.comments+xml"/>
  <Override PartName="/xl/worksheets/sheet27.xml" ContentType="application/vnd.openxmlformats-officedocument.spreadsheetml.worksheet+xml"/>
  <Override PartName="/xl/comments8.xml" ContentType="application/vnd.openxmlformats-officedocument.spreadsheetml.comments+xml"/>
  <Override PartName="/xl/worksheets/sheet28.xml" ContentType="application/vnd.openxmlformats-officedocument.spreadsheetml.worksheet+xml"/>
  <Override PartName="/xl/comments9.xml" ContentType="application/vnd.openxmlformats-officedocument.spreadsheetml.comments+xml"/>
  <Override PartName="/xl/worksheets/sheet29.xml" ContentType="application/vnd.openxmlformats-officedocument.spreadsheetml.worksheet+xml"/>
  <Override PartName="/xl/comments10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日常跟踪表 DE" sheetId="2" r:id="rId5"/>
    <sheet name="日常跟踪表 FR" sheetId="3" r:id="rId6"/>
    <sheet name="SC定价表" sheetId="4" r:id="rId7"/>
    <sheet name="VC定价表" sheetId="5" r:id="rId8"/>
    <sheet name="欧洲测评总表格" sheetId="6" r:id="rId9"/>
    <sheet name="目标&amp;经营分析" sheetId="7" r:id="rId10"/>
    <sheet name="目标&amp;经营分析表-旧" sheetId="8" r:id="rId11" state="hidden"/>
    <sheet name="德国ERP数据" sheetId="9" r:id="rId12"/>
    <sheet name="法国ERP数据" sheetId="10" r:id="rId13"/>
    <sheet name="意大利ERP数据" sheetId="11" r:id="rId14"/>
    <sheet name="西班牙ERP数据" sheetId="12" r:id="rId15"/>
    <sheet name="日常跟踪表 IT" sheetId="13" r:id="rId16"/>
    <sheet name="日常跟踪表 ES" sheetId="14" r:id="rId17"/>
    <sheet name="Coupon" sheetId="15" r:id="rId18"/>
    <sheet name="采购计划" sheetId="16" r:id="rId19"/>
    <sheet name="活动排期核算" sheetId="17" r:id="rId20"/>
    <sheet name="差评记录" sheetId="18" r:id="rId21"/>
    <sheet name="刷单节奏" sheetId="19" r:id="rId22"/>
    <sheet name="绿标节奏跟进表" sheetId="20" r:id="rId23"/>
    <sheet name="站外-节奏跟进表" sheetId="21" r:id="rId24"/>
    <sheet name="红人促销（站外）" sheetId="22" r:id="rId25"/>
    <sheet name="红人促销（站内）" sheetId="23" r:id="rId26"/>
    <sheet name="备货计划表" sheetId="24" r:id="rId27"/>
    <sheet name="库存监控表" sheetId="25" r:id="rId28"/>
    <sheet name="德国测评表" sheetId="26" r:id="rId29"/>
    <sheet name="法国测评表" sheetId="27" r:id="rId30"/>
    <sheet name="意大利测评" sheetId="28" r:id="rId31"/>
    <sheet name="西班牙测评" sheetId="29" r:id="rId32"/>
    <sheet name="欧洲VC毛利测算" sheetId="30" r:id="rId33"/>
    <sheet name="欧洲SC毛利测算" sheetId="31" r:id="rId34"/>
    <sheet name="阶段盈亏全部数据" sheetId="32" r:id="rId3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7" authorId="0" shapeId="0" xr:uid="{11bc1ef4-4a70-45a3-8aea-ab5e8045f123}">
      <text>
        <r>
          <rPr>
            <b val="true"/>
            <i val="false"/>
            <strike val="false"/>
            <sz val="9"/>
            <color rgb="FF000000"/>
          </rPr>
          <t>Administrator:</t>
        </r>
        <r>
          <rPr>
            <b val="false"/>
            <i val="false"/>
            <strike val="false"/>
            <sz val="9"/>
            <color rgb="FF000000"/>
          </rPr>
          <t xml:space="preserve">
FBA费用5.69 EU 吸尘器：彩盒-33.5*26.5*25cm/2.3KG                         外箱 4台装   36.5*56*53cm/10KG
， 每件商品的月度仓储费   0.61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5204fcd5-628a-465b-a707-7c13d32c3ec7}">
      <text>
        <r>
          <rPr>
            <b val="false"/>
            <i val="false"/>
            <strike val="false"/>
            <sz val="12"/>
            <color rgb="FF000000"/>
          </rPr>
          <t>买家支付金额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e06f7211-a43c-4a36-a580-d0a60caf470f}">
      <text>
        <r>
          <rPr>
            <b val="false"/>
            <i val="false"/>
            <strike val="false"/>
            <sz val="12"/>
            <color rgb="FF000000"/>
          </rPr>
          <t xml:space="preserve">绿色、蓝色手工填写
黄色公式</t>
        </r>
      </text>
    </comment>
    <comment ref="B6" authorId="0" shapeId="0" xr:uid="{b3e8706e-01b6-4abc-be20-0002a15ff672}">
      <text>
        <r>
          <rPr>
            <b val="false"/>
            <i val="false"/>
            <strike val="false"/>
            <sz val="9"/>
            <color rgb="FF000000"/>
          </rPr>
          <t xml:space="preserve">DE 97.99 FR IT ES 99.99</t>
        </r>
      </text>
    </comment>
    <comment ref="B7" authorId="0" shapeId="0" xr:uid="{d08a43cd-7bc6-42ec-8687-8c794aeacb48}">
      <text>
        <r>
          <rPr>
            <b val="false"/>
            <i val="false"/>
            <strike val="false"/>
            <sz val="9"/>
            <color rgb="FF000000"/>
          </rPr>
          <t>COUPON:5-10%</t>
        </r>
      </text>
    </comment>
    <comment ref="D7" authorId="0" shapeId="0" xr:uid="{d1edaf93-82bd-4217-8f8c-b694733ecb38}">
      <text>
        <r>
          <rPr>
            <b val="false"/>
            <i val="false"/>
            <strike val="false"/>
            <sz val="12"/>
            <color rgb="FF000000"/>
          </rPr>
          <t>划线价能否出来</t>
        </r>
      </text>
    </comment>
    <comment ref="D10" authorId="0" shapeId="0" xr:uid="{e18ab69b-06b0-4a35-8c07-f18467858cd9}">
      <text>
        <r>
          <rPr>
            <b val="false"/>
            <i val="false"/>
            <strike val="false"/>
            <sz val="9"/>
            <color rgb="FF000000"/>
          </rPr>
          <t>32个绿标</t>
        </r>
      </text>
    </comment>
    <comment ref="D11" authorId="0" shapeId="0" xr:uid="{94dddcfb-753c-4f08-bdef-c6bcde21b0cf}">
      <text>
        <r>
          <rPr>
            <b val="false"/>
            <i val="false"/>
            <strike val="false"/>
            <sz val="9"/>
            <color rgb="FF000000"/>
          </rPr>
          <t>5个绿标</t>
        </r>
      </text>
    </comment>
    <comment ref="D12" authorId="0" shapeId="0" xr:uid="{1f186efa-969f-4cdb-83f7-f922e420aaf5}">
      <text>
        <r>
          <rPr>
            <b val="false"/>
            <i val="false"/>
            <strike val="false"/>
            <sz val="9"/>
            <color rgb="FF000000"/>
          </rPr>
          <t xml:space="preserve">VINE:DE-10 FR-2 IT-10 ES-10
留评:DE-1 FR-1 IT-1 ES-1
留评:IT-1 ES-1
</t>
        </r>
      </text>
    </comment>
    <comment ref="E12" authorId="0" shapeId="0" xr:uid="{fba06abe-b4c5-42d2-ae6d-6879297ed79c}">
      <text>
        <r>
          <rPr>
            <b val="false"/>
            <i val="false"/>
            <strike val="false"/>
            <sz val="9"/>
            <color rgb="FF000000"/>
          </rPr>
          <t xml:space="preserve">28单 
定制：DE-1 FR-1 IT-1 ES-1
留评：IT-1 ES-1</t>
        </r>
      </text>
    </comment>
    <comment ref="F12" authorId="0" shapeId="0" xr:uid="{e5929bc9-41f6-4f9e-b410-8fa7456b2740}">
      <text>
        <r>
          <rPr>
            <b val="false"/>
            <i val="false"/>
            <strike val="false"/>
            <sz val="9"/>
            <color rgb="FF000000"/>
          </rPr>
          <t xml:space="preserve">29单
留评：DE-2 FR-2 IT-1 ES-1 
广告+自然：14</t>
        </r>
      </text>
    </comment>
    <comment ref="G12" authorId="0" shapeId="0" xr:uid="{1ddff633-fd39-4762-96f8-8472c3c37e2c}">
      <text>
        <r>
          <rPr>
            <b val="false"/>
            <i val="false"/>
            <strike val="false"/>
            <sz val="9"/>
            <color rgb="FF000000"/>
          </rPr>
          <t xml:space="preserve">33
广告+自然-21
留评:DE-1 FR-1
免评：1</t>
        </r>
      </text>
    </comment>
    <comment ref="H12" authorId="0" shapeId="0" xr:uid="{08c11235-3109-4559-82dc-2e9c35a9afbe}">
      <text>
        <r>
          <rPr>
            <b val="false"/>
            <i val="false"/>
            <strike val="false"/>
            <sz val="9"/>
            <color rgb="FF000000"/>
          </rPr>
          <t xml:space="preserve">40单
广告+自然-25
留评:IT-1 ES-1 
免评：1</t>
        </r>
      </text>
    </comment>
    <comment ref="I12" authorId="0" shapeId="0" xr:uid="{9e86aee9-bb03-41f2-9151-69277b487495}">
      <text>
        <r>
          <rPr>
            <b val="false"/>
            <i val="false"/>
            <strike val="false"/>
            <sz val="9"/>
            <color rgb="FF000000"/>
          </rPr>
          <t xml:space="preserve">广告+自然-50
留评:DE-1 FR-1
免评：1</t>
        </r>
      </text>
    </comment>
    <comment ref="J12" authorId="0" shapeId="0" xr:uid="{ce112d24-18e5-4024-8288-51331c98359b}">
      <text>
        <r>
          <rPr>
            <b val="false"/>
            <i val="false"/>
            <strike val="false"/>
            <sz val="9"/>
            <color rgb="FF000000"/>
          </rPr>
          <t xml:space="preserve">测评：DE-1 FR-1</t>
        </r>
      </text>
    </comment>
    <comment ref="C13" authorId="0" shapeId="0" xr:uid="{2d534f45-9460-427b-9c0f-61d91e3f7d20}">
      <text>
        <r>
          <rPr>
            <b val="false"/>
            <i val="false"/>
            <strike val="false"/>
            <sz val="9"/>
            <color rgb="FF000000"/>
          </rPr>
          <t xml:space="preserve">VINE-26
测评-2</t>
        </r>
      </text>
    </comment>
    <comment ref="C26" authorId="0" shapeId="0" xr:uid="{c9dce42c-3f8e-47c3-90f3-4866397aada9}">
      <text>
        <r>
          <rPr>
            <b val="false"/>
            <i val="false"/>
            <strike val="false"/>
            <sz val="9"/>
            <color rgb="FF000000"/>
          </rPr>
          <t>直评-1</t>
        </r>
      </text>
    </comment>
    <comment ref="D26" authorId="0" shapeId="0" xr:uid="{53aacab3-b523-40a3-a61d-fa0cd337854d}">
      <text>
        <r>
          <rPr>
            <b val="false"/>
            <i val="false"/>
            <strike val="false"/>
            <sz val="9"/>
            <color rgb="FF000000"/>
          </rPr>
          <t>直评-3</t>
        </r>
      </text>
    </comment>
    <comment ref="C27" authorId="0" shapeId="0" xr:uid="{debcb3e3-f53f-4088-af75-c32480237203}">
      <text>
        <r>
          <rPr>
            <b val="false"/>
            <i val="false"/>
            <strike val="false"/>
            <sz val="9"/>
            <color rgb="FF000000"/>
          </rPr>
          <t xml:space="preserve">直评4
绿标26
测评2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81dae3c0-c158-4cca-824c-f7e6b8bd4cb7}">
      <text>
        <r>
          <rPr>
            <b val="true"/>
            <i val="false"/>
            <strike val="false"/>
            <sz val="9"/>
            <color rgb="FF000000"/>
          </rPr>
          <t>Administrator:</t>
        </r>
        <r>
          <rPr>
            <b val="false"/>
            <i val="false"/>
            <strike val="false"/>
            <sz val="9"/>
            <color rgb="FF000000"/>
          </rPr>
          <t xml:space="preserve">
VINE 绿标 销量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62" authorId="0" shapeId="0" xr:uid="{28871716-20c9-4cc0-913e-418e1e60b604}">
      <text>
        <r>
          <rPr>
            <b val="false"/>
            <i val="false"/>
            <strike val="false"/>
            <sz val="9"/>
            <color rgb="FF000000"/>
          </rPr>
          <t xml:space="preserve">汇总 这一行不编辑，增加行 插入就行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3f1bd467-c3d5-4b59-bf23-5b3a19b880a6}">
      <text>
        <r>
          <rPr>
            <b val="false"/>
            <i val="false"/>
            <strike val="false"/>
            <sz val="12"/>
            <color rgb="FF000000"/>
          </rPr>
          <t>开始/结束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1698a427-9ee3-4b9c-879f-62e9fad5f729}">
      <text>
        <r>
          <rPr>
            <b val="false"/>
            <i val="false"/>
            <strike val="false"/>
            <sz val="12"/>
            <color rgb="FF000000"/>
          </rPr>
          <t>买家支付金额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c8bb8f5e-d0dc-455c-a0f3-c6adfc10398c}">
      <text>
        <r>
          <rPr>
            <b val="false"/>
            <i val="false"/>
            <strike val="false"/>
            <sz val="12"/>
            <color rgb="FF000000"/>
          </rPr>
          <t>买家支付金额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cee59b4c-1a40-4caf-94e5-917b4be33e40}">
      <text>
        <r>
          <rPr>
            <b val="false"/>
            <i val="false"/>
            <strike val="false"/>
            <sz val="12"/>
            <color rgb="FF000000"/>
          </rPr>
          <t>买家支付金额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2b71ce32-55d5-4095-9cdc-c527a1181a30}">
      <text>
        <r>
          <rPr>
            <b val="false"/>
            <i val="false"/>
            <strike val="false"/>
            <sz val="12"/>
            <color rgb="FF000000"/>
          </rPr>
          <t>买家支付金额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<sst xmlns="http://schemas.openxmlformats.org/spreadsheetml/2006/main" count="1898" uniqueCount="1898">
  <si>
    <t xml:space="preserve">  </t>
  </si>
  <si>
    <t xml:space="preserve">时间</t>
  </si>
  <si>
    <t xml:space="preserve">星期</t>
  </si>
  <si>
    <t xml:space="preserve">工作内容</t>
  </si>
  <si>
    <t xml:space="preserve">售价</t>
  </si>
  <si>
    <t xml:space="preserve">PD</t>
  </si>
  <si>
    <t xml:space="preserve">划线价
折扣</t>
  </si>
  <si>
    <t xml:space="preserve">CP</t>
  </si>
  <si>
    <t xml:space="preserve">最低
成交价</t>
  </si>
  <si>
    <t xml:space="preserve">SC最低
成交价毛利率</t>
  </si>
  <si>
    <t xml:space="preserve">VC采购价毛利率</t>
  </si>
  <si>
    <t xml:space="preserve">移动</t>
  </si>
  <si>
    <t xml:space="preserve">PC</t>
  </si>
  <si>
    <t xml:space="preserve">访问</t>
  </si>
  <si>
    <t xml:space="preserve">总转化率</t>
  </si>
  <si>
    <t xml:space="preserve">实际自然订单</t>
  </si>
  <si>
    <t xml:space="preserve">自然订单（除测评、站外）</t>
  </si>
  <si>
    <t xml:space="preserve">总订单</t>
  </si>
  <si>
    <t xml:space="preserve">VC订单</t>
  </si>
  <si>
    <t xml:space="preserve">B2B订单</t>
  </si>
  <si>
    <t xml:space="preserve">测评计划出单</t>
  </si>
  <si>
    <t xml:space="preserve">测评总出单</t>
  </si>
  <si>
    <t xml:space="preserve">测评完成率</t>
  </si>
  <si>
    <t xml:space="preserve">Vine</t>
  </si>
  <si>
    <t xml:space="preserve">销售额</t>
  </si>
  <si>
    <t xml:space="preserve">核心词ABA排名</t>
  </si>
  <si>
    <t xml:space="preserve">sif前三页关键词收录数量</t>
  </si>
  <si>
    <t xml:space="preserve">大类排名</t>
  </si>
  <si>
    <t xml:space="preserve">小类排名</t>
  </si>
  <si>
    <t xml:space="preserve">评论</t>
  </si>
  <si>
    <t xml:space="preserve">评分</t>
  </si>
  <si>
    <t xml:space="preserve">广告数据</t>
  </si>
  <si>
    <t xml:space="preserve">毛利数据</t>
  </si>
  <si>
    <t xml:space="preserve">站外</t>
  </si>
  <si>
    <t xml:space="preserve">库存监控</t>
  </si>
  <si>
    <t xml:space="preserve">matratzenreiniger</t>
  </si>
  <si>
    <t xml:space="preserve">milbensauger</t>
  </si>
  <si>
    <t xml:space="preserve">milbensauger für matratzen</t>
  </si>
  <si>
    <t xml:space="preserve">milbensauger für matratzen testsieger</t>
  </si>
  <si>
    <t xml:space="preserve">曝光</t>
  </si>
  <si>
    <t xml:space="preserve">点击</t>
  </si>
  <si>
    <t xml:space="preserve">点击率</t>
  </si>
  <si>
    <t xml:space="preserve">订单</t>
  </si>
  <si>
    <t xml:space="preserve">CPC</t>
  </si>
  <si>
    <t xml:space="preserve">ACOS</t>
  </si>
  <si>
    <t xml:space="preserve">广告转化</t>
  </si>
  <si>
    <t xml:space="preserve">广告订单占比</t>
  </si>
  <si>
    <t xml:space="preserve">花费（$）</t>
  </si>
  <si>
    <t xml:space="preserve">广告花费占比</t>
  </si>
  <si>
    <t xml:space="preserve">CPA</t>
  </si>
  <si>
    <t xml:space="preserve">广告销售额</t>
  </si>
  <si>
    <t xml:space="preserve">广告销售额/店铺总销售额</t>
  </si>
  <si>
    <t xml:space="preserve">退款率</t>
  </si>
  <si>
    <t xml:space="preserve">广告订单毛利P1$</t>
  </si>
  <si>
    <t xml:space="preserve">自然订单毛利P1$</t>
  </si>
  <si>
    <t xml:space="preserve">总订单毛利P1$</t>
  </si>
  <si>
    <t xml:space="preserve">总订单毛利率P1</t>
  </si>
  <si>
    <t xml:space="preserve">国内总成本$</t>
  </si>
  <si>
    <t xml:space="preserve">回款金额</t>
  </si>
  <si>
    <t xml:space="preserve">测评亏损</t>
  </si>
  <si>
    <t xml:space="preserve">站外毛利$</t>
  </si>
  <si>
    <t xml:space="preserve">站外出单</t>
  </si>
  <si>
    <t xml:space="preserve">站外售价</t>
  </si>
  <si>
    <t xml:space="preserve">站外折扣</t>
  </si>
  <si>
    <t xml:space="preserve">自然流量</t>
  </si>
  <si>
    <t xml:space="preserve">自然转化</t>
  </si>
  <si>
    <t xml:space="preserve">VC仓库存</t>
  </si>
  <si>
    <t xml:space="preserve">海外仓库存</t>
  </si>
  <si>
    <t xml:space="preserve">总库存</t>
  </si>
  <si>
    <t xml:space="preserve">VC其他订单数</t>
  </si>
  <si>
    <t xml:space="preserve">备注</t>
  </si>
  <si>
    <t xml:space="preserve">星期一</t>
  </si>
  <si>
    <t xml:space="preserve">B0FNMBQFBC</t>
  </si>
  <si>
    <t xml:space="preserve">-</t>
  </si>
  <si>
    <t xml:space="preserve">/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</si>
  <si>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</si>
  <si>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</si>
  <si>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</si>
  <si>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</si>
  <si>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</si>
  <si>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</si>
  <si>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时间</t>
  </si>
  <si>
    <t xml:space="preserve">星期</t>
  </si>
  <si>
    <t xml:space="preserve">工作内容</t>
  </si>
  <si>
    <t xml:space="preserve">售价</t>
  </si>
  <si>
    <t xml:space="preserve">PD</t>
  </si>
  <si>
    <t xml:space="preserve">划线价
折扣</t>
  </si>
  <si>
    <t xml:space="preserve">CP</t>
  </si>
  <si>
    <t xml:space="preserve">最低
成交价</t>
  </si>
  <si>
    <t xml:space="preserve">SC最低
成交价毛利率</t>
  </si>
  <si>
    <t xml:space="preserve">VC采购价毛利率</t>
  </si>
  <si>
    <t xml:space="preserve">移动</t>
  </si>
  <si>
    <t xml:space="preserve">PC</t>
  </si>
  <si>
    <t xml:space="preserve">访问</t>
  </si>
  <si>
    <t xml:space="preserve">总转化率</t>
  </si>
  <si>
    <t xml:space="preserve">实际自然订单</t>
  </si>
  <si>
    <t xml:space="preserve">自然订单</t>
  </si>
  <si>
    <t xml:space="preserve">总订单</t>
  </si>
  <si>
    <t xml:space="preserve">VC订单</t>
  </si>
  <si>
    <t xml:space="preserve">B2B订单</t>
  </si>
  <si>
    <t xml:space="preserve">测评计划出单</t>
  </si>
  <si>
    <t xml:space="preserve">测评总出单</t>
  </si>
  <si>
    <t xml:space="preserve">测评完成率</t>
  </si>
  <si>
    <t xml:space="preserve">Vine</t>
  </si>
  <si>
    <t xml:space="preserve">销售额</t>
  </si>
  <si>
    <t xml:space="preserve">核心词ABA排名</t>
  </si>
  <si>
    <t xml:space="preserve">sif前三页关键词收录数量</t>
  </si>
  <si>
    <t xml:space="preserve">大类排名</t>
  </si>
  <si>
    <t xml:space="preserve">小类排名</t>
  </si>
  <si>
    <t xml:space="preserve">评论数</t>
  </si>
  <si>
    <t xml:space="preserve">评分</t>
  </si>
  <si>
    <t xml:space="preserve">广告数据</t>
  </si>
  <si>
    <t xml:space="preserve">毛利数据</t>
  </si>
  <si>
    <t xml:space="preserve">站外</t>
  </si>
  <si>
    <t xml:space="preserve">库存监控</t>
  </si>
  <si>
    <t xml:space="preserve">曝光</t>
  </si>
  <si>
    <t xml:space="preserve">点击</t>
  </si>
  <si>
    <t xml:space="preserve">点击率</t>
  </si>
  <si>
    <t xml:space="preserve">订单</t>
  </si>
  <si>
    <t xml:space="preserve">CPC</t>
  </si>
  <si>
    <t xml:space="preserve">ACOS</t>
  </si>
  <si>
    <t xml:space="preserve">广告转化</t>
  </si>
  <si>
    <t xml:space="preserve">广告订单占比</t>
  </si>
  <si>
    <t xml:space="preserve">花费（$）</t>
  </si>
  <si>
    <t xml:space="preserve">广告花费占比</t>
  </si>
  <si>
    <t xml:space="preserve">CPA</t>
  </si>
  <si>
    <t xml:space="preserve">广告销售额</t>
  </si>
  <si>
    <t xml:space="preserve">退款率</t>
  </si>
  <si>
    <t xml:space="preserve">广告订单毛利P1$</t>
  </si>
  <si>
    <t xml:space="preserve">自然订单毛利P1$</t>
  </si>
  <si>
    <t xml:space="preserve">总订单毛利P1$</t>
  </si>
  <si>
    <t xml:space="preserve">总订单毛利率P1</t>
  </si>
  <si>
    <t xml:space="preserve">国内总成本$</t>
  </si>
  <si>
    <t xml:space="preserve">回款金额</t>
  </si>
  <si>
    <t xml:space="preserve">测评亏损</t>
  </si>
  <si>
    <t xml:space="preserve">站外毛利$</t>
  </si>
  <si>
    <t xml:space="preserve">站外出单</t>
  </si>
  <si>
    <t xml:space="preserve">站外售价</t>
  </si>
  <si>
    <t xml:space="preserve">站外折扣</t>
  </si>
  <si>
    <t xml:space="preserve">自然流量</t>
  </si>
  <si>
    <t xml:space="preserve">自然转化</t>
  </si>
  <si>
    <t xml:space="preserve">VC仓库存</t>
  </si>
  <si>
    <t xml:space="preserve">海外仓库存</t>
  </si>
  <si>
    <t xml:space="preserve">总库存</t>
  </si>
  <si>
    <t xml:space="preserve">VC其他订单数</t>
  </si>
  <si>
    <t xml:space="preserve">备注</t>
  </si>
  <si>
    <t xml:space="preserve">星期一</t>
  </si>
  <si>
    <t xml:space="preserve">-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</si>
  <si>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</si>
  <si>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</si>
  <si>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</si>
  <si>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</si>
  <si>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</si>
  <si>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</si>
  <si>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VC活动价</t>
  </si>
  <si>
    <t xml:space="preserve">汇率</t>
  </si>
  <si>
    <t xml:space="preserve">报价比例</t>
  </si>
  <si>
    <t xml:space="preserve">售价欧元
含税</t>
  </si>
  <si>
    <t xml:space="preserve">售价欧元
不含税</t>
  </si>
  <si>
    <t xml:space="preserve">报价欧元
不含税</t>
  </si>
  <si>
    <t xml:space="preserve">采购价</t>
  </si>
  <si>
    <t xml:space="preserve">头程</t>
  </si>
  <si>
    <t xml:space="preserve">国内总成本</t>
  </si>
  <si>
    <t xml:space="preserve">装箱数量</t>
  </si>
  <si>
    <t xml:space="preserve">移仓费/个</t>
  </si>
  <si>
    <t xml:space="preserve">换标费
0/个</t>
  </si>
  <si>
    <t xml:space="preserve">入库费/箱/0/</t>
  </si>
  <si>
    <t xml:space="preserve">装箱费
/箱</t>
  </si>
  <si>
    <t xml:space="preserve">箱唛
0/张/箱</t>
  </si>
  <si>
    <t xml:space="preserve">出库费
0/箱</t>
  </si>
  <si>
    <t xml:space="preserve">二程运费
7.5/箱</t>
  </si>
  <si>
    <t xml:space="preserve">入库总费用</t>
  </si>
  <si>
    <t xml:space="preserve">入库单个费用rmb</t>
  </si>
  <si>
    <t xml:space="preserve">利润P0</t>
  </si>
  <si>
    <t xml:space="preserve">回款扣点</t>
  </si>
  <si>
    <t xml:space="preserve">广告费占比</t>
  </si>
  <si>
    <t xml:space="preserve">广告费</t>
  </si>
  <si>
    <t xml:space="preserve">活动促销比例</t>
  </si>
  <si>
    <t xml:space="preserve">活动促销/欧元</t>
  </si>
  <si>
    <t xml:space="preserve">最低活动价/欧元
不含税</t>
  </si>
  <si>
    <t xml:space="preserve">最低活动价/欧元
含税</t>
  </si>
  <si>
    <t xml:space="preserve">利润P3</t>
  </si>
  <si>
    <t xml:space="preserve">P1--VC</t>
  </si>
  <si>
    <t xml:space="preserve">P1--SC</t>
  </si>
  <si>
    <t xml:space="preserve">P3对应的投资回报率=P3/国内成本</t>
  </si>
  <si>
    <t xml:space="preserve">国内成本占比</t>
  </si>
  <si>
    <t xml:space="preserve">一期回款金额70%/美金</t>
  </si>
  <si>
    <t xml:space="preserve">一期回款毛利P2=回款-国内总成本-海外仓费用</t>
  </si>
  <si>
    <t xml:space="preserve">一期回款比例=一期回款/商品成本</t>
  </si>
  <si>
    <t xml:space="preserve">一期回款比例=一期回款/（国内+海外仓）</t>
  </si>
  <si>
    <t xml:space="preserve">一期投资回报=70^%部分的毛利/成本</t>
  </si>
  <si>
    <t xml:space="preserve">营销费/cost</t>
  </si>
  <si>
    <t xml:space="preserve">德国空净100卡航</t>
  </si>
  <si>
    <t xml:space="preserve">德国空净100铁路</t>
  </si>
  <si>
    <t xml:space="preserve">德国空净100海运</t>
  </si>
  <si>
    <t xml:space="preserve">SC站内推广</t>
  </si>
  <si>
    <t xml:space="preserve">国家</t>
  </si>
  <si>
    <t xml:space="preserve">国家代码</t>
  </si>
  <si>
    <t xml:space="preserve">有无VAT</t>
  </si>
  <si>
    <t xml:space="preserve">成本价(0边利)</t>
  </si>
  <si>
    <t xml:space="preserve">建议价(20%边利)</t>
  </si>
  <si>
    <t xml:space="preserve">实际定价</t>
  </si>
  <si>
    <t xml:space="preserve">FBA Fee</t>
  </si>
  <si>
    <t xml:space="preserve">佣金比例</t>
  </si>
  <si>
    <t xml:space="preserve">VAT</t>
  </si>
  <si>
    <t xml:space="preserve">预估退货率</t>
  </si>
  <si>
    <t xml:space="preserve">推广费率</t>
  </si>
  <si>
    <t xml:space="preserve">FBA仓储费</t>
  </si>
  <si>
    <t xml:space="preserve">其他费用</t>
  </si>
  <si>
    <t xml:space="preserve">长</t>
  </si>
  <si>
    <t xml:space="preserve">宽</t>
  </si>
  <si>
    <t xml:space="preserve">高</t>
  </si>
  <si>
    <t xml:space="preserve">包装后实重</t>
  </si>
  <si>
    <t xml:space="preserve">体积重</t>
  </si>
  <si>
    <t xml:space="preserve">计费重</t>
  </si>
  <si>
    <t xml:space="preserve">运输方式</t>
  </si>
  <si>
    <t xml:space="preserve">运费单价</t>
  </si>
  <si>
    <t xml:space="preserve">运费</t>
  </si>
  <si>
    <t xml:space="preserve">利润/欧元</t>
  </si>
  <si>
    <t xml:space="preserve">利润率/欧元</t>
  </si>
  <si>
    <t xml:space="preserve">德国空净100日常价走海运</t>
  </si>
  <si>
    <t xml:space="preserve">DE</t>
  </si>
  <si>
    <t xml:space="preserve">有</t>
  </si>
  <si>
    <t xml:space="preserve">海运</t>
  </si>
  <si>
    <t xml:space="preserve">德国空净100活动价走海运</t>
  </si>
  <si>
    <t xml:space="preserve">德国空净100最底价走海运</t>
  </si>
  <si>
    <t xml:space="preserve">德国空净100最底价走铁路</t>
  </si>
  <si>
    <t xml:space="preserve">铁路</t>
  </si>
  <si>
    <t xml:space="preserve">站外推广</t>
  </si>
  <si>
    <t xml:space="preserve">折扣力度</t>
  </si>
  <si>
    <t xml:space="preserve">除螨仪站外</t>
  </si>
  <si>
    <t xml:space="preserve">二程费用</t>
  </si>
  <si>
    <t xml:space="preserve">二程*销量占比</t>
  </si>
  <si>
    <t xml:space="preserve">佣金</t>
  </si>
  <si>
    <t xml:space="preserve">销量占比</t>
  </si>
  <si>
    <t xml:space="preserve">佣金*销量占比</t>
  </si>
  <si>
    <t xml:space="preserve">百分百-佣金，报价</t>
  </si>
  <si>
    <t xml:space="preserve">整箱</t>
  </si>
  <si>
    <t xml:space="preserve">单个产品</t>
  </si>
  <si>
    <t xml:space="preserve">Woot美国</t>
  </si>
  <si>
    <t xml:space="preserve">售价欧元</t>
  </si>
  <si>
    <t xml:space="preserve">报价欧元</t>
  </si>
  <si>
    <t xml:space="preserve">利润/RMB</t>
  </si>
  <si>
    <t xml:space="preserve">Woot利润率</t>
  </si>
  <si>
    <t xml:space="preserve">活动价</t>
  </si>
  <si>
    <t xml:space="preserve">德国DHL</t>
  </si>
  <si>
    <t xml:space="preserve">除螨仪</t>
  </si>
  <si>
    <t xml:space="preserve">/</t>
  </si>
  <si>
    <t xml:space="preserve">法国</t>
  </si>
  <si>
    <t xml:space="preserve">意大利</t>
  </si>
  <si>
    <t xml:space="preserve">西班牙</t>
  </si>
  <si>
    <t xml:space="preserve">波兰</t>
  </si>
  <si>
    <t xml:space="preserve">捷克</t>
  </si>
  <si>
    <t xml:space="preserve">英国</t>
  </si>
  <si>
    <t xml:space="preserve">V</t>
  </si>
  <si>
    <t xml:space="preserve">站点</t>
  </si>
  <si>
    <t xml:space="preserve">SKU</t>
  </si>
  <si>
    <t xml:space="preserve">ASIN</t>
  </si>
  <si>
    <t xml:space="preserve">产品名称</t>
  </si>
  <si>
    <t xml:space="preserve">Brand</t>
  </si>
  <si>
    <t xml:space="preserve">原PO售价
外币</t>
  </si>
  <si>
    <t xml:space="preserve">原建议售价(含税)
亚马逊售价-外币</t>
  </si>
  <si>
    <t xml:space="preserve">后台PO价</t>
  </si>
  <si>
    <t xml:space="preserve">对比
PO价</t>
  </si>
  <si>
    <t xml:space="preserve">PO售价
外币</t>
  </si>
  <si>
    <t xml:space="preserve">建议售价(含税)
亚马逊售价-外币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</si>
  <si>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</si>
  <si>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</si>
  <si>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</si>
  <si>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</si>
  <si>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</si>
  <si>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</si>
  <si>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二程外币</t>
  </si>
  <si>
    <t xml:space="preserve">装箱数</t>
  </si>
  <si>
    <t xml:space="preserve">汇率</t>
  </si>
  <si>
    <t xml:space="preserve">广告
占比</t>
  </si>
  <si>
    <t xml:space="preserve">前台广告
占比</t>
  </si>
  <si>
    <t xml:space="preserve">促销
占比</t>
  </si>
  <si>
    <t xml:space="preserve">其他
占比</t>
  </si>
  <si>
    <t xml:space="preserve">成本
占比</t>
  </si>
  <si>
    <t xml:space="preserve">尾程
占比</t>
  </si>
  <si>
    <t xml:space="preserve">佣金
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</si>
  <si>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</si>
  <si>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</si>
  <si>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</si>
  <si>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</si>
  <si>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</si>
  <si>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</si>
  <si>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
欧元</t>
  </si>
  <si>
    <t xml:space="preserve">采购占比</t>
  </si>
  <si>
    <t xml:space="preserve">头程占比</t>
  </si>
  <si>
    <t xml:space="preserve">头程 
RMB</t>
  </si>
  <si>
    <t xml:space="preserve">NET PPM</t>
  </si>
  <si>
    <t xml:space="preserve">说明</t>
  </si>
  <si>
    <t xml:space="preserve">2025年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</si>
  <si>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</si>
  <si>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</si>
  <si>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</si>
  <si>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</si>
  <si>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</si>
  <si>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</si>
  <si>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</si>
  <si>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</si>
  <si>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</si>
  <si>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</si>
  <si>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</si>
  <si>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</si>
  <si>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</si>
  <si>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</si>
  <si>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</si>
  <si>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</si>
  <si>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R0001UK</t>
  </si>
  <si>
    <t xml:space="preserve">B0F1F535PC</t>
  </si>
  <si>
    <t xml:space="preserve">空净100P英国灰色</t>
  </si>
  <si>
    <t xml:space="preserve">HYCHIKA</t>
  </si>
  <si>
    <t xml:space="preserve">(N2-J2+AE2-AC2)/N2</t>
  </si>
  <si>
    <t xml:space="preserve">UK是15.80%</t>
  </si>
  <si>
    <t xml:space="preserve">☆</t>
  </si>
  <si>
    <t xml:space="preserve">DE</t>
  </si>
  <si>
    <t xml:space="preserve">R0001EU</t>
  </si>
  <si>
    <t xml:space="preserve">B0F1F7J8V3</t>
  </si>
  <si>
    <t xml:space="preserve">空净100P德国灰色</t>
  </si>
  <si>
    <t xml:space="preserve">（建议售价
不含税外币-PO售价外币+佣金外币-促销外币）/建议售价
不含税外币</t>
  </si>
  <si>
    <t xml:space="preserve">DE是16.95%</t>
  </si>
  <si>
    <t xml:space="preserve">FR</t>
  </si>
  <si>
    <t xml:space="preserve">空净100P法国灰色</t>
  </si>
  <si>
    <t xml:space="preserve">(不含税MSRP-COST+佣金-促销)/不含税MSRP</t>
  </si>
  <si>
    <t xml:space="preserve">FR是19.80%</t>
  </si>
  <si>
    <t xml:space="preserve">IT</t>
  </si>
  <si>
    <t xml:space="preserve">空净100P意大利灰</t>
  </si>
  <si>
    <t xml:space="preserve">{(不含税MSRP-COST+COST*佣金占比-COST*促销占比)/不含税MSRP}</t>
  </si>
  <si>
    <t xml:space="preserve">IT是18.46%</t>
  </si>
  <si>
    <t xml:space="preserve">ES</t>
  </si>
  <si>
    <t xml:space="preserve">空净100P西班牙灰</t>
  </si>
  <si>
    <t xml:space="preserve">COST就是PO不含税售价 外币 不含税价</t>
  </si>
  <si>
    <t xml:space="preserve">ES是16.46%</t>
  </si>
  <si>
    <t xml:space="preserve">NL</t>
  </si>
  <si>
    <t xml:space="preserve">空净100P荷兰灰色</t>
  </si>
  <si>
    <t xml:space="preserve">NL是15.80%</t>
  </si>
  <si>
    <t xml:space="preserve">PL</t>
  </si>
  <si>
    <t xml:space="preserve">空净100P波兰灰色</t>
  </si>
  <si>
    <t xml:space="preserve">PL是15.80%</t>
  </si>
  <si>
    <t xml:space="preserve">SE</t>
  </si>
  <si>
    <t xml:space="preserve">空净100P瑞典灰色</t>
  </si>
  <si>
    <t xml:space="preserve">SE是22.30%</t>
  </si>
  <si>
    <t xml:space="preserve">BE</t>
  </si>
  <si>
    <t xml:space="preserve">空净100P比利时灰</t>
  </si>
  <si>
    <t xml:space="preserve">BE是15.80%</t>
  </si>
  <si>
    <t xml:space="preserve">AE</t>
  </si>
  <si>
    <t xml:space="preserve">空净100P AE时灰</t>
  </si>
  <si>
    <t xml:space="preserve">站点</t>
  </si>
  <si>
    <t xml:space="preserve">类别</t>
  </si>
  <si>
    <t xml:space="preserve">提交时间</t>
  </si>
  <si>
    <t xml:space="preserve">订单号</t>
  </si>
  <si>
    <t xml:space="preserve">订单价格</t>
  </si>
  <si>
    <t xml:space="preserve">返款比率</t>
  </si>
  <si>
    <t xml:space="preserve">佣金币种</t>
  </si>
  <si>
    <t xml:space="preserve">佣金价格</t>
  </si>
  <si>
    <t xml:space="preserve">备注</t>
  </si>
  <si>
    <t xml:space="preserve">下单日期</t>
  </si>
  <si>
    <t xml:space="preserve">回评时间</t>
  </si>
  <si>
    <t xml:space="preserve">星级</t>
  </si>
  <si>
    <t xml:space="preserve">reveiw链接</t>
  </si>
  <si>
    <t xml:space="preserve">删评时间</t>
  </si>
  <si>
    <t xml:space="preserve">ASIN</t>
  </si>
  <si>
    <t xml:space="preserve">品名</t>
  </si>
  <si>
    <t xml:space="preserve">订单编号</t>
  </si>
  <si>
    <t xml:space="preserve">订单日期</t>
  </si>
  <si>
    <t xml:space="preserve">店铺名称</t>
  </si>
  <si>
    <t xml:space="preserve">订单状态</t>
  </si>
  <si>
    <t xml:space="preserve">销售渠道</t>
  </si>
  <si>
    <t xml:space="preserve">国家</t>
  </si>
  <si>
    <t xml:space="preserve">单价</t>
  </si>
  <si>
    <t xml:space="preserve">订单金额</t>
  </si>
  <si>
    <t xml:space="preserve">发货日期</t>
  </si>
  <si>
    <t xml:space="preserve">德国</t>
  </si>
  <si>
    <t xml:space="preserve">直评</t>
  </si>
  <si>
    <t xml:space="preserve">-</t>
  </si>
  <si>
    <t xml:space="preserve">2025年5月25日评价于德国</t>
  </si>
  <si>
    <t xml:space="preserve">5星</t>
  </si>
  <si>
    <t/>
    <r>
      <rPr>
        <u val="single"/>
        <color theme="10"/>
      </rPr>
      <t>https://www.amazon.de/-/en/gp/customer-reviews/R2TXX03FE6F4KN/ref=cm_cr_arp_d_rvw_ttl?ie=UTF8&amp;ASIN=B0F1F7J8V3</t>
    </r>
  </si>
  <si>
    <t xml:space="preserve">B0F1F7J8V3</t>
  </si>
  <si>
    <t xml:space="preserve">德国除螨仪</t>
  </si>
  <si>
    <t xml:space="preserve">407-7914060-9458750</t>
  </si>
  <si>
    <t xml:space="preserve">XLN_EU_IT</t>
  </si>
  <si>
    <t xml:space="preserve">Pending</t>
  </si>
  <si>
    <t xml:space="preserve">Amazon.it</t>
  </si>
  <si>
    <t xml:space="preserve">意大利</t>
  </si>
  <si>
    <t xml:space="preserve">2025-6-10周二~2025-6-10周二</t>
  </si>
  <si>
    <t/>
    <r>
      <rPr/>
      <t>里程碑</t>
    </r>
    <r>
      <rPr>
        <b val="false"/>
        <i val="false"/>
        <strike val="false"/>
        <sz val="9"/>
        <color rgb="FF000000"/>
      </rPr>
      <t>（以欧元核算）</t>
    </r>
    <r>
      <rPr>
        <b val="false"/>
        <i val="false"/>
        <strike val="false"/>
        <sz val="9"/>
        <color rgb="FF000000"/>
      </rPr>
      <t>KJ</t>
    </r>
  </si>
  <si>
    <t/>
    <r>
      <rPr>
        <b val="false"/>
        <i val="false"/>
        <strike val="false"/>
        <sz val="10"/>
        <color rgb="FF000000"/>
      </rPr>
      <t>第一阶段（SC推广为主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>）</t>
    </r>
  </si>
  <si>
    <t/>
    <r>
      <rPr>
        <b val="false"/>
        <i val="false"/>
        <strike val="false"/>
        <sz val="10"/>
        <color rgb="FF000000"/>
      </rPr>
      <t xml:space="preserve">第二阶段（ po在途，SC/VC过渡期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>）</t>
    </r>
  </si>
  <si>
    <t/>
    <r>
      <rPr>
        <b val="false"/>
        <i val="false"/>
        <strike val="false"/>
        <sz val="10"/>
        <color rgb="FF000000"/>
      </rPr>
      <t xml:space="preserve">第三阶段（ VC主推 BD活动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>）</t>
    </r>
  </si>
  <si>
    <t/>
    <r>
      <rPr>
        <b val="false"/>
        <i val="false"/>
        <strike val="false"/>
        <sz val="10"/>
        <color rgb="FF000000"/>
      </rPr>
      <t xml:space="preserve">第四阶段（  VC主推 BD活动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 xml:space="preserve">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>）</t>
    </r>
  </si>
  <si>
    <t/>
    <r>
      <rPr>
        <b val="false"/>
        <i val="false"/>
        <strike val="false"/>
        <sz val="10"/>
        <color rgb="FF000000"/>
      </rPr>
      <t xml:space="preserve">第五阶段（  VC主推 BD活动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 xml:space="preserve">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>）</t>
    </r>
  </si>
  <si>
    <t/>
    <r>
      <rPr>
        <b val="false"/>
        <i val="false"/>
        <strike val="false"/>
        <sz val="10"/>
        <color rgb="FF000000"/>
      </rPr>
      <t xml:space="preserve">第六阶段（  VC主推 BD活动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 xml:space="preserve"> </t>
    </r>
    <r>
      <rPr>
        <b val="false"/>
        <i val="false"/>
        <strike val="false"/>
        <sz val="10"/>
        <color rgb="FF000000"/>
      </rPr>
      <t>‎</t>
    </r>
    <r>
      <rPr>
        <b val="false"/>
        <i val="false"/>
        <strike val="false"/>
        <sz val="10"/>
        <color rgb="FF000000"/>
      </rPr>
      <t>）</t>
    </r>
  </si>
  <si>
    <t xml:space="preserve">1. 此阶段为SC售卖，主要目的为完善listing基本面，同时刺激销量来PO单；
2. SC根据推广计划表备足1个月库存，同时VC根据预测销量8周备货量分批次发往海外仓；
3. SC根据以目标为主的运营端流程完善基本面，包括前期评论布局，关键词库建立，网红视频等；
4. 根据推广计划制定营销策略，以达到目标单量从而刺激VCPO来单；
5. 预估VC上架时间，提前至少23天提报BD，一次性把能报的都报上，后续可随时取消和调整；</t>
  </si>
  <si>
    <t xml:space="preserve">1. 后台关注货件入海外仓时间，提前预约入库，提醒仓库人员上架；
2. 一旦入库上架成功，及时通知Spotter业务开启PO接单；
3. 每周一和每周四关注PO来单情况，确认可用库存，24h内完成接单；
4. 关注货件实际提货时间，及实际运输时长及到仓时间；
5. VCPO库存一旦入仓，就会抢走SC购物车，但此时前台处于预售阶段，会影响转化，SC可尝试适当降低价格抢回购物车，降级幅度不得低于VC活动价；
6. 若第一周未来PO单，可同步创建手动订单刺激来PO，注意手动订单上架77天内未卖完会有罚款；</t>
  </si>
  <si>
    <t xml:space="preserve">1. 切换购物车到VC，重新在广告子账号开广告推广，由于广告权重清零，这期间广告效果波动较大，需要盯紧广告预算和转化，尽快调整到稳定的状态；
2. 现在BD时长为28天，中间间隔3天，然后又是28天BD，BD价格为报价的90%（大促及节假日折扣要求为85%）；
3. 根据销量预测，PO来单及现有库存情况及时补货；
4. SC库存保留半个月左右库存，在秒杀间隔期根据库存情况及时调整购物车，或及时从海外仓补货到FBA仓；
5. 关注库存转运及其他导致库存不可售等异常情况；</t>
  </si>
  <si>
    <t xml:space="preserve">1. 持续关注海外仓，VC亚马逊仓，国内到海外仓在途，海外仓到VC亚马逊仓在途库存情况，及时补货保证能接PO单，随时准备发手动订单刺激和补货PO库存；
2. 持续调整广告效果，保证VC亚马逊销量预测持续走高，保证PO单持续不断；
3. 关注库存转运及其他导致库存不可售等异常情况；
4. 关注链接BD状态，变体合并情况导致链接异常；
5. 因为转VC后，售后问题由亚马逊官方负责，需要持续关注客诉问题和每月退货情况变化，防止链接被下架；</t>
  </si>
  <si>
    <t xml:space="preserve">销售周期</t>
  </si>
  <si>
    <t xml:space="preserve">第一周</t>
  </si>
  <si>
    <t xml:space="preserve">第二周</t>
  </si>
  <si>
    <t xml:space="preserve">第三周</t>
  </si>
  <si>
    <t xml:space="preserve">第四周</t>
  </si>
  <si>
    <t xml:space="preserve">具体时间</t>
  </si>
  <si>
    <t xml:space="preserve">日期</t>
  </si>
  <si>
    <t xml:space="preserve">5.26-6.1</t>
  </si>
  <si>
    <t xml:space="preserve">6.2-6.8</t>
  </si>
  <si>
    <t xml:space="preserve">6.9-6.15</t>
  </si>
  <si>
    <t xml:space="preserve">6.16-6.22</t>
  </si>
  <si>
    <t xml:space="preserve">6.23-6.29</t>
  </si>
  <si>
    <t xml:space="preserve">6.30-7.6</t>
  </si>
  <si>
    <t xml:space="preserve">7.7-7.13</t>
  </si>
  <si>
    <t xml:space="preserve">7.14-7.20</t>
  </si>
  <si>
    <t xml:space="preserve">7.21-7.27</t>
  </si>
  <si>
    <t xml:space="preserve">7.28-8.3</t>
  </si>
  <si>
    <t xml:space="preserve">8.4-8.10</t>
  </si>
  <si>
    <t xml:space="preserve">8.11-8.17</t>
  </si>
  <si>
    <t xml:space="preserve">8.18-8.24</t>
  </si>
  <si>
    <t xml:space="preserve">8.25-8.31</t>
  </si>
  <si>
    <t xml:space="preserve">9.1-9.7</t>
  </si>
  <si>
    <t xml:space="preserve">9.8-9.14</t>
  </si>
  <si>
    <t xml:space="preserve">9.15-9.21</t>
  </si>
  <si>
    <t xml:space="preserve">9.22-9.28</t>
  </si>
  <si>
    <t xml:space="preserve">9.29-10.5</t>
  </si>
  <si>
    <t xml:space="preserve">10.6-10.12</t>
  </si>
  <si>
    <t xml:space="preserve">10.13-10.19</t>
  </si>
  <si>
    <t xml:space="preserve">10.20-10.26</t>
  </si>
  <si>
    <t xml:space="preserve">10.27-11.2</t>
  </si>
  <si>
    <t xml:space="preserve">11.3-11.9</t>
  </si>
  <si>
    <t xml:space="preserve">目标竞对</t>
  </si>
  <si>
    <t xml:space="preserve">竞对综合信息（附上链接）</t>
  </si>
  <si>
    <t xml:space="preserve">1. 竞对第一个月销量: 165-229
2.竞对第一个月结束时排名:从376-到了24，目前稳定在前20-30   129.99减38% 折后价79.99
3.竞对第一个月是否有参加站外,站外效果有多少倍: 没有站外  0倍无站外
4.竞对是否有woot等活动资格，跑活动时销量提升多少倍: 无
5.竞对链接：
https://www.amazon.de/dp/B0DKPGKSYS</t>
  </si>
  <si>
    <t xml:space="preserve">1.竞对第一个月销量:
2.竞对第一个月结束时排名:
3.竞对第一个月是否有参加站外,站外效果有多少倍: 是否有BD 7DD秒杀
4.竞对是否有woot等活动资格，跑活动时销量提升多少倍: 
5.竞对链接：
https://www.amazon.de/dp/B0DL5J6MK4</t>
  </si>
  <si>
    <t xml:space="preserve">1.竞对第一个月销量:
2.竞对第一个月结束时排名:
3.竞对第一个月是否有参加站外,站外效果有多少倍: 是否有BD 7DD秒杀
4.竞对是否有woot等活动资格，跑活动时销量提升多少倍: 
5.竞对链接：
https://www.amazon.de/dp/B0DQT1MKZ3</t>
  </si>
  <si>
    <t xml:space="preserve">售价</t>
  </si>
  <si>
    <t xml:space="preserve">销售定价（日常价）</t>
  </si>
  <si>
    <t xml:space="preserve">成交价
（活动价/促销价）</t>
  </si>
  <si>
    <t xml:space="preserve">产品排名</t>
  </si>
  <si>
    <t/>
    <r>
      <rPr>
        <b val="false"/>
        <i val="false"/>
        <strike val="false"/>
        <sz val="10"/>
        <color rgb="FF000000"/>
      </rPr>
      <t>目标排名</t>
    </r>
  </si>
  <si>
    <t/>
    <r>
      <rPr>
        <b val="false"/>
        <i val="false"/>
        <strike val="false"/>
        <sz val="10"/>
        <color rgb="FF000000"/>
      </rPr>
      <t>实际排名(取周均值)</t>
    </r>
  </si>
  <si>
    <t xml:space="preserve">销量</t>
  </si>
  <si>
    <t/>
    <r>
      <rPr>
        <b val="false"/>
        <i val="false"/>
        <strike val="false"/>
        <sz val="10"/>
        <color rgb="FF000000"/>
      </rPr>
      <t>目标总销售额</t>
    </r>
  </si>
  <si>
    <t/>
    <r>
      <rPr>
        <b val="false"/>
        <i val="false"/>
        <strike val="false"/>
        <sz val="10"/>
        <color rgb="FF000000"/>
      </rPr>
      <t>实际总销售额</t>
    </r>
  </si>
  <si>
    <t/>
    <r>
      <rPr>
        <b val="false"/>
        <i val="false"/>
        <strike val="false"/>
        <sz val="10"/>
        <color rgb="FF000000"/>
      </rPr>
      <t>目标总销量</t>
    </r>
  </si>
  <si>
    <t/>
    <r>
      <rPr>
        <b val="false"/>
        <i val="false"/>
        <strike val="false"/>
        <sz val="10"/>
        <color rgb="FF000000"/>
      </rPr>
      <t>实际总销量</t>
    </r>
  </si>
  <si>
    <t/>
    <r>
      <rPr>
        <b val="false"/>
        <i val="false"/>
        <strike val="false"/>
        <sz val="10"/>
        <color rgb="FF000000"/>
      </rPr>
      <t>目标日均</t>
    </r>
  </si>
  <si>
    <t xml:space="preserve">实际日均</t>
  </si>
  <si>
    <t/>
    <r>
      <rPr>
        <b val="false"/>
        <i val="false"/>
        <strike val="false"/>
        <sz val="10"/>
        <color rgb="FF000000"/>
      </rPr>
      <t>预计PO单量</t>
    </r>
  </si>
  <si>
    <t xml:space="preserve">-</t>
  </si>
  <si>
    <t/>
    <r>
      <rPr>
        <b val="false"/>
        <i val="false"/>
        <strike val="false"/>
        <sz val="10"/>
        <color rgb="FF000000"/>
      </rPr>
      <t>实际PO单量</t>
    </r>
  </si>
  <si>
    <t xml:space="preserve">利润</t>
  </si>
  <si>
    <t xml:space="preserve">目标利润额</t>
  </si>
  <si>
    <t/>
    <r>
      <rPr>
        <b val="false"/>
        <i val="false"/>
        <strike val="false"/>
        <sz val="10"/>
        <color rgb="FF000000"/>
      </rPr>
      <t>实际利润额</t>
    </r>
  </si>
  <si>
    <t/>
    <r>
      <rPr>
        <b val="false"/>
        <i val="false"/>
        <strike val="false"/>
        <sz val="10"/>
        <color rgb="FF000000"/>
      </rPr>
      <t>目标利润率</t>
    </r>
  </si>
  <si>
    <t/>
    <r>
      <rPr>
        <b val="false"/>
        <i val="false"/>
        <strike val="false"/>
        <sz val="10"/>
        <color rgb="FF000000"/>
      </rPr>
      <t>实际利润率</t>
    </r>
  </si>
  <si>
    <t xml:space="preserve">营销推广</t>
  </si>
  <si>
    <t xml:space="preserve">预计广告花费</t>
  </si>
  <si>
    <t xml:space="preserve">实际广告花费</t>
  </si>
  <si>
    <t xml:space="preserve">预计站外花费</t>
  </si>
  <si>
    <t xml:space="preserve">实际站外花费</t>
  </si>
  <si>
    <t xml:space="preserve">预计测评费用</t>
  </si>
  <si>
    <t xml:space="preserve">实际测评费用</t>
  </si>
  <si>
    <t xml:space="preserve">预计总费用汇总</t>
  </si>
  <si>
    <t xml:space="preserve">实际总费用汇总</t>
  </si>
  <si>
    <t xml:space="preserve">营销占比</t>
  </si>
  <si>
    <t xml:space="preserve">预计广告占比</t>
  </si>
  <si>
    <t xml:space="preserve">实际广告占比</t>
  </si>
  <si>
    <t xml:space="preserve">预计站外占比</t>
  </si>
  <si>
    <t xml:space="preserve">实际站外占比</t>
  </si>
  <si>
    <t xml:space="preserve">预计测评费用占比</t>
  </si>
  <si>
    <t xml:space="preserve">实际测评费用占比</t>
  </si>
  <si>
    <t xml:space="preserve">预计总费用占比</t>
  </si>
  <si>
    <t xml:space="preserve">实际总费用占比</t>
  </si>
  <si>
    <t xml:space="preserve">预计成本中心</t>
  </si>
  <si>
    <t xml:space="preserve">采购成本（122.57）</t>
  </si>
  <si>
    <t xml:space="preserve">头程成本（26）</t>
  </si>
  <si>
    <t xml:space="preserve">二程成本</t>
  </si>
  <si>
    <t xml:space="preserve">尾程成本（5.69）</t>
  </si>
  <si>
    <t xml:space="preserve">佣金成本</t>
  </si>
  <si>
    <t xml:space="preserve">仓储成本</t>
  </si>
  <si>
    <t xml:space="preserve">退货成本</t>
  </si>
  <si>
    <t xml:space="preserve">其它成本</t>
  </si>
  <si>
    <t xml:space="preserve">总成本汇总</t>
  </si>
  <si>
    <t xml:space="preserve">实际成本中心</t>
  </si>
  <si>
    <t xml:space="preserve">成本占比</t>
  </si>
  <si>
    <t xml:space="preserve">采购占比</t>
  </si>
  <si>
    <t xml:space="preserve">头程占比</t>
  </si>
  <si>
    <t xml:space="preserve">二程占比</t>
  </si>
  <si>
    <t xml:space="preserve">尾程占比</t>
  </si>
  <si>
    <t xml:space="preserve">佣金占比</t>
  </si>
  <si>
    <t xml:space="preserve">仓租占比</t>
  </si>
  <si>
    <t xml:space="preserve">退货占比</t>
  </si>
  <si>
    <t xml:space="preserve">其它占比</t>
  </si>
  <si>
    <t xml:space="preserve">总占比汇总</t>
  </si>
  <si>
    <t xml:space="preserve">库存</t>
  </si>
  <si>
    <t xml:space="preserve">周总库存盘点</t>
  </si>
  <si>
    <t/>
    <r>
      <rPr>
        <b val="false"/>
        <i val="false"/>
        <strike val="false"/>
        <sz val="10"/>
        <color rgb="FF000000"/>
      </rPr>
      <t>总库存资金</t>
    </r>
  </si>
  <si>
    <t xml:space="preserve">总预算</t>
  </si>
  <si>
    <t/>
    <r>
      <rPr>
        <b val="false"/>
        <i val="false"/>
        <strike val="false"/>
        <sz val="10"/>
        <color rgb="FF000000"/>
      </rPr>
      <t>预计资金占用</t>
    </r>
  </si>
  <si>
    <t/>
    <r>
      <rPr>
        <b val="false"/>
        <i val="false"/>
        <strike val="false"/>
        <sz val="10"/>
        <color rgb="FF000000"/>
      </rPr>
      <t>实际资金占用</t>
    </r>
  </si>
  <si>
    <t/>
    <r>
      <rPr>
        <b val="true"/>
        <i val="false"/>
        <strike val="false"/>
        <sz val="12"/>
        <color rgb="FF000000"/>
      </rPr>
      <t>里程碑</t>
    </r>
    <r>
      <rPr>
        <b val="true"/>
        <i val="false"/>
        <strike val="false"/>
        <sz val="9"/>
        <color rgb="FF000000"/>
      </rPr>
      <t>（以欧元核算）</t>
    </r>
  </si>
  <si>
    <t/>
    <r>
      <rPr>
        <b val="true"/>
        <i val="false"/>
        <strike val="false"/>
        <sz val="9"/>
        <color rgb="FF000000"/>
      </rPr>
      <t>第一阶段（SC推广为主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</si>
  <si>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第二阶段（ po在途，SC/VC过渡期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</si>
  <si>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第三阶段（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</si>
  <si>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第四阶段（ 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 xml:space="preserve">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</si>
  <si>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第五阶段（ 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 xml:space="preserve">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</si>
  <si>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第六阶段（ 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 xml:space="preserve">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</si>
  <si>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 xml:space="preserve">注意事项</t>
  </si>
  <si>
    <t xml:space="preserve">1. 此阶段为SC售卖，主要目的为完善listing基本面，同时刺激销量来PO单；
2. SC根据推广计划表备足1个月库存，同时VC根据预测销量8周备货量分批次发往海外仓；
3. SC根据以目标为主的运营端流程完善基本面，包括前期评论布局，关键词库建立，网红视频等；
4. 根据推广计划制定营销策略，以达到目标单量从而刺激VCPO来单；
5. 预估VC上架时间，提前至少23天提报BD，一次性把能报的都报上，后续可随时取消和调整；</t>
  </si>
  <si>
    <t xml:space="preserve">1. 后台关注货件入海外仓时间，提前预约入库，提醒仓库人员上架；
2. 一旦入库上架成功，及时通知Spotter业务开启PO接单；
3. 每周一和每周四关注PO来单情况，确认可用库存，24h内完成接单；
4. 关注货件实际提货时间，及实际运输时长及到仓时间；
5. VCPO库存一旦入仓，就会抢走SC购物车，但此时前台处于预售阶段，会影响转化，SC可尝试适当降低价格抢回购物车，降级幅度不得低于VC活动价；
6. 若第一周未来PO单，可同步创建手动订单刺激来PO，注意手动订单上架77天内未卖完会有罚款；</t>
  </si>
  <si>
    <t xml:space="preserve">1. 切换购物车到VC，重新在广告子账号开广告推广，由于广告权重清零，这期间广告效果波动较大，需要盯紧广告预算和转化，尽快调整到稳定的状态；
2. 现在BD时长为28天，中间间隔3天，然后又是28天BD，BD价格为报价的90%（大促及节假日折扣要求为85%）；
3. 根据销量预测，PO来单及现有库存情况及时补货；
4. SC库存保留半个月左右库存，在秒杀间隔期根据库存情况及时调整购物车，或及时从海外仓补货到FBA仓；
5. 关注库存转运及其他导致库存不可售等异常情况；</t>
  </si>
  <si>
    <t xml:space="preserve">1. 持续关注海外仓，VC亚马逊仓，国内到海外仓在途，海外仓到VC亚马逊仓在途库存情况，及时补货保证能接PO单，随时准备发手动订单刺激和补货PO库存；
2. 持续调整广告效果，保证VC亚马逊销量预测持续走高，保证PO单持续不断；
3. 关注库存转运及其他导致库存不可售等异常情况；
4. 关注链接BD状态，变体合并情况导致链接异常；
5. 因为转VC后，售后问题由亚马逊官方负责，需要持续关注客诉问题和每月退货情况变化，防止链接被下架；</t>
  </si>
  <si>
    <t xml:space="preserve">销售周期</t>
  </si>
  <si>
    <t xml:space="preserve">第一周</t>
  </si>
  <si>
    <t xml:space="preserve">第二周</t>
  </si>
  <si>
    <t xml:space="preserve">第三周</t>
  </si>
  <si>
    <t xml:space="preserve">第四周</t>
  </si>
  <si>
    <t xml:space="preserve">具体时间</t>
  </si>
  <si>
    <t xml:space="preserve">日期</t>
  </si>
  <si>
    <t xml:space="preserve">5.26-6.1</t>
  </si>
  <si>
    <t xml:space="preserve">6.2-6.8</t>
  </si>
  <si>
    <t xml:space="preserve">6.9-6.15</t>
  </si>
  <si>
    <t xml:space="preserve">6.16-6.22</t>
  </si>
  <si>
    <t xml:space="preserve">6.23-6.29</t>
  </si>
  <si>
    <t xml:space="preserve">6.30-7.6</t>
  </si>
  <si>
    <t xml:space="preserve">7.7-7.13</t>
  </si>
  <si>
    <t xml:space="preserve">7.14-7.20</t>
  </si>
  <si>
    <t xml:space="preserve">7.21-7.27</t>
  </si>
  <si>
    <t xml:space="preserve">7.28-8.3</t>
  </si>
  <si>
    <t xml:space="preserve">8.4-8.10</t>
  </si>
  <si>
    <t xml:space="preserve">8.11-8.17</t>
  </si>
  <si>
    <t xml:space="preserve">8.18-8.24</t>
  </si>
  <si>
    <t xml:space="preserve">8.25-8.31</t>
  </si>
  <si>
    <t xml:space="preserve">9.1-9.7</t>
  </si>
  <si>
    <t xml:space="preserve">9.8-9.14</t>
  </si>
  <si>
    <t xml:space="preserve">9.15-9.21</t>
  </si>
  <si>
    <t xml:space="preserve">9.22-9.28</t>
  </si>
  <si>
    <t xml:space="preserve">9.29-10.5</t>
  </si>
  <si>
    <t xml:space="preserve">10.6-10.12</t>
  </si>
  <si>
    <t xml:space="preserve">10.13-10.19</t>
  </si>
  <si>
    <t xml:space="preserve">10.20-10.26</t>
  </si>
  <si>
    <t xml:space="preserve">10.27-11.2</t>
  </si>
  <si>
    <t xml:space="preserve">11.3-11.9</t>
  </si>
  <si>
    <t xml:space="preserve">目标竞对</t>
  </si>
  <si>
    <t xml:space="preserve">竞对综合信息（附上链接）</t>
  </si>
  <si>
    <t xml:space="preserve">1. 竞对第一个月销量: 165-229
2.竞对第一个月结束时排名:从376-到了24，目前稳定在前20-30   129.99减38% 折后价79.99
3.竞对第一个月是否有参加站外,站外效果有多少倍: 没有站外  0倍无站外
4.竞对是否有woot等活动资格，跑活动时销量提升多少倍: 无
5.竞对链接：
https://www.amazon.de/dp/B0DKPGKSYS</t>
  </si>
  <si>
    <t xml:space="preserve">1.竞对第一个月销量:
2.竞对第一个月结束时排名:
3.竞对第一个月是否有参加站外,站外效果有多少倍: 是否有BD 7DD秒杀
4.竞对是否有woot等活动资格，跑活动时销量提升多少倍: 
5.竞对链接：
https://www.amazon.de/dp/B0DL5J6MK4</t>
  </si>
  <si>
    <t xml:space="preserve">1.竞对第一个月销量:
2.竞对第一个月结束时排名:
3.竞对第一个月是否有参加站外,站外效果有多少倍: 是否有BD 7DD秒杀
4.竞对是否有woot等活动资格，跑活动时销量提升多少倍: 
5.竞对链接：
https://www.amazon.de/dp/B0DQT1MKZ3</t>
  </si>
  <si>
    <t xml:space="preserve">售价</t>
  </si>
  <si>
    <t/>
    <r>
      <rPr>
        <b val="true"/>
        <i val="false"/>
        <strike val="false"/>
        <sz val="9"/>
        <color rgb="FF000000"/>
      </rPr>
      <t>销售定价（日常价）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</si>
  <si>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活动价/促销价</t>
    </r>
    <r>
      <rPr>
        <b val="true"/>
        <i val="false"/>
        <strike val="false"/>
        <sz val="9"/>
        <color rgb="FF7030A0"/>
      </rPr>
      <t>（自填）</t>
    </r>
  </si>
  <si>
    <t xml:space="preserve">产品排名</t>
  </si>
  <si>
    <t/>
    <r>
      <rPr>
        <b val="true"/>
        <i val="false"/>
        <strike val="false"/>
        <sz val="9"/>
        <color rgb="FF000000"/>
      </rPr>
      <t>目标排名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</si>
  <si>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实际排名(取周均值)</t>
    </r>
    <r>
      <rPr>
        <b val="true"/>
        <i val="false"/>
        <strike val="false"/>
        <sz val="9"/>
        <color rgb="FF7030A0"/>
      </rPr>
      <t>（自填）</t>
    </r>
  </si>
  <si>
    <t xml:space="preserve">销量</t>
  </si>
  <si>
    <t/>
    <r>
      <rPr>
        <b val="true"/>
        <i val="false"/>
        <strike val="false"/>
        <sz val="9"/>
        <color rgb="FF000000"/>
      </rPr>
      <t>目标总销售额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</si>
  <si>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实际总销售额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</si>
  <si>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目标总销量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</si>
  <si>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实际总销量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</si>
  <si>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目标日均</t>
    </r>
    <r>
      <rPr>
        <b val="true"/>
        <i val="false"/>
        <strike val="false"/>
        <sz val="9"/>
        <color rgb="FF7030A0"/>
      </rPr>
      <t>（自填）</t>
    </r>
  </si>
  <si>
    <t xml:space="preserve">实际日均（自填）</t>
  </si>
  <si>
    <t/>
    <r>
      <rPr>
        <b val="true"/>
        <i val="false"/>
        <strike val="false"/>
        <sz val="9"/>
        <color rgb="FF000000"/>
      </rPr>
      <t>预计PO单量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</si>
  <si>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实际PO单量</t>
    </r>
    <r>
      <rPr>
        <b val="true"/>
        <i val="false"/>
        <strike val="false"/>
        <sz val="9"/>
        <color rgb="FF7030A0"/>
      </rPr>
      <t>（自填）</t>
    </r>
  </si>
  <si>
    <t xml:space="preserve">利润率</t>
  </si>
  <si>
    <t/>
    <r>
      <rPr>
        <b val="true"/>
        <i val="false"/>
        <strike val="false"/>
        <sz val="9"/>
        <color rgb="FF000000"/>
      </rPr>
      <t>目标利润额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</si>
  <si>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实际利润额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</si>
  <si>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目标利润率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</si>
  <si>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实际利润率</t>
    </r>
    <r>
      <rPr>
        <b val="true"/>
        <i val="false"/>
        <strike val="false"/>
        <sz val="9"/>
        <color rgb="FFC00000"/>
      </rPr>
      <t>（公式）</t>
    </r>
  </si>
  <si>
    <t xml:space="preserve">营销推广</t>
  </si>
  <si>
    <t/>
    <r>
      <rPr>
        <b val="true"/>
        <i val="false"/>
        <strike val="false"/>
        <sz val="9"/>
        <color rgb="FF000000"/>
      </rPr>
      <t>预计广告花费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</si>
  <si>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实际广告花费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</si>
  <si>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预计站外推广花费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</si>
  <si>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实际站外推广花费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</si>
  <si>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预计其他辅助花费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</si>
  <si>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实际其他辅助花费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</si>
  <si>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预计所有营销费用汇总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</si>
  <si>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预计所有营销费用占比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</si>
  <si>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实际所有营销费用汇总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</si>
  <si>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实际所有营销费用占比</t>
    </r>
    <r>
      <rPr>
        <b val="true"/>
        <i val="false"/>
        <strike val="false"/>
        <sz val="9"/>
        <color rgb="FFC00000"/>
      </rPr>
      <t>（公式）</t>
    </r>
  </si>
  <si>
    <t xml:space="preserve">成本中心</t>
  </si>
  <si>
    <t/>
    <r>
      <rPr>
        <b val="true"/>
        <i val="false"/>
        <strike val="false"/>
        <sz val="9"/>
        <color rgb="FF000000"/>
      </rPr>
      <t>预计产品成本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</si>
  <si>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预计产品成本占比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</si>
  <si>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实际产品成本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</si>
  <si>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预计物流成本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</si>
  <si>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实际物流成本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</si>
  <si>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预计物流成本占比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</si>
  <si>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预计固定成本</t>
    </r>
    <r>
      <rPr>
        <b val="true"/>
        <i val="false"/>
        <strike val="false"/>
        <sz val="9"/>
        <color rgb="FF7030A0"/>
      </rPr>
      <t>（自填）</t>
    </r>
  </si>
  <si>
    <t xml:space="preserve">库存</t>
  </si>
  <si>
    <t/>
    <r>
      <rPr>
        <b val="true"/>
        <i val="false"/>
        <strike val="false"/>
        <sz val="9"/>
        <color rgb="FF000000"/>
      </rPr>
      <t xml:space="preserve">周总库存盘点
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</si>
  <si>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总库存资金</t>
    </r>
    <r>
      <rPr>
        <b val="true"/>
        <i val="false"/>
        <strike val="false"/>
        <sz val="9"/>
        <color rgb="FF7030A0"/>
      </rPr>
      <t>（自填）</t>
    </r>
  </si>
  <si>
    <t xml:space="preserve">总预算</t>
  </si>
  <si>
    <t/>
    <r>
      <rPr>
        <b val="true"/>
        <i val="false"/>
        <strike val="false"/>
        <sz val="9"/>
        <color rgb="FF000000"/>
      </rPr>
      <t>预计资金占用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</si>
  <si>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实际资金占用</t>
    </r>
    <r>
      <rPr>
        <b val="true"/>
        <i val="false"/>
        <strike val="false"/>
        <sz val="9"/>
        <color rgb="FFC00000"/>
      </rPr>
      <t>（公式）</t>
    </r>
  </si>
  <si>
    <t xml:space="preserve">时间</t>
  </si>
  <si>
    <t xml:space="preserve">SKU</t>
  </si>
  <si>
    <t xml:space="preserve">父ASIN</t>
  </si>
  <si>
    <t xml:space="preserve">ASIN</t>
  </si>
  <si>
    <t xml:space="preserve">MSKU</t>
  </si>
  <si>
    <t xml:space="preserve">品名</t>
  </si>
  <si>
    <t xml:space="preserve">售价(总价)</t>
  </si>
  <si>
    <t xml:space="preserve">价格</t>
  </si>
  <si>
    <t xml:space="preserve">FBA-可售</t>
  </si>
  <si>
    <t xml:space="preserve">FBM可售</t>
  </si>
  <si>
    <t xml:space="preserve">AWD在库</t>
  </si>
  <si>
    <t xml:space="preserve">AWD可用量</t>
  </si>
  <si>
    <t xml:space="preserve">AWD待发货量</t>
  </si>
  <si>
    <t xml:space="preserve">AWD标发在途</t>
  </si>
  <si>
    <t xml:space="preserve">可用库存</t>
  </si>
  <si>
    <t xml:space="preserve">销量</t>
  </si>
  <si>
    <t xml:space="preserve">销售额</t>
  </si>
  <si>
    <t xml:space="preserve">订单量</t>
  </si>
  <si>
    <t xml:space="preserve">净销售额</t>
  </si>
  <si>
    <t xml:space="preserve">销量环比</t>
  </si>
  <si>
    <t xml:space="preserve">销售额环比</t>
  </si>
  <si>
    <t xml:space="preserve">订单量环比</t>
  </si>
  <si>
    <t xml:space="preserve">销量同比</t>
  </si>
  <si>
    <t xml:space="preserve">订单量同比</t>
  </si>
  <si>
    <t xml:space="preserve">销量额同比</t>
  </si>
  <si>
    <t xml:space="preserve">B2B 销量</t>
  </si>
  <si>
    <t xml:space="preserve">B2B 销售额</t>
  </si>
  <si>
    <t xml:space="preserve">B2B 订单量</t>
  </si>
  <si>
    <t xml:space="preserve">FBM买家运费</t>
  </si>
  <si>
    <t xml:space="preserve">促销销量</t>
  </si>
  <si>
    <t xml:space="preserve">促销销售额</t>
  </si>
  <si>
    <t xml:space="preserve">促销订单量</t>
  </si>
  <si>
    <t xml:space="preserve">促销折扣</t>
  </si>
  <si>
    <t xml:space="preserve">日均销量</t>
  </si>
  <si>
    <t xml:space="preserve">日均销售额</t>
  </si>
  <si>
    <t xml:space="preserve">日均订单量</t>
  </si>
  <si>
    <t xml:space="preserve">销售均价</t>
  </si>
  <si>
    <t xml:space="preserve">大类排名</t>
  </si>
  <si>
    <t xml:space="preserve">小类排名</t>
  </si>
  <si>
    <t xml:space="preserve">退款量</t>
  </si>
  <si>
    <t xml:space="preserve">退款金额</t>
  </si>
  <si>
    <t xml:space="preserve">退款率</t>
  </si>
  <si>
    <t xml:space="preserve">评分</t>
  </si>
  <si>
    <t xml:space="preserve">评论数</t>
  </si>
  <si>
    <t xml:space="preserve">留评率</t>
  </si>
  <si>
    <t xml:space="preserve">结算毛利润</t>
  </si>
  <si>
    <t xml:space="preserve">订单毛利润</t>
  </si>
  <si>
    <t xml:space="preserve">结算毛利率</t>
  </si>
  <si>
    <t xml:space="preserve">订单毛利率</t>
  </si>
  <si>
    <t xml:space="preserve">ROI</t>
  </si>
  <si>
    <t xml:space="preserve">退货量</t>
  </si>
  <si>
    <t xml:space="preserve">退货率</t>
  </si>
  <si>
    <t xml:space="preserve">Sessions-Browser</t>
  </si>
  <si>
    <t xml:space="preserve">Sessions-Browser-Percentage</t>
  </si>
  <si>
    <t xml:space="preserve">Sessions-Mobile</t>
  </si>
  <si>
    <t xml:space="preserve">Sessions-Mobile-Percentage</t>
  </si>
  <si>
    <t xml:space="preserve">Sessions-Total</t>
  </si>
  <si>
    <t xml:space="preserve">PV-Browser</t>
  </si>
  <si>
    <t xml:space="preserve">PV-Mobile</t>
  </si>
  <si>
    <t xml:space="preserve">PV-Total</t>
  </si>
  <si>
    <t xml:space="preserve">CVR</t>
  </si>
  <si>
    <t xml:space="preserve">销量CVR</t>
  </si>
  <si>
    <t xml:space="preserve">Buybox赢得率</t>
  </si>
  <si>
    <t xml:space="preserve">CPC</t>
  </si>
  <si>
    <t xml:space="preserve">CTR</t>
  </si>
  <si>
    <t xml:space="preserve">广告花费</t>
  </si>
  <si>
    <t xml:space="preserve">SB广告费</t>
  </si>
  <si>
    <t xml:space="preserve">SBV广告费</t>
  </si>
  <si>
    <t xml:space="preserve">SD广告费</t>
  </si>
  <si>
    <t xml:space="preserve">SP广告费</t>
  </si>
  <si>
    <t xml:space="preserve">ROAS</t>
  </si>
  <si>
    <t xml:space="preserve">ACOS</t>
  </si>
  <si>
    <t xml:space="preserve">ACoAS</t>
  </si>
  <si>
    <t xml:space="preserve">ASoAS</t>
  </si>
  <si>
    <t xml:space="preserve">CPO</t>
  </si>
  <si>
    <t xml:space="preserve">CPU</t>
  </si>
  <si>
    <t xml:space="preserve">CPM</t>
  </si>
  <si>
    <t xml:space="preserve">广告销售额</t>
  </si>
  <si>
    <t xml:space="preserve">广告订单量</t>
  </si>
  <si>
    <t xml:space="preserve">直接成交订单量</t>
  </si>
  <si>
    <t xml:space="preserve">直接成交销售额</t>
  </si>
  <si>
    <t xml:space="preserve">广告订单占比</t>
  </si>
  <si>
    <t xml:space="preserve">广告CVR</t>
  </si>
  <si>
    <t xml:space="preserve">展示</t>
  </si>
  <si>
    <t xml:space="preserve">点击</t>
  </si>
  <si>
    <t xml:space="preserve">自然订单量</t>
  </si>
  <si>
    <t xml:space="preserve">自然点击量</t>
  </si>
  <si>
    <t xml:space="preserve">自然CVR</t>
  </si>
  <si>
    <t xml:space="preserve">Sessions-Percentage</t>
  </si>
  <si>
    <t xml:space="preserve">Unit-Sessions-Percentage</t>
  </si>
  <si>
    <t xml:space="preserve">PV-Browser-Percentage</t>
  </si>
  <si>
    <t xml:space="preserve">PV-Mobile-Percentage</t>
  </si>
  <si>
    <t xml:space="preserve">PV-Percentage</t>
  </si>
  <si>
    <t xml:space="preserve">Sessions-Browser(B2B)</t>
  </si>
  <si>
    <t xml:space="preserve">Sessions-Browser-Percentage(B2B)</t>
  </si>
  <si>
    <t xml:space="preserve">Sessions-Mobile(B2B)</t>
  </si>
  <si>
    <t xml:space="preserve">Sessions-Mobile-Percentage(B2B)</t>
  </si>
  <si>
    <t xml:space="preserve">Sessions-Total(B2B)</t>
  </si>
  <si>
    <t xml:space="preserve">Sessions-Percentage(B2B)</t>
  </si>
  <si>
    <t xml:space="preserve">Unit-Sessions-Percentage(B2B)</t>
  </si>
  <si>
    <t xml:space="preserve">PV-Browser(B2B)</t>
  </si>
  <si>
    <t xml:space="preserve">PV-Browser-Percentage(B2B)</t>
  </si>
  <si>
    <t xml:space="preserve">PV-Mobile(B2B)</t>
  </si>
  <si>
    <t xml:space="preserve">PV-Mobile-Percentage(B2B)</t>
  </si>
  <si>
    <t xml:space="preserve">PV-Total(B2B)</t>
  </si>
  <si>
    <t xml:space="preserve">PV-Percentage(B2B)</t>
  </si>
  <si>
    <t xml:space="preserve">CVR(B2B)</t>
  </si>
  <si>
    <t xml:space="preserve">销量CVR(B2B)</t>
  </si>
  <si>
    <t xml:space="preserve">Buybox赢得率(B2B)</t>
  </si>
  <si>
    <t xml:space="preserve">运营日志</t>
  </si>
  <si>
    <t xml:space="preserve">2025-12-01</t>
  </si>
  <si>
    <t xml:space="preserve">R0007EU</t>
  </si>
  <si>
    <t xml:space="preserve">B0FNMBQFBC</t>
  </si>
  <si>
    <t xml:space="preserve">HYCHIKA-AP100A-空净</t>
  </si>
  <si>
    <t xml:space="preserve">0.00%</t>
  </si>
  <si>
    <t xml:space="preserve">**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</si>
  <si>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</si>
  <si>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</si>
  <si>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</si>
  <si>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</si>
  <si>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</si>
  <si>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</si>
  <si>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</si>
  <si>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</si>
  <si>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</si>
  <si>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</si>
  <si>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</si>
  <si>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</si>
  <si>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</si>
  <si>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100.00%</t>
  </si>
  <si>
    <t xml:space="preserve">0.07%</t>
  </si>
  <si>
    <t xml:space="preserve">2025-12-15</t>
  </si>
  <si>
    <t xml:space="preserve">0.29%</t>
  </si>
  <si>
    <t xml:space="preserve">0.27%</t>
  </si>
  <si>
    <t xml:space="preserve">2025-12-16</t>
  </si>
  <si>
    <t xml:space="preserve">0.13%</t>
  </si>
  <si>
    <t xml:space="preserve">0.04%</t>
  </si>
  <si>
    <t xml:space="preserve">2025-12-17</t>
  </si>
  <si>
    <t xml:space="preserve">2025-12-18</t>
  </si>
  <si>
    <t xml:space="preserve">2.56%</t>
  </si>
  <si>
    <t xml:space="preserve">25.00%</t>
  </si>
  <si>
    <t xml:space="preserve">1.00%</t>
  </si>
  <si>
    <t xml:space="preserve">0.92%</t>
  </si>
  <si>
    <t xml:space="preserve">5.00%</t>
  </si>
  <si>
    <t xml:space="preserve">13.00%</t>
  </si>
  <si>
    <t xml:space="preserve">6.00%</t>
  </si>
  <si>
    <t xml:space="preserve">3.00%</t>
  </si>
  <si>
    <t xml:space="preserve">10.00%</t>
  </si>
  <si>
    <t xml:space="preserve">4.00%</t>
  </si>
  <si>
    <t xml:space="preserve">2025-12-19</t>
  </si>
  <si>
    <t xml:space="preserve">0.72%</t>
  </si>
  <si>
    <t xml:space="preserve">60.00%</t>
  </si>
  <si>
    <t xml:space="preserve">0.41%</t>
  </si>
  <si>
    <t xml:space="preserve">9.00%</t>
  </si>
  <si>
    <t xml:space="preserve">2025-12-20</t>
  </si>
  <si>
    <t xml:space="preserve">1.27%</t>
  </si>
  <si>
    <t xml:space="preserve">20.00%</t>
  </si>
  <si>
    <t xml:space="preserve">0.50%</t>
  </si>
  <si>
    <t xml:space="preserve">2025-12-21</t>
  </si>
  <si>
    <t xml:space="preserve">Küche, Haushalt &amp; Wohnen：89408</t>
  </si>
  <si>
    <t xml:space="preserve">Luftreiniger：141</t>
  </si>
  <si>
    <t xml:space="preserve">0.40%</t>
  </si>
  <si>
    <t xml:space="preserve">0.23%</t>
  </si>
  <si>
    <t xml:space="preserve">2025-12-22</t>
  </si>
  <si>
    <t xml:space="preserve">0.89%</t>
  </si>
  <si>
    <t xml:space="preserve">0.62%</t>
  </si>
  <si>
    <t xml:space="preserve">2025-12-23</t>
  </si>
  <si>
    <t xml:space="preserve">Küche, Haushalt &amp; Wohnen：177496</t>
  </si>
  <si>
    <t xml:space="preserve">Luftreiniger：311</t>
  </si>
  <si>
    <t xml:space="preserve">2025-12-24</t>
  </si>
  <si>
    <t xml:space="preserve">时间</t>
  </si>
  <si>
    <t xml:space="preserve">SKU</t>
  </si>
  <si>
    <t xml:space="preserve">父ASIN</t>
  </si>
  <si>
    <t xml:space="preserve">ASIN</t>
  </si>
  <si>
    <t xml:space="preserve">MSKU</t>
  </si>
  <si>
    <t xml:space="preserve">品名</t>
  </si>
  <si>
    <t xml:space="preserve">售价(总价)</t>
  </si>
  <si>
    <t xml:space="preserve">价格</t>
  </si>
  <si>
    <t xml:space="preserve">FBA-可售</t>
  </si>
  <si>
    <t xml:space="preserve">FBM可售</t>
  </si>
  <si>
    <t xml:space="preserve">AWD在库</t>
  </si>
  <si>
    <t xml:space="preserve">AWD可用量</t>
  </si>
  <si>
    <t xml:space="preserve">AWD待发货量</t>
  </si>
  <si>
    <t xml:space="preserve">AWD标发在途</t>
  </si>
  <si>
    <t xml:space="preserve">可用库存</t>
  </si>
  <si>
    <t xml:space="preserve">销量</t>
  </si>
  <si>
    <t xml:space="preserve">销售额</t>
  </si>
  <si>
    <t xml:space="preserve">订单量</t>
  </si>
  <si>
    <t xml:space="preserve">净销售额</t>
  </si>
  <si>
    <t xml:space="preserve">销量环比</t>
  </si>
  <si>
    <t xml:space="preserve">销售额环比</t>
  </si>
  <si>
    <t xml:space="preserve">订单量环比</t>
  </si>
  <si>
    <t xml:space="preserve">销量同比</t>
  </si>
  <si>
    <t xml:space="preserve">订单量同比</t>
  </si>
  <si>
    <t xml:space="preserve">销量额同比</t>
  </si>
  <si>
    <t xml:space="preserve">B2B 销量</t>
  </si>
  <si>
    <t xml:space="preserve">B2B 销售额</t>
  </si>
  <si>
    <t xml:space="preserve">B2B 订单量</t>
  </si>
  <si>
    <t xml:space="preserve">FBM买家运费</t>
  </si>
  <si>
    <t xml:space="preserve">促销销量</t>
  </si>
  <si>
    <t xml:space="preserve">促销销售额</t>
  </si>
  <si>
    <t xml:space="preserve">促销订单量</t>
  </si>
  <si>
    <t xml:space="preserve">促销折扣</t>
  </si>
  <si>
    <t xml:space="preserve">日均销量</t>
  </si>
  <si>
    <t xml:space="preserve">日均销售额</t>
  </si>
  <si>
    <t xml:space="preserve">日均订单量</t>
  </si>
  <si>
    <t xml:space="preserve">销售均价</t>
  </si>
  <si>
    <t xml:space="preserve">大类排名</t>
  </si>
  <si>
    <t xml:space="preserve">小类排名</t>
  </si>
  <si>
    <t xml:space="preserve">退款量</t>
  </si>
  <si>
    <t xml:space="preserve">退款金额</t>
  </si>
  <si>
    <t xml:space="preserve">退款率</t>
  </si>
  <si>
    <t xml:space="preserve">评分</t>
  </si>
  <si>
    <t xml:space="preserve">评论数</t>
  </si>
  <si>
    <t xml:space="preserve">留评率</t>
  </si>
  <si>
    <t xml:space="preserve">结算毛利润</t>
  </si>
  <si>
    <t xml:space="preserve">订单毛利润</t>
  </si>
  <si>
    <t xml:space="preserve">结算毛利率</t>
  </si>
  <si>
    <t xml:space="preserve">订单毛利率</t>
  </si>
  <si>
    <t xml:space="preserve">ROI</t>
  </si>
  <si>
    <t xml:space="preserve">退货量</t>
  </si>
  <si>
    <t xml:space="preserve">退货率</t>
  </si>
  <si>
    <t xml:space="preserve">Sessions-Browser</t>
  </si>
  <si>
    <t xml:space="preserve">Sessions-Browser-Percentage</t>
  </si>
  <si>
    <t xml:space="preserve">Sessions-Mobile</t>
  </si>
  <si>
    <t xml:space="preserve">Sessions-Mobile-Percentage</t>
  </si>
  <si>
    <t xml:space="preserve">Sessions-Total</t>
  </si>
  <si>
    <t xml:space="preserve">PV-Browser</t>
  </si>
  <si>
    <t xml:space="preserve">PV-Mobile</t>
  </si>
  <si>
    <t xml:space="preserve">PV-Total</t>
  </si>
  <si>
    <t xml:space="preserve">CVR</t>
  </si>
  <si>
    <t xml:space="preserve">销量CVR</t>
  </si>
  <si>
    <t xml:space="preserve">Buybox赢得率</t>
  </si>
  <si>
    <t xml:space="preserve">CPC</t>
  </si>
  <si>
    <t xml:space="preserve">CTR</t>
  </si>
  <si>
    <t xml:space="preserve">广告花费</t>
  </si>
  <si>
    <t xml:space="preserve">SB广告费</t>
  </si>
  <si>
    <t xml:space="preserve">SBV广告费</t>
  </si>
  <si>
    <t xml:space="preserve">SD广告费</t>
  </si>
  <si>
    <t xml:space="preserve">SP广告费</t>
  </si>
  <si>
    <t xml:space="preserve">ROAS</t>
  </si>
  <si>
    <t xml:space="preserve">ACOS</t>
  </si>
  <si>
    <t xml:space="preserve">ACoAS</t>
  </si>
  <si>
    <t xml:space="preserve">ASoAS</t>
  </si>
  <si>
    <t xml:space="preserve">CPO</t>
  </si>
  <si>
    <t xml:space="preserve">CPU</t>
  </si>
  <si>
    <t xml:space="preserve">CPM</t>
  </si>
  <si>
    <t xml:space="preserve">广告销售额</t>
  </si>
  <si>
    <t xml:space="preserve">广告订单量</t>
  </si>
  <si>
    <t xml:space="preserve">直接成交订单量</t>
  </si>
  <si>
    <t xml:space="preserve">直接成交销售额</t>
  </si>
  <si>
    <t xml:space="preserve">广告订单占比</t>
  </si>
  <si>
    <t xml:space="preserve">广告CVR</t>
  </si>
  <si>
    <t xml:space="preserve">展示</t>
  </si>
  <si>
    <t xml:space="preserve">点击</t>
  </si>
  <si>
    <t xml:space="preserve">自然订单量</t>
  </si>
  <si>
    <t xml:space="preserve">自然点击量</t>
  </si>
  <si>
    <t xml:space="preserve">自然CVR</t>
  </si>
  <si>
    <t xml:space="preserve">Sessions-Percentage</t>
  </si>
  <si>
    <t xml:space="preserve">Unit-Sessions-Percentage</t>
  </si>
  <si>
    <t xml:space="preserve">PV-Browser-Percentage</t>
  </si>
  <si>
    <t xml:space="preserve">PV-Mobile-Percentage</t>
  </si>
  <si>
    <t xml:space="preserve">PV-Percentage</t>
  </si>
  <si>
    <t xml:space="preserve">Sessions-Browser(B2B)</t>
  </si>
  <si>
    <t xml:space="preserve">Sessions-Browser-Percentage(B2B)</t>
  </si>
  <si>
    <t xml:space="preserve">Sessions-Mobile(B2B)</t>
  </si>
  <si>
    <t xml:space="preserve">Sessions-Mobile-Percentage(B2B)</t>
  </si>
  <si>
    <t xml:space="preserve">Sessions-Total(B2B)</t>
  </si>
  <si>
    <t xml:space="preserve">Sessions-Percentage(B2B)</t>
  </si>
  <si>
    <t xml:space="preserve">Unit-Sessions-Percentage(B2B)</t>
  </si>
  <si>
    <t xml:space="preserve">PV-Browser(B2B)</t>
  </si>
  <si>
    <t xml:space="preserve">PV-Browser-Percentage(B2B)</t>
  </si>
  <si>
    <t xml:space="preserve">PV-Mobile(B2B)</t>
  </si>
  <si>
    <t xml:space="preserve">PV-Mobile-Percentage(B2B)</t>
  </si>
  <si>
    <t xml:space="preserve">PV-Total(B2B)</t>
  </si>
  <si>
    <t xml:space="preserve">PV-Percentage(B2B)</t>
  </si>
  <si>
    <t xml:space="preserve">CVR(B2B)</t>
  </si>
  <si>
    <t xml:space="preserve">销量CVR(B2B)</t>
  </si>
  <si>
    <t xml:space="preserve">Buybox赢得率(B2B)</t>
  </si>
  <si>
    <t xml:space="preserve">运营日志</t>
  </si>
  <si>
    <t xml:space="preserve">2025-12-01</t>
  </si>
  <si>
    <t xml:space="preserve">R0007EU</t>
  </si>
  <si>
    <t xml:space="preserve">B0FNMBQFBC</t>
  </si>
  <si>
    <t xml:space="preserve">HYCHIKA-AP100A-空净</t>
  </si>
  <si>
    <t xml:space="preserve">0.00%</t>
  </si>
  <si>
    <t xml:space="preserve">**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</si>
  <si>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</si>
  <si>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</si>
  <si>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</si>
  <si>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</si>
  <si>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</si>
  <si>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</si>
  <si>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</si>
  <si>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</si>
  <si>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</si>
  <si>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</si>
  <si>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</si>
  <si>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</si>
  <si>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</si>
  <si>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</si>
  <si>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</si>
  <si>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</si>
  <si>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</si>
  <si>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</si>
  <si>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</si>
  <si>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0.62%</t>
  </si>
  <si>
    <t xml:space="preserve">100.00%</t>
  </si>
  <si>
    <t xml:space="preserve">0.32%</t>
  </si>
  <si>
    <t xml:space="preserve">2025-12-21</t>
  </si>
  <si>
    <t xml:space="preserve">0.46%</t>
  </si>
  <si>
    <t xml:space="preserve">33.33%</t>
  </si>
  <si>
    <t xml:space="preserve">0.34%</t>
  </si>
  <si>
    <t xml:space="preserve">2025-12-22</t>
  </si>
  <si>
    <t xml:space="preserve">0.37%</t>
  </si>
  <si>
    <t xml:space="preserve">25.00%</t>
  </si>
  <si>
    <t xml:space="preserve">0.25%</t>
  </si>
  <si>
    <t xml:space="preserve">2025-12-23</t>
  </si>
  <si>
    <t xml:space="preserve">2025-12-24</t>
  </si>
  <si>
    <t xml:space="preserve">Cuisine et Maison：139806</t>
  </si>
  <si>
    <t xml:space="preserve">Petits appareils：5950</t>
  </si>
  <si>
    <t xml:space="preserve">时间</t>
  </si>
  <si>
    <t xml:space="preserve">SKU</t>
  </si>
  <si>
    <t xml:space="preserve">父ASIN</t>
  </si>
  <si>
    <t xml:space="preserve">ASIN</t>
  </si>
  <si>
    <t xml:space="preserve">MSKU</t>
  </si>
  <si>
    <t xml:space="preserve">品名</t>
  </si>
  <si>
    <t xml:space="preserve">售价(总价)</t>
  </si>
  <si>
    <t xml:space="preserve">价格</t>
  </si>
  <si>
    <t xml:space="preserve">FBA-可售</t>
  </si>
  <si>
    <t xml:space="preserve">FBM可售</t>
  </si>
  <si>
    <t xml:space="preserve">AWD在库</t>
  </si>
  <si>
    <t xml:space="preserve">AWD可用量</t>
  </si>
  <si>
    <t xml:space="preserve">AWD待发货量</t>
  </si>
  <si>
    <t xml:space="preserve">AWD标发在途</t>
  </si>
  <si>
    <t xml:space="preserve">可用库存</t>
  </si>
  <si>
    <t xml:space="preserve">销量</t>
  </si>
  <si>
    <t xml:space="preserve">销售额</t>
  </si>
  <si>
    <t xml:space="preserve">订单量</t>
  </si>
  <si>
    <t xml:space="preserve">净销售额</t>
  </si>
  <si>
    <t xml:space="preserve">销量环比</t>
  </si>
  <si>
    <t xml:space="preserve">销售额环比</t>
  </si>
  <si>
    <t xml:space="preserve">订单量环比</t>
  </si>
  <si>
    <t xml:space="preserve">销量同比</t>
  </si>
  <si>
    <t xml:space="preserve">订单量同比</t>
  </si>
  <si>
    <t xml:space="preserve">销量额同比</t>
  </si>
  <si>
    <t xml:space="preserve">B2B 销量</t>
  </si>
  <si>
    <t xml:space="preserve">B2B 销售额</t>
  </si>
  <si>
    <t xml:space="preserve">B2B 订单量</t>
  </si>
  <si>
    <t xml:space="preserve">FBM买家运费</t>
  </si>
  <si>
    <t xml:space="preserve">促销销量</t>
  </si>
  <si>
    <t xml:space="preserve">促销销售额</t>
  </si>
  <si>
    <t xml:space="preserve">促销订单量</t>
  </si>
  <si>
    <t xml:space="preserve">促销折扣</t>
  </si>
  <si>
    <t xml:space="preserve">日均销量</t>
  </si>
  <si>
    <t xml:space="preserve">日均销售额</t>
  </si>
  <si>
    <t xml:space="preserve">日均订单量</t>
  </si>
  <si>
    <t xml:space="preserve">销售均价</t>
  </si>
  <si>
    <t xml:space="preserve">大类排名</t>
  </si>
  <si>
    <t xml:space="preserve">小类排名</t>
  </si>
  <si>
    <t xml:space="preserve">退款量</t>
  </si>
  <si>
    <t xml:space="preserve">退款金额</t>
  </si>
  <si>
    <t xml:space="preserve">退款率</t>
  </si>
  <si>
    <t xml:space="preserve">评分</t>
  </si>
  <si>
    <t xml:space="preserve">评论数</t>
  </si>
  <si>
    <t xml:space="preserve">留评率</t>
  </si>
  <si>
    <t xml:space="preserve">结算毛利润</t>
  </si>
  <si>
    <t xml:space="preserve">订单毛利润</t>
  </si>
  <si>
    <t xml:space="preserve">结算毛利率</t>
  </si>
  <si>
    <t xml:space="preserve">订单毛利率</t>
  </si>
  <si>
    <t xml:space="preserve">ROI</t>
  </si>
  <si>
    <t xml:space="preserve">退货量</t>
  </si>
  <si>
    <t xml:space="preserve">退货率</t>
  </si>
  <si>
    <t xml:space="preserve">Sessions-Browser</t>
  </si>
  <si>
    <t xml:space="preserve">Sessions-Browser-Percentage</t>
  </si>
  <si>
    <t xml:space="preserve">Sessions-Mobile</t>
  </si>
  <si>
    <t xml:space="preserve">Sessions-Mobile-Percentage</t>
  </si>
  <si>
    <t xml:space="preserve">Sessions-Total</t>
  </si>
  <si>
    <t xml:space="preserve">PV-Browser</t>
  </si>
  <si>
    <t xml:space="preserve">PV-Mobile</t>
  </si>
  <si>
    <t xml:space="preserve">PV-Total</t>
  </si>
  <si>
    <t xml:space="preserve">CVR</t>
  </si>
  <si>
    <t xml:space="preserve">销量CVR</t>
  </si>
  <si>
    <t xml:space="preserve">Buybox赢得率</t>
  </si>
  <si>
    <t xml:space="preserve">CPC</t>
  </si>
  <si>
    <t xml:space="preserve">CTR</t>
  </si>
  <si>
    <t xml:space="preserve">广告花费</t>
  </si>
  <si>
    <t xml:space="preserve">SB广告费</t>
  </si>
  <si>
    <t xml:space="preserve">SBV广告费</t>
  </si>
  <si>
    <t xml:space="preserve">SD广告费</t>
  </si>
  <si>
    <t xml:space="preserve">SP广告费</t>
  </si>
  <si>
    <t xml:space="preserve">ROAS</t>
  </si>
  <si>
    <t xml:space="preserve">ACOS</t>
  </si>
  <si>
    <t xml:space="preserve">ACoAS</t>
  </si>
  <si>
    <t xml:space="preserve">ASoAS</t>
  </si>
  <si>
    <t xml:space="preserve">CPO</t>
  </si>
  <si>
    <t xml:space="preserve">CPU</t>
  </si>
  <si>
    <t xml:space="preserve">CPM</t>
  </si>
  <si>
    <t xml:space="preserve">广告销售额</t>
  </si>
  <si>
    <t xml:space="preserve">广告订单量</t>
  </si>
  <si>
    <t xml:space="preserve">直接成交订单量</t>
  </si>
  <si>
    <t xml:space="preserve">直接成交销售额</t>
  </si>
  <si>
    <t xml:space="preserve">广告订单占比</t>
  </si>
  <si>
    <t xml:space="preserve">广告CVR</t>
  </si>
  <si>
    <t xml:space="preserve">展示</t>
  </si>
  <si>
    <t xml:space="preserve">点击</t>
  </si>
  <si>
    <t xml:space="preserve">自然订单量</t>
  </si>
  <si>
    <t xml:space="preserve">自然点击量</t>
  </si>
  <si>
    <t xml:space="preserve">自然CVR</t>
  </si>
  <si>
    <t xml:space="preserve">Sessions-Percentage</t>
  </si>
  <si>
    <t xml:space="preserve">Unit-Sessions-Percentage</t>
  </si>
  <si>
    <t xml:space="preserve">PV-Browser-Percentage</t>
  </si>
  <si>
    <t xml:space="preserve">PV-Mobile-Percentage</t>
  </si>
  <si>
    <t xml:space="preserve">PV-Percentage</t>
  </si>
  <si>
    <t xml:space="preserve">Sessions-Browser(B2B)</t>
  </si>
  <si>
    <t xml:space="preserve">Sessions-Browser-Percentage(B2B)</t>
  </si>
  <si>
    <t xml:space="preserve">Sessions-Mobile(B2B)</t>
  </si>
  <si>
    <t xml:space="preserve">Sessions-Mobile-Percentage(B2B)</t>
  </si>
  <si>
    <t xml:space="preserve">Sessions-Total(B2B)</t>
  </si>
  <si>
    <t xml:space="preserve">Sessions-Percentage(B2B)</t>
  </si>
  <si>
    <t xml:space="preserve">Unit-Sessions-Percentage(B2B)</t>
  </si>
  <si>
    <t xml:space="preserve">PV-Browser(B2B)</t>
  </si>
  <si>
    <t xml:space="preserve">PV-Browser-Percentage(B2B)</t>
  </si>
  <si>
    <t xml:space="preserve">PV-Mobile(B2B)</t>
  </si>
  <si>
    <t xml:space="preserve">PV-Mobile-Percentage(B2B)</t>
  </si>
  <si>
    <t xml:space="preserve">PV-Total(B2B)</t>
  </si>
  <si>
    <t xml:space="preserve">PV-Percentage(B2B)</t>
  </si>
  <si>
    <t xml:space="preserve">CVR(B2B)</t>
  </si>
  <si>
    <t xml:space="preserve">销量CVR(B2B)</t>
  </si>
  <si>
    <t xml:space="preserve">Buybox赢得率(B2B)</t>
  </si>
  <si>
    <t xml:space="preserve">运营日志</t>
  </si>
  <si>
    <t xml:space="preserve">2025-12-01</t>
  </si>
  <si>
    <t xml:space="preserve">R0007EU</t>
  </si>
  <si>
    <t xml:space="preserve">B0FNMBQFBC</t>
  </si>
  <si>
    <t xml:space="preserve">HYCHIKA-AP100A-空净</t>
  </si>
  <si>
    <t xml:space="preserve">0.00%</t>
  </si>
  <si>
    <t xml:space="preserve">**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</si>
  <si>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</si>
  <si>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</si>
  <si>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</si>
  <si>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</si>
  <si>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</si>
  <si>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</si>
  <si>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</si>
  <si>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</si>
  <si>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</si>
  <si>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</si>
  <si>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</si>
  <si>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</si>
  <si>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</si>
  <si>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</si>
  <si>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</si>
  <si>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</si>
  <si>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</si>
  <si>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0.24%</t>
  </si>
  <si>
    <t xml:space="preserve">100.00%</t>
  </si>
  <si>
    <t xml:space="preserve">0.13%</t>
  </si>
  <si>
    <t xml:space="preserve">2025-12-19</t>
  </si>
  <si>
    <t xml:space="preserve">1.94%</t>
  </si>
  <si>
    <t xml:space="preserve">58.82%</t>
  </si>
  <si>
    <t xml:space="preserve">1.00%</t>
  </si>
  <si>
    <t xml:space="preserve">0.92%</t>
  </si>
  <si>
    <t xml:space="preserve">2025-12-20</t>
  </si>
  <si>
    <t xml:space="preserve">0.15%</t>
  </si>
  <si>
    <t xml:space="preserve">0.03%</t>
  </si>
  <si>
    <t xml:space="preserve">2025-12-21</t>
  </si>
  <si>
    <t xml:space="preserve">2025-12-22</t>
  </si>
  <si>
    <t xml:space="preserve">0.41%</t>
  </si>
  <si>
    <t xml:space="preserve">94.00%</t>
  </si>
  <si>
    <t xml:space="preserve">0.60%</t>
  </si>
  <si>
    <t xml:space="preserve">2025-12-23</t>
  </si>
  <si>
    <t xml:space="preserve">Casa e cucina：149617</t>
  </si>
  <si>
    <t xml:space="preserve">Purificatori d'aria：180</t>
  </si>
  <si>
    <t xml:space="preserve">2025-12-24</t>
  </si>
  <si>
    <t xml:space="preserve">时间</t>
  </si>
  <si>
    <t xml:space="preserve">SKU</t>
  </si>
  <si>
    <t xml:space="preserve">父ASIN</t>
  </si>
  <si>
    <t xml:space="preserve">ASIN</t>
  </si>
  <si>
    <t xml:space="preserve">MSKU</t>
  </si>
  <si>
    <t xml:space="preserve">品名</t>
  </si>
  <si>
    <t xml:space="preserve">售价(总价)</t>
  </si>
  <si>
    <t xml:space="preserve">价格</t>
  </si>
  <si>
    <t xml:space="preserve">FBA-可售</t>
  </si>
  <si>
    <t xml:space="preserve">FBM可售</t>
  </si>
  <si>
    <t xml:space="preserve">AWD在库</t>
  </si>
  <si>
    <t xml:space="preserve">AWD可用量</t>
  </si>
  <si>
    <t xml:space="preserve">AWD待发货量</t>
  </si>
  <si>
    <t xml:space="preserve">AWD标发在途</t>
  </si>
  <si>
    <t xml:space="preserve">可用库存</t>
  </si>
  <si>
    <t xml:space="preserve">销量</t>
  </si>
  <si>
    <t xml:space="preserve">销售额</t>
  </si>
  <si>
    <t xml:space="preserve">订单量</t>
  </si>
  <si>
    <t xml:space="preserve">净销售额</t>
  </si>
  <si>
    <t xml:space="preserve">销量环比</t>
  </si>
  <si>
    <t xml:space="preserve">销售额环比</t>
  </si>
  <si>
    <t xml:space="preserve">订单量环比</t>
  </si>
  <si>
    <t xml:space="preserve">销量同比</t>
  </si>
  <si>
    <t xml:space="preserve">订单量同比</t>
  </si>
  <si>
    <t xml:space="preserve">销量额同比</t>
  </si>
  <si>
    <t xml:space="preserve">B2B 销量</t>
  </si>
  <si>
    <t xml:space="preserve">B2B 销售额</t>
  </si>
  <si>
    <t xml:space="preserve">B2B 订单量</t>
  </si>
  <si>
    <t xml:space="preserve">FBM买家运费</t>
  </si>
  <si>
    <t xml:space="preserve">促销销量</t>
  </si>
  <si>
    <t xml:space="preserve">促销销售额</t>
  </si>
  <si>
    <t xml:space="preserve">促销订单量</t>
  </si>
  <si>
    <t xml:space="preserve">促销折扣</t>
  </si>
  <si>
    <t xml:space="preserve">日均销量</t>
  </si>
  <si>
    <t xml:space="preserve">日均销售额</t>
  </si>
  <si>
    <t xml:space="preserve">日均订单量</t>
  </si>
  <si>
    <t xml:space="preserve">销售均价</t>
  </si>
  <si>
    <t xml:space="preserve">大类排名</t>
  </si>
  <si>
    <t xml:space="preserve">小类排名</t>
  </si>
  <si>
    <t xml:space="preserve">退款量</t>
  </si>
  <si>
    <t xml:space="preserve">退款金额</t>
  </si>
  <si>
    <t xml:space="preserve">退款率</t>
  </si>
  <si>
    <t xml:space="preserve">评分</t>
  </si>
  <si>
    <t xml:space="preserve">评论数</t>
  </si>
  <si>
    <t xml:space="preserve">留评率</t>
  </si>
  <si>
    <t xml:space="preserve">结算毛利润</t>
  </si>
  <si>
    <t xml:space="preserve">订单毛利润</t>
  </si>
  <si>
    <t xml:space="preserve">结算毛利率</t>
  </si>
  <si>
    <t xml:space="preserve">订单毛利率</t>
  </si>
  <si>
    <t xml:space="preserve">ROI</t>
  </si>
  <si>
    <t xml:space="preserve">退货量</t>
  </si>
  <si>
    <t xml:space="preserve">退货率</t>
  </si>
  <si>
    <t xml:space="preserve">Sessions-Browser</t>
  </si>
  <si>
    <t xml:space="preserve">Sessions-Browser-Percentage</t>
  </si>
  <si>
    <t xml:space="preserve">Sessions-Mobile</t>
  </si>
  <si>
    <t xml:space="preserve">Sessions-Mobile-Percentage</t>
  </si>
  <si>
    <t xml:space="preserve">Sessions-Total</t>
  </si>
  <si>
    <t xml:space="preserve">PV-Browser</t>
  </si>
  <si>
    <t xml:space="preserve">PV-Mobile</t>
  </si>
  <si>
    <t xml:space="preserve">PV-Total</t>
  </si>
  <si>
    <t xml:space="preserve">CVR</t>
  </si>
  <si>
    <t xml:space="preserve">销量CVR</t>
  </si>
  <si>
    <t xml:space="preserve">Buybox赢得率</t>
  </si>
  <si>
    <t xml:space="preserve">CPC</t>
  </si>
  <si>
    <t xml:space="preserve">CTR</t>
  </si>
  <si>
    <t xml:space="preserve">广告花费</t>
  </si>
  <si>
    <t xml:space="preserve">SB广告费</t>
  </si>
  <si>
    <t xml:space="preserve">SBV广告费</t>
  </si>
  <si>
    <t xml:space="preserve">SD广告费</t>
  </si>
  <si>
    <t xml:space="preserve">SP广告费</t>
  </si>
  <si>
    <t xml:space="preserve">ROAS</t>
  </si>
  <si>
    <t xml:space="preserve">ACOS</t>
  </si>
  <si>
    <t xml:space="preserve">ACoAS</t>
  </si>
  <si>
    <t xml:space="preserve">ASoAS</t>
  </si>
  <si>
    <t xml:space="preserve">CPO</t>
  </si>
  <si>
    <t xml:space="preserve">CPU</t>
  </si>
  <si>
    <t xml:space="preserve">CPM</t>
  </si>
  <si>
    <t xml:space="preserve">广告销售额</t>
  </si>
  <si>
    <t xml:space="preserve">广告订单量</t>
  </si>
  <si>
    <t xml:space="preserve">直接成交订单量</t>
  </si>
  <si>
    <t xml:space="preserve">直接成交销售额</t>
  </si>
  <si>
    <t xml:space="preserve">广告订单占比</t>
  </si>
  <si>
    <t xml:space="preserve">广告CVR</t>
  </si>
  <si>
    <t xml:space="preserve">展示</t>
  </si>
  <si>
    <t xml:space="preserve">点击</t>
  </si>
  <si>
    <t xml:space="preserve">自然订单量</t>
  </si>
  <si>
    <t xml:space="preserve">自然点击量</t>
  </si>
  <si>
    <t xml:space="preserve">自然CVR</t>
  </si>
  <si>
    <t xml:space="preserve">Sessions-Percentage</t>
  </si>
  <si>
    <t xml:space="preserve">Unit-Sessions-Percentage</t>
  </si>
  <si>
    <t xml:space="preserve">PV-Browser-Percentage</t>
  </si>
  <si>
    <t xml:space="preserve">PV-Mobile-Percentage</t>
  </si>
  <si>
    <t xml:space="preserve">PV-Percentage</t>
  </si>
  <si>
    <t xml:space="preserve">Sessions-Browser(B2B)</t>
  </si>
  <si>
    <t xml:space="preserve">Sessions-Browser-Percentage(B2B)</t>
  </si>
  <si>
    <t xml:space="preserve">Sessions-Mobile(B2B)</t>
  </si>
  <si>
    <t xml:space="preserve">Sessions-Mobile-Percentage(B2B)</t>
  </si>
  <si>
    <t xml:space="preserve">Sessions-Total(B2B)</t>
  </si>
  <si>
    <t xml:space="preserve">Sessions-Percentage(B2B)</t>
  </si>
  <si>
    <t xml:space="preserve">Unit-Sessions-Percentage(B2B)</t>
  </si>
  <si>
    <t xml:space="preserve">PV-Browser(B2B)</t>
  </si>
  <si>
    <t xml:space="preserve">PV-Browser-Percentage(B2B)</t>
  </si>
  <si>
    <t xml:space="preserve">PV-Mobile(B2B)</t>
  </si>
  <si>
    <t xml:space="preserve">PV-Mobile-Percentage(B2B)</t>
  </si>
  <si>
    <t xml:space="preserve">PV-Total(B2B)</t>
  </si>
  <si>
    <t xml:space="preserve">PV-Percentage(B2B)</t>
  </si>
  <si>
    <t xml:space="preserve">CVR(B2B)</t>
  </si>
  <si>
    <t xml:space="preserve">销量CVR(B2B)</t>
  </si>
  <si>
    <t xml:space="preserve">Buybox赢得率(B2B)</t>
  </si>
  <si>
    <t xml:space="preserve">运营日志</t>
  </si>
  <si>
    <t xml:space="preserve">2025-12-01</t>
  </si>
  <si>
    <t xml:space="preserve">R0007EU</t>
  </si>
  <si>
    <t xml:space="preserve">B0FNMBQFBC</t>
  </si>
  <si>
    <t xml:space="preserve">R00007EU,R0007EU</t>
  </si>
  <si>
    <t xml:space="preserve">HYCHIKA-AP100A-空净</t>
  </si>
  <si>
    <t xml:space="preserve">0.00%</t>
  </si>
  <si>
    <t xml:space="preserve">**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</si>
  <si>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</si>
  <si>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</si>
  <si>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</si>
  <si>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</si>
  <si>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</si>
  <si>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</si>
  <si>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</si>
  <si>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</si>
  <si>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</si>
  <si>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</si>
  <si>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</si>
  <si>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</si>
  <si>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</si>
  <si>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</si>
  <si>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</si>
  <si>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</si>
  <si>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</si>
  <si>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0.18%</t>
  </si>
  <si>
    <t xml:space="preserve">100.00%</t>
  </si>
  <si>
    <t xml:space="preserve">0.09%</t>
  </si>
  <si>
    <t xml:space="preserve">2025-12-19</t>
  </si>
  <si>
    <t xml:space="preserve">0.12%</t>
  </si>
  <si>
    <t xml:space="preserve">0.02%</t>
  </si>
  <si>
    <t xml:space="preserve">2025-12-20</t>
  </si>
  <si>
    <t xml:space="preserve">2025-12-21</t>
  </si>
  <si>
    <t xml:space="preserve">2025-12-22</t>
  </si>
  <si>
    <t xml:space="preserve">0.21%</t>
  </si>
  <si>
    <t xml:space="preserve">14.29%</t>
  </si>
  <si>
    <t xml:space="preserve">0.42%</t>
  </si>
  <si>
    <t xml:space="preserve">2025-12-23</t>
  </si>
  <si>
    <t xml:space="preserve">2025-12-24</t>
  </si>
  <si>
    <t xml:space="preserve">时间</t>
  </si>
  <si>
    <t xml:space="preserve">星期</t>
  </si>
  <si>
    <t xml:space="preserve">工作内容</t>
  </si>
  <si>
    <t xml:space="preserve">售价</t>
  </si>
  <si>
    <t xml:space="preserve">PD</t>
  </si>
  <si>
    <t xml:space="preserve">划线价
折扣</t>
  </si>
  <si>
    <t xml:space="preserve">CP</t>
  </si>
  <si>
    <t xml:space="preserve">最低
成交价</t>
  </si>
  <si>
    <t xml:space="preserve">SC最低
成交价毛利率</t>
  </si>
  <si>
    <t xml:space="preserve">VC采购价毛利率</t>
  </si>
  <si>
    <t xml:space="preserve">移动</t>
  </si>
  <si>
    <t xml:space="preserve">PC</t>
  </si>
  <si>
    <t xml:space="preserve">访问</t>
  </si>
  <si>
    <t xml:space="preserve">总转化率</t>
  </si>
  <si>
    <t xml:space="preserve">实际自然订单</t>
  </si>
  <si>
    <t xml:space="preserve">自然订单</t>
  </si>
  <si>
    <t xml:space="preserve">总订单</t>
  </si>
  <si>
    <t xml:space="preserve">VC订单</t>
  </si>
  <si>
    <t xml:space="preserve">B2B订单</t>
  </si>
  <si>
    <t xml:space="preserve">测评计划出单</t>
  </si>
  <si>
    <t xml:space="preserve">测评总出单</t>
  </si>
  <si>
    <t xml:space="preserve">测评完成率</t>
  </si>
  <si>
    <t xml:space="preserve">Vine</t>
  </si>
  <si>
    <t xml:space="preserve">销售额</t>
  </si>
  <si>
    <t xml:space="preserve">核心词ABA排名</t>
  </si>
  <si>
    <t xml:space="preserve">sif前三页关键词收录数量</t>
  </si>
  <si>
    <t xml:space="preserve">大类排名</t>
  </si>
  <si>
    <t xml:space="preserve">小类排名</t>
  </si>
  <si>
    <t xml:space="preserve">评论数</t>
  </si>
  <si>
    <t xml:space="preserve">评分</t>
  </si>
  <si>
    <t xml:space="preserve">广告数据</t>
  </si>
  <si>
    <t xml:space="preserve">毛利数据</t>
  </si>
  <si>
    <t xml:space="preserve">站外</t>
  </si>
  <si>
    <t xml:space="preserve">库存监控</t>
  </si>
  <si>
    <t xml:space="preserve">曝光</t>
  </si>
  <si>
    <t xml:space="preserve">点击</t>
  </si>
  <si>
    <t xml:space="preserve">点击率</t>
  </si>
  <si>
    <t xml:space="preserve">订单</t>
  </si>
  <si>
    <t xml:space="preserve">CPC</t>
  </si>
  <si>
    <t xml:space="preserve">ACOS</t>
  </si>
  <si>
    <t xml:space="preserve">广告转化</t>
  </si>
  <si>
    <t xml:space="preserve">广告订单占比</t>
  </si>
  <si>
    <t xml:space="preserve">花费（$）</t>
  </si>
  <si>
    <t xml:space="preserve">广告花费占比</t>
  </si>
  <si>
    <t xml:space="preserve">CPA</t>
  </si>
  <si>
    <t xml:space="preserve">广告销售额</t>
  </si>
  <si>
    <t xml:space="preserve">退款率</t>
  </si>
  <si>
    <t xml:space="preserve">广告订单毛利P1$</t>
  </si>
  <si>
    <t xml:space="preserve">自然订单毛利P1$</t>
  </si>
  <si>
    <t xml:space="preserve">总订单毛利P1$</t>
  </si>
  <si>
    <t xml:space="preserve">总订单毛利率P1</t>
  </si>
  <si>
    <t xml:space="preserve">国内总成本$</t>
  </si>
  <si>
    <t xml:space="preserve">回款金额</t>
  </si>
  <si>
    <t xml:space="preserve">测评亏损</t>
  </si>
  <si>
    <t xml:space="preserve">站外毛利$</t>
  </si>
  <si>
    <t xml:space="preserve">站外出单</t>
  </si>
  <si>
    <t xml:space="preserve">站外售价</t>
  </si>
  <si>
    <t xml:space="preserve">站外折扣</t>
  </si>
  <si>
    <t xml:space="preserve">自然流量</t>
  </si>
  <si>
    <t xml:space="preserve">自然转化</t>
  </si>
  <si>
    <t xml:space="preserve">VC仓库存</t>
  </si>
  <si>
    <t xml:space="preserve">海外仓库存</t>
  </si>
  <si>
    <t xml:space="preserve">总库存</t>
  </si>
  <si>
    <t xml:space="preserve">VC其他订单数</t>
  </si>
  <si>
    <t xml:space="preserve">备注</t>
  </si>
  <si>
    <t xml:space="preserve">星期一</t>
  </si>
  <si>
    <t xml:space="preserve">-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</si>
  <si>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</si>
  <si>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</si>
  <si>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</si>
  <si>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</si>
  <si>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</si>
  <si>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</si>
  <si>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汇总 这一行不编辑，增加行 插入就行 </t>
  </si>
  <si>
    <t xml:space="preserve">时间</t>
  </si>
  <si>
    <t xml:space="preserve">星期</t>
  </si>
  <si>
    <t xml:space="preserve">工作内容</t>
  </si>
  <si>
    <t xml:space="preserve">售价</t>
  </si>
  <si>
    <t xml:space="preserve">FBA价</t>
  </si>
  <si>
    <t xml:space="preserve">划线价
折扣</t>
  </si>
  <si>
    <t xml:space="preserve">CP</t>
  </si>
  <si>
    <t xml:space="preserve">最低
成交价</t>
  </si>
  <si>
    <t xml:space="preserve">SC最低
成交价毛利率</t>
  </si>
  <si>
    <t xml:space="preserve">VC采购价毛利率</t>
  </si>
  <si>
    <t xml:space="preserve">移动</t>
  </si>
  <si>
    <t xml:space="preserve">PC</t>
  </si>
  <si>
    <t xml:space="preserve">访问</t>
  </si>
  <si>
    <t xml:space="preserve">总转化率</t>
  </si>
  <si>
    <t xml:space="preserve">实际自然订单</t>
  </si>
  <si>
    <t xml:space="preserve">自然订单</t>
  </si>
  <si>
    <t xml:space="preserve">总订单</t>
  </si>
  <si>
    <t xml:space="preserve">VC订单</t>
  </si>
  <si>
    <t xml:space="preserve">B2B订单</t>
  </si>
  <si>
    <t xml:space="preserve">测评计划出单</t>
  </si>
  <si>
    <t xml:space="preserve">测评总出单</t>
  </si>
  <si>
    <t xml:space="preserve">测评完成率</t>
  </si>
  <si>
    <t xml:space="preserve">Vine</t>
  </si>
  <si>
    <t xml:space="preserve">销售额</t>
  </si>
  <si>
    <t xml:space="preserve">核心词ABA排名</t>
  </si>
  <si>
    <t xml:space="preserve">sif前三页关键词收录数量</t>
  </si>
  <si>
    <t xml:space="preserve">大类排名</t>
  </si>
  <si>
    <t xml:space="preserve">小类排名</t>
  </si>
  <si>
    <t xml:space="preserve">评论数</t>
  </si>
  <si>
    <t xml:space="preserve">评分</t>
  </si>
  <si>
    <t xml:space="preserve">广告数据</t>
  </si>
  <si>
    <t xml:space="preserve">毛利数据</t>
  </si>
  <si>
    <t xml:space="preserve">站外</t>
  </si>
  <si>
    <t xml:space="preserve">库存监控</t>
  </si>
  <si>
    <t xml:space="preserve">曝光</t>
  </si>
  <si>
    <t xml:space="preserve">点击</t>
  </si>
  <si>
    <t xml:space="preserve">点击率</t>
  </si>
  <si>
    <t xml:space="preserve">订单</t>
  </si>
  <si>
    <t xml:space="preserve">CPC</t>
  </si>
  <si>
    <t xml:space="preserve">ACOS</t>
  </si>
  <si>
    <t xml:space="preserve">广告转化</t>
  </si>
  <si>
    <t xml:space="preserve">广告订单占比</t>
  </si>
  <si>
    <t xml:space="preserve">花费（$）</t>
  </si>
  <si>
    <t xml:space="preserve">广告花费占比</t>
  </si>
  <si>
    <t xml:space="preserve">CPA</t>
  </si>
  <si>
    <t xml:space="preserve">广告销售额</t>
  </si>
  <si>
    <t xml:space="preserve">广告销售额占店铺总销售额</t>
  </si>
  <si>
    <t xml:space="preserve">退款率</t>
  </si>
  <si>
    <t xml:space="preserve">广告订单毛利P1$</t>
  </si>
  <si>
    <t xml:space="preserve">自然订单毛利P1$</t>
  </si>
  <si>
    <t xml:space="preserve">总订单毛利P1$</t>
  </si>
  <si>
    <t xml:space="preserve">总订单毛利率P1</t>
  </si>
  <si>
    <t xml:space="preserve">国内总成本$</t>
  </si>
  <si>
    <t xml:space="preserve">回款金额</t>
  </si>
  <si>
    <t xml:space="preserve">测评亏损</t>
  </si>
  <si>
    <t xml:space="preserve">站外毛利$</t>
  </si>
  <si>
    <t xml:space="preserve">站外出单</t>
  </si>
  <si>
    <t xml:space="preserve">站外售价</t>
  </si>
  <si>
    <t xml:space="preserve">站外折扣</t>
  </si>
  <si>
    <t xml:space="preserve">自然流量</t>
  </si>
  <si>
    <t xml:space="preserve">自然转化</t>
  </si>
  <si>
    <t xml:space="preserve">VC仓库存</t>
  </si>
  <si>
    <t xml:space="preserve">海外仓库存</t>
  </si>
  <si>
    <t xml:space="preserve">总库存</t>
  </si>
  <si>
    <t xml:space="preserve">VC其他订单数</t>
  </si>
  <si>
    <t xml:space="preserve">备注</t>
  </si>
  <si>
    <t xml:space="preserve">星期一</t>
  </si>
  <si>
    <t xml:space="preserve">-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</si>
  <si>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</si>
  <si>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</si>
  <si>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</si>
  <si>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</si>
  <si>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</si>
  <si>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</si>
  <si>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汇总</t>
  </si>
  <si>
    <t xml:space="preserve">站点</t>
  </si>
  <si>
    <t xml:space="preserve">售价</t>
  </si>
  <si>
    <t xml:space="preserve">折扣</t>
  </si>
  <si>
    <t xml:space="preserve">折前利润</t>
  </si>
  <si>
    <t xml:space="preserve">折后利润</t>
  </si>
  <si>
    <t xml:space="preserve">文本</t>
  </si>
  <si>
    <t xml:space="preserve">开始时间</t>
  </si>
  <si>
    <t xml:space="preserve">结束时间</t>
  </si>
  <si>
    <t xml:space="preserve">状态</t>
  </si>
  <si>
    <t xml:space="preserve">德国</t>
  </si>
  <si>
    <t xml:space="preserve">暂停</t>
  </si>
  <si>
    <t xml:space="preserve">月份</t>
  </si>
  <si>
    <t xml:space="preserve">期初库存</t>
  </si>
  <si>
    <t xml:space="preserve">入库数量</t>
  </si>
  <si>
    <t xml:space="preserve">待发PO</t>
  </si>
  <si>
    <t xml:space="preserve">普通PO</t>
  </si>
  <si>
    <t xml:space="preserve">PO计划
月销</t>
  </si>
  <si>
    <t xml:space="preserve">PO实际
月销</t>
  </si>
  <si>
    <t xml:space="preserve">前台
月销</t>
  </si>
  <si>
    <t xml:space="preserve">前台期初库存</t>
  </si>
  <si>
    <t xml:space="preserve">入库备注</t>
  </si>
  <si>
    <t xml:space="preserve">到货时间</t>
  </si>
  <si>
    <t xml:space="preserve">出货时间</t>
  </si>
  <si>
    <t xml:space="preserve">下单时间</t>
  </si>
  <si>
    <t xml:space="preserve">订单状态</t>
  </si>
  <si>
    <t xml:space="preserve">采购单号</t>
  </si>
  <si>
    <t xml:space="preserve">物流
交期</t>
  </si>
  <si>
    <t xml:space="preserve">生产
交期</t>
  </si>
  <si>
    <t xml:space="preserve">已入库</t>
  </si>
  <si>
    <t xml:space="preserve">在途</t>
  </si>
  <si>
    <t xml:space="preserve">已下单</t>
  </si>
  <si>
    <t xml:space="preserve">已发货</t>
  </si>
  <si>
    <t xml:space="preserve">SC站内推广</t>
  </si>
  <si>
    <t xml:space="preserve">汇率</t>
  </si>
  <si>
    <t xml:space="preserve">国家</t>
  </si>
  <si>
    <t xml:space="preserve">国家代码</t>
  </si>
  <si>
    <t xml:space="preserve">有无VAT</t>
  </si>
  <si>
    <t xml:space="preserve">成本价(0边利)</t>
  </si>
  <si>
    <t xml:space="preserve">建议价(20%边利)</t>
  </si>
  <si>
    <t xml:space="preserve">实际定价</t>
  </si>
  <si>
    <t xml:space="preserve">采购价</t>
  </si>
  <si>
    <t xml:space="preserve">FBA Fee</t>
  </si>
  <si>
    <t xml:space="preserve">佣金比例</t>
  </si>
  <si>
    <t xml:space="preserve">VAT</t>
  </si>
  <si>
    <t xml:space="preserve">预估退货率</t>
  </si>
  <si>
    <t xml:space="preserve">推广费率</t>
  </si>
  <si>
    <t xml:space="preserve">FBA仓储费</t>
  </si>
  <si>
    <t xml:space="preserve">其他费用</t>
  </si>
  <si>
    <t xml:space="preserve">长</t>
  </si>
  <si>
    <t xml:space="preserve">宽</t>
  </si>
  <si>
    <t xml:space="preserve">高</t>
  </si>
  <si>
    <t xml:space="preserve">包装后实重</t>
  </si>
  <si>
    <t xml:space="preserve">体积重</t>
  </si>
  <si>
    <t xml:space="preserve">计费重</t>
  </si>
  <si>
    <t xml:space="preserve">运输方式</t>
  </si>
  <si>
    <t xml:space="preserve">运费单价</t>
  </si>
  <si>
    <t xml:space="preserve">运费</t>
  </si>
  <si>
    <t xml:space="preserve">利润/USD</t>
  </si>
  <si>
    <t xml:space="preserve">利润率/USD</t>
  </si>
  <si>
    <t xml:space="preserve">电动牙刷日常价</t>
  </si>
  <si>
    <t xml:space="preserve">DE</t>
  </si>
  <si>
    <t xml:space="preserve">有</t>
  </si>
  <si>
    <t xml:space="preserve">海运</t>
  </si>
  <si>
    <t xml:space="preserve">站点</t>
  </si>
  <si>
    <t xml:space="preserve">活动类型</t>
  </si>
  <si>
    <t xml:space="preserve">活动名称</t>
  </si>
  <si>
    <t xml:space="preserve">周期</t>
  </si>
  <si>
    <t xml:space="preserve">活动价格</t>
  </si>
  <si>
    <t xml:space="preserve">毛利率（预留广告空间）</t>
  </si>
  <si>
    <t xml:space="preserve">销量</t>
  </si>
  <si>
    <t xml:space="preserve">排名</t>
  </si>
  <si>
    <t xml:space="preserve">预算广告上限</t>
  </si>
  <si>
    <t xml:space="preserve">实际广告花费</t>
  </si>
  <si>
    <t xml:space="preserve">站点</t>
  </si>
  <si>
    <t xml:space="preserve">差评时间</t>
  </si>
  <si>
    <t xml:space="preserve">星级</t>
  </si>
  <si>
    <t xml:space="preserve">订单号</t>
  </si>
  <si>
    <t xml:space="preserve">差评链接</t>
  </si>
  <si>
    <t xml:space="preserve">处理结果</t>
  </si>
  <si>
    <t xml:space="preserve">删评时间</t>
  </si>
  <si>
    <t xml:space="preserve">备注</t>
  </si>
  <si>
    <t xml:space="preserve">计划上评节奏跟进表</t>
  </si>
  <si>
    <t xml:space="preserve">时间</t>
  </si>
  <si>
    <t xml:space="preserve">指标</t>
  </si>
  <si>
    <t xml:space="preserve">周五</t>
  </si>
  <si>
    <t xml:space="preserve">周六</t>
  </si>
  <si>
    <t xml:space="preserve">周天</t>
  </si>
  <si>
    <t xml:space="preserve">周一</t>
  </si>
  <si>
    <t xml:space="preserve">周二</t>
  </si>
  <si>
    <t xml:space="preserve">周三</t>
  </si>
  <si>
    <t xml:space="preserve">周四</t>
  </si>
  <si>
    <t xml:space="preserve">计划刷单数量</t>
  </si>
  <si>
    <t xml:space="preserve">实际刷单数量</t>
  </si>
  <si>
    <t xml:space="preserve">竞对转化率</t>
  </si>
  <si>
    <t xml:space="preserve">类目转化率</t>
  </si>
  <si>
    <t xml:space="preserve">目标转化率</t>
  </si>
  <si>
    <t xml:space="preserve">实际转化率</t>
  </si>
  <si>
    <t xml:space="preserve">是否需要补单</t>
  </si>
  <si>
    <t xml:space="preserve">计划刷单节奏跟进表</t>
  </si>
  <si>
    <t xml:space="preserve">绿标计划节奏跟进表</t>
  </si>
  <si>
    <t xml:space="preserve">名称</t>
  </si>
  <si>
    <t xml:space="preserve">ASIN</t>
  </si>
  <si>
    <t xml:space="preserve">德国</t>
  </si>
  <si>
    <t xml:space="preserve">法国</t>
  </si>
  <si>
    <t xml:space="preserve">意大利</t>
  </si>
  <si>
    <t xml:space="preserve">西班牙</t>
  </si>
  <si>
    <t xml:space="preserve">其他站点</t>
  </si>
  <si>
    <t xml:space="preserve">指标</t>
  </si>
  <si>
    <t xml:space="preserve">DE</t>
  </si>
  <si>
    <t xml:space="preserve">FR</t>
  </si>
  <si>
    <t xml:space="preserve">IT</t>
  </si>
  <si>
    <t xml:space="preserve">ES</t>
  </si>
  <si>
    <t xml:space="preserve">OTHER</t>
  </si>
  <si>
    <t xml:space="preserve">周五</t>
  </si>
  <si>
    <t xml:space="preserve">周六</t>
  </si>
  <si>
    <t xml:space="preserve">周天</t>
  </si>
  <si>
    <t xml:space="preserve">周一</t>
  </si>
  <si>
    <t xml:space="preserve">周二</t>
  </si>
  <si>
    <t xml:space="preserve">周三</t>
  </si>
  <si>
    <t xml:space="preserve">周四</t>
  </si>
  <si>
    <t xml:space="preserve">计划刷单数量</t>
  </si>
  <si>
    <t xml:space="preserve">
</t>
  </si>
  <si>
    <t xml:space="preserve">实际刷单数量</t>
  </si>
  <si>
    <t xml:space="preserve">计划中</t>
  </si>
  <si>
    <t xml:space="preserve">已领取</t>
  </si>
  <si>
    <t xml:space="preserve">实际的</t>
  </si>
  <si>
    <t xml:space="preserve">UK</t>
  </si>
  <si>
    <t xml:space="preserve">站外推广计划-节奏跟进表</t>
  </si>
  <si>
    <t xml:space="preserve">时间</t>
  </si>
  <si>
    <t xml:space="preserve">指标</t>
  </si>
  <si>
    <t xml:space="preserve">周五</t>
  </si>
  <si>
    <t xml:space="preserve">周六</t>
  </si>
  <si>
    <t xml:space="preserve">周天</t>
  </si>
  <si>
    <t xml:space="preserve">周一</t>
  </si>
  <si>
    <t xml:space="preserve">周二</t>
  </si>
  <si>
    <t xml:space="preserve">周三</t>
  </si>
  <si>
    <t xml:space="preserve">周四</t>
  </si>
  <si>
    <t xml:space="preserve">计划刷单数量</t>
  </si>
  <si>
    <t xml:space="preserve">实际刷单数量</t>
  </si>
  <si>
    <t xml:space="preserve">竞对转化率</t>
  </si>
  <si>
    <t xml:space="preserve">类目转化率</t>
  </si>
  <si>
    <t xml:space="preserve">目标转化率</t>
  </si>
  <si>
    <t xml:space="preserve">实际转化率</t>
  </si>
  <si>
    <t xml:space="preserve">是否需要补单</t>
  </si>
  <si>
    <t xml:space="preserve">时间</t>
  </si>
  <si>
    <t xml:space="preserve">周期</t>
  </si>
  <si>
    <t xml:space="preserve">佣金比率</t>
  </si>
  <si>
    <t xml:space="preserve">产品热度（站外）</t>
  </si>
  <si>
    <t xml:space="preserve">带货数量（站外）</t>
  </si>
  <si>
    <t xml:space="preserve">视频链接</t>
  </si>
  <si>
    <t xml:space="preserve">播放</t>
  </si>
  <si>
    <t xml:space="preserve">点赞</t>
  </si>
  <si>
    <t xml:space="preserve">互动</t>
  </si>
  <si>
    <t xml:space="preserve">提交时间</t>
  </si>
  <si>
    <t xml:space="preserve">周期</t>
  </si>
  <si>
    <t xml:space="preserve">领取量</t>
  </si>
  <si>
    <t xml:space="preserve">佣金比率</t>
  </si>
  <si>
    <t xml:space="preserve">红人（站内）</t>
  </si>
  <si>
    <t xml:space="preserve">带货数量（站内）</t>
  </si>
  <si>
    <t xml:space="preserve">基础资料</t>
  </si>
  <si>
    <t xml:space="preserve">库存信息</t>
  </si>
  <si>
    <t xml:space="preserve">备货量参考数据</t>
  </si>
  <si>
    <t xml:space="preserve">发货需求</t>
  </si>
  <si>
    <t xml:space="preserve">申请备货日期</t>
  </si>
  <si>
    <t xml:space="preserve">账号</t>
  </si>
  <si>
    <t xml:space="preserve">站点</t>
  </si>
  <si>
    <t xml:space="preserve">Asin</t>
  </si>
  <si>
    <t xml:space="preserve">系统SKU</t>
  </si>
  <si>
    <t xml:space="preserve">产品中文名</t>
  </si>
  <si>
    <t xml:space="preserve">产品定位</t>
  </si>
  <si>
    <t xml:space="preserve">采购价</t>
  </si>
  <si>
    <t xml:space="preserve">工厂余货
（采购中）</t>
  </si>
  <si>
    <t xml:space="preserve">VC在途数量</t>
  </si>
  <si>
    <t xml:space="preserve">海外仓库存数量</t>
  </si>
  <si>
    <t xml:space="preserve">VC亚马逊仓数量</t>
  </si>
  <si>
    <t xml:space="preserve">总库存数量</t>
  </si>
  <si>
    <t xml:space="preserve">一周销量</t>
  </si>
  <si>
    <t xml:space="preserve">两周销量</t>
  </si>
  <si>
    <t xml:space="preserve">当月销量</t>
  </si>
  <si>
    <t xml:space="preserve">当下在售产品的利润率</t>
  </si>
  <si>
    <t xml:space="preserve">产品退款率</t>
  </si>
  <si>
    <t xml:space="preserve">加权销量（日均）</t>
  </si>
  <si>
    <t xml:space="preserve">根据历史数据该产品到货时间段的销量预估（平均/天）</t>
  </si>
  <si>
    <t xml:space="preserve">运输方式</t>
  </si>
  <si>
    <t xml:space="preserve">接收仓</t>
  </si>
  <si>
    <t xml:space="preserve">预计发货时间</t>
  </si>
  <si>
    <t xml:space="preserve">预计到货时间</t>
  </si>
  <si>
    <t xml:space="preserve">运输时间</t>
  </si>
  <si>
    <t xml:space="preserve">采购天数</t>
  </si>
  <si>
    <t xml:space="preserve">上架天数</t>
  </si>
  <si>
    <t xml:space="preserve">安全天数</t>
  </si>
  <si>
    <t xml:space="preserve">在途+在库可售天数</t>
  </si>
  <si>
    <t xml:space="preserve">本次备货可售天数</t>
  </si>
  <si>
    <t xml:space="preserve">备货的合理性</t>
  </si>
  <si>
    <t xml:space="preserve">建议备货数量</t>
  </si>
  <si>
    <t xml:space="preserve">申请备货数量</t>
  </si>
  <si>
    <t xml:space="preserve">申请备货总金额</t>
  </si>
  <si>
    <t xml:space="preserve">历史是否申请过折扣 清库等</t>
  </si>
  <si>
    <t xml:space="preserve">店铺库容</t>
  </si>
  <si>
    <t xml:space="preserve">最终备货数量</t>
  </si>
  <si>
    <t xml:space="preserve">最终的备货金额</t>
  </si>
  <si>
    <t xml:space="preserve">备注</t>
  </si>
  <si>
    <t xml:space="preserve">发货计划（写清楚什么阶段发多少货走什么渠道，一次备货需在一个月内发完）</t>
  </si>
  <si>
    <t xml:space="preserve">在途库存 有1140</t>
  </si>
  <si>
    <t xml:space="preserve">VC</t>
  </si>
  <si>
    <t xml:space="preserve">DE</t>
  </si>
  <si>
    <t xml:space="preserve">除螨仪（欧规）</t>
  </si>
  <si>
    <t xml:space="preserve">聚焦款</t>
  </si>
  <si>
    <t xml:space="preserve">铁路</t>
  </si>
  <si>
    <t xml:space="preserve">直发海外仓</t>
  </si>
  <si>
    <t xml:space="preserve">否</t>
  </si>
  <si>
    <t xml:space="preserve">-</t>
  </si>
  <si>
    <t xml:space="preserve">第一批：计划3.30发货320个卡航，预计4.20 到海外仓；    最新动态 11月-22号 排队清关中
第二批：计划 3.30发货640个 铁路 预计5.15 到海外仓；
第三批：计划4.15发货200个海运，预计6.15 到海外仓；    最新动态 11-3已开船，预计12-6到港</t>
  </si>
  <si>
    <t xml:space="preserve">FBA在途数量</t>
  </si>
  <si>
    <t xml:space="preserve">FBA在库数量</t>
  </si>
  <si>
    <t xml:space="preserve">第三方海外仓数量</t>
  </si>
  <si>
    <t/>
    <r>
      <rPr>
        <b val="false"/>
        <i val="false"/>
        <strike val="false"/>
        <sz val="9"/>
        <color rgb="FF000000"/>
      </rPr>
      <t>发货需求（分别在什么时间段发走多少数量</t>
    </r>
    <r>
      <rPr>
        <b val="false"/>
        <i val="false"/>
        <strike val="false"/>
        <sz val="9"/>
        <color rgb="FFFF0000"/>
      </rPr>
      <t>）/</t>
    </r>
    <r>
      <rPr>
        <b val="true"/>
        <i val="false"/>
        <strike val="false"/>
        <sz val="9"/>
        <color rgb="FFFF0000"/>
      </rPr>
      <t>考虑旺季三倍仓租</t>
    </r>
  </si>
  <si>
    <t xml:space="preserve">在途库存 有360</t>
  </si>
  <si>
    <t xml:space="preserve">SC</t>
  </si>
  <si>
    <t xml:space="preserve">卡航</t>
  </si>
  <si>
    <t xml:space="preserve">工厂发FBA仓</t>
  </si>
  <si>
    <t xml:space="preserve">第一批：计划3.30发货200个卡航，预计4.20 到FBA仓；   最新动态    11月-22号 排队清关中
第二批：计划4.15发货200个铁路，预计5.15 到FBA仓；   最新动态    11-3已开船，预计12-6到港</t>
  </si>
  <si>
    <t xml:space="preserve">时间</t>
  </si>
  <si>
    <t xml:space="preserve">VCSKU</t>
  </si>
  <si>
    <t xml:space="preserve">产品名称</t>
  </si>
  <si>
    <t xml:space="preserve">采购</t>
  </si>
  <si>
    <t xml:space="preserve">PO出货</t>
  </si>
  <si>
    <t xml:space="preserve">VC销售</t>
  </si>
  <si>
    <t xml:space="preserve">多渠道出货</t>
  </si>
  <si>
    <t xml:space="preserve">云仓结存</t>
  </si>
  <si>
    <t xml:space="preserve">VC仓结存</t>
  </si>
  <si>
    <t xml:space="preserve">在途</t>
  </si>
  <si>
    <t xml:space="preserve">在途周转周</t>
  </si>
  <si>
    <t xml:space="preserve">运营端</t>
  </si>
  <si>
    <t xml:space="preserve">PO端-实际接单</t>
  </si>
  <si>
    <t xml:space="preserve">预估PO单</t>
  </si>
  <si>
    <t xml:space="preserve">合计周转天数</t>
  </si>
  <si>
    <t xml:space="preserve">渠道天数</t>
  </si>
  <si>
    <t xml:space="preserve">库存是否正常</t>
  </si>
  <si>
    <t xml:space="preserve">7天</t>
  </si>
  <si>
    <t xml:space="preserve">14天</t>
  </si>
  <si>
    <t xml:space="preserve">30天</t>
  </si>
  <si>
    <t xml:space="preserve">日均销量</t>
  </si>
  <si>
    <t xml:space="preserve">可售周转天数</t>
  </si>
  <si>
    <t xml:space="preserve">周均销量</t>
  </si>
  <si>
    <t xml:space="preserve">可售周转周</t>
  </si>
  <si>
    <t xml:space="preserve">预计来PO单</t>
  </si>
  <si>
    <t xml:space="preserve">加权预估PO单</t>
  </si>
  <si>
    <t xml:space="preserve">国内到海外仓天数</t>
  </si>
  <si>
    <t xml:space="preserve">海外仓到VC仓天数</t>
  </si>
  <si>
    <t xml:space="preserve">安全天数</t>
  </si>
  <si>
    <t xml:space="preserve">00131-1610-0360</t>
  </si>
  <si>
    <t xml:space="preserve">除螨仪</t>
  </si>
  <si>
    <t xml:space="preserve">站点</t>
  </si>
  <si>
    <t xml:space="preserve">类别</t>
  </si>
  <si>
    <t xml:space="preserve">提交时间</t>
  </si>
  <si>
    <t xml:space="preserve">订单号</t>
  </si>
  <si>
    <t xml:space="preserve">订单价格</t>
  </si>
  <si>
    <t xml:space="preserve">返款比率</t>
  </si>
  <si>
    <t xml:space="preserve">佣金币种</t>
  </si>
  <si>
    <t xml:space="preserve">佣金价格</t>
  </si>
  <si>
    <t xml:space="preserve">备注</t>
  </si>
  <si>
    <t xml:space="preserve">下单日期</t>
  </si>
  <si>
    <t xml:space="preserve">回评时间</t>
  </si>
  <si>
    <t xml:space="preserve">星级</t>
  </si>
  <si>
    <t xml:space="preserve">reveiw链接</t>
  </si>
  <si>
    <t xml:space="preserve">删评时间</t>
  </si>
  <si>
    <t xml:space="preserve">ASIN</t>
  </si>
  <si>
    <t xml:space="preserve">品名</t>
  </si>
  <si>
    <t xml:space="preserve">订单编号</t>
  </si>
  <si>
    <t xml:space="preserve">订单日期</t>
  </si>
  <si>
    <t xml:space="preserve">店铺名称</t>
  </si>
  <si>
    <t xml:space="preserve">订单状态</t>
  </si>
  <si>
    <t xml:space="preserve">销售渠道</t>
  </si>
  <si>
    <t xml:space="preserve">国家</t>
  </si>
  <si>
    <t xml:space="preserve">单价</t>
  </si>
  <si>
    <t xml:space="preserve">订单金额</t>
  </si>
  <si>
    <t xml:space="preserve">发货日期</t>
  </si>
  <si>
    <t xml:space="preserve">德国</t>
  </si>
  <si>
    <t xml:space="preserve">303-9652524-4956346</t>
  </si>
  <si>
    <t xml:space="preserve">B0F1F7J8V3</t>
  </si>
  <si>
    <t xml:space="preserve">除螨仪</t>
  </si>
  <si>
    <t xml:space="preserve">028-1062611-0943564</t>
  </si>
  <si>
    <t xml:space="preserve">028-0988772-0420346</t>
  </si>
  <si>
    <t xml:space="preserve">站点</t>
  </si>
  <si>
    <t xml:space="preserve">类别</t>
  </si>
  <si>
    <t xml:space="preserve">提交时间</t>
  </si>
  <si>
    <t xml:space="preserve">订单号</t>
  </si>
  <si>
    <t xml:space="preserve">订单价格</t>
  </si>
  <si>
    <t xml:space="preserve">返款比率</t>
  </si>
  <si>
    <t xml:space="preserve">佣金币种</t>
  </si>
  <si>
    <t xml:space="preserve">佣金价格</t>
  </si>
  <si>
    <t xml:space="preserve">备注</t>
  </si>
  <si>
    <t xml:space="preserve">下单日期</t>
  </si>
  <si>
    <t xml:space="preserve">回评时间</t>
  </si>
  <si>
    <t xml:space="preserve">星级</t>
  </si>
  <si>
    <t xml:space="preserve">reveiw链接</t>
  </si>
  <si>
    <t xml:space="preserve">删评时间</t>
  </si>
  <si>
    <t xml:space="preserve">ASIN</t>
  </si>
  <si>
    <t xml:space="preserve">品名</t>
  </si>
  <si>
    <t xml:space="preserve">订单编号</t>
  </si>
  <si>
    <t xml:space="preserve">订单日期</t>
  </si>
  <si>
    <t xml:space="preserve">店铺名称</t>
  </si>
  <si>
    <t xml:space="preserve">订单状态</t>
  </si>
  <si>
    <t xml:space="preserve">销售渠道</t>
  </si>
  <si>
    <t xml:space="preserve">国家</t>
  </si>
  <si>
    <t xml:space="preserve">单价</t>
  </si>
  <si>
    <t xml:space="preserve">订单金额</t>
  </si>
  <si>
    <t xml:space="preserve">发货日期</t>
  </si>
  <si>
    <t xml:space="preserve">法国</t>
  </si>
  <si>
    <t xml:space="preserve">404-7004710-8852346</t>
  </si>
  <si>
    <t xml:space="preserve">B0F1F7J8V3</t>
  </si>
  <si>
    <t xml:space="preserve">站点</t>
  </si>
  <si>
    <t xml:space="preserve">类别</t>
  </si>
  <si>
    <t xml:space="preserve">提交时间</t>
  </si>
  <si>
    <t xml:space="preserve">订单号</t>
  </si>
  <si>
    <t xml:space="preserve">订单价格</t>
  </si>
  <si>
    <t xml:space="preserve">返款比率</t>
  </si>
  <si>
    <t xml:space="preserve">佣金币种</t>
  </si>
  <si>
    <t xml:space="preserve">佣金价格</t>
  </si>
  <si>
    <t xml:space="preserve">备注</t>
  </si>
  <si>
    <t xml:space="preserve">下单日期</t>
  </si>
  <si>
    <t xml:space="preserve">回评时间</t>
  </si>
  <si>
    <t xml:space="preserve">星级</t>
  </si>
  <si>
    <t xml:space="preserve">reveiw链接</t>
  </si>
  <si>
    <t xml:space="preserve">删评时间</t>
  </si>
  <si>
    <t xml:space="preserve">ASIN</t>
  </si>
  <si>
    <t xml:space="preserve">品名</t>
  </si>
  <si>
    <t xml:space="preserve">订单编号</t>
  </si>
  <si>
    <t xml:space="preserve">订单日期</t>
  </si>
  <si>
    <t xml:space="preserve">店铺名称</t>
  </si>
  <si>
    <t xml:space="preserve">订单状态</t>
  </si>
  <si>
    <t xml:space="preserve">销售渠道</t>
  </si>
  <si>
    <t xml:space="preserve">国家</t>
  </si>
  <si>
    <t xml:space="preserve">单价</t>
  </si>
  <si>
    <t xml:space="preserve">订单金额</t>
  </si>
  <si>
    <t xml:space="preserve">发货日期</t>
  </si>
  <si>
    <t xml:space="preserve">408-7646016-2609111</t>
  </si>
  <si>
    <t xml:space="preserve">B0F1F7J8V3</t>
  </si>
  <si>
    <t xml:space="preserve">除螨仪</t>
  </si>
  <si>
    <t xml:space="preserve">406-6567826-2199556</t>
  </si>
  <si>
    <t xml:space="preserve">407-7914060-9458750</t>
  </si>
  <si>
    <t xml:space="preserve">405-0084888-1504340</t>
  </si>
  <si>
    <t xml:space="preserve">171-4052368-2860362</t>
  </si>
  <si>
    <t xml:space="preserve">407-1660322-3596365</t>
  </si>
  <si>
    <t xml:space="preserve">站点</t>
  </si>
  <si>
    <t xml:space="preserve">类别</t>
  </si>
  <si>
    <t xml:space="preserve">提交时间</t>
  </si>
  <si>
    <t xml:space="preserve">订单号</t>
  </si>
  <si>
    <t xml:space="preserve">订单价格</t>
  </si>
  <si>
    <t xml:space="preserve">返款比率</t>
  </si>
  <si>
    <t xml:space="preserve">佣金币种</t>
  </si>
  <si>
    <t xml:space="preserve">佣金价格</t>
  </si>
  <si>
    <t xml:space="preserve">备注</t>
  </si>
  <si>
    <t xml:space="preserve">下单日期</t>
  </si>
  <si>
    <t xml:space="preserve">回评时间</t>
  </si>
  <si>
    <t xml:space="preserve">星级</t>
  </si>
  <si>
    <t xml:space="preserve">reveiw链接</t>
  </si>
  <si>
    <t xml:space="preserve">删评时间</t>
  </si>
  <si>
    <t xml:space="preserve">ASIN</t>
  </si>
  <si>
    <t xml:space="preserve">品名</t>
  </si>
  <si>
    <t xml:space="preserve">订单编号</t>
  </si>
  <si>
    <t xml:space="preserve">订单日期</t>
  </si>
  <si>
    <t xml:space="preserve">店铺名称</t>
  </si>
  <si>
    <t xml:space="preserve">订单状态</t>
  </si>
  <si>
    <t xml:space="preserve">销售渠道</t>
  </si>
  <si>
    <t xml:space="preserve">国家</t>
  </si>
  <si>
    <t xml:space="preserve">单价</t>
  </si>
  <si>
    <t xml:space="preserve">订单金额</t>
  </si>
  <si>
    <t xml:space="preserve">发货日期</t>
  </si>
  <si>
    <t xml:space="preserve">西班牙</t>
  </si>
  <si>
    <t xml:space="preserve">405-3909675-1257950</t>
  </si>
  <si>
    <t xml:space="preserve">B0F1F7J8V3</t>
  </si>
  <si>
    <t xml:space="preserve">除螨仪</t>
  </si>
  <si>
    <t xml:space="preserve">408-2491852-5993929</t>
  </si>
  <si>
    <t xml:space="preserve">402-7319168-3810723</t>
  </si>
  <si>
    <t xml:space="preserve">405-9193401-5549940</t>
  </si>
  <si>
    <t xml:space="preserve">408-7799006-2121908</t>
  </si>
  <si>
    <t xml:space="preserve">站点</t>
  </si>
  <si>
    <t xml:space="preserve">SKU</t>
  </si>
  <si>
    <t xml:space="preserve">ASIN</t>
  </si>
  <si>
    <t xml:space="preserve">产品名称</t>
  </si>
  <si>
    <t xml:space="preserve">PO售价
外币</t>
  </si>
  <si>
    <t xml:space="preserve">建议售价(含税)
亚马逊售价-外币</t>
  </si>
  <si>
    <t xml:space="preserve">成交价
(含税）</t>
  </si>
  <si>
    <t xml:space="preserve">成交价
(不含税）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</si>
  <si>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</si>
  <si>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</si>
  <si>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</si>
  <si>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</si>
  <si>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</si>
  <si>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</si>
  <si>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二程外币</t>
  </si>
  <si>
    <t xml:space="preserve">装箱数</t>
  </si>
  <si>
    <t xml:space="preserve">汇率</t>
  </si>
  <si>
    <t xml:space="preserve">广告
占比</t>
  </si>
  <si>
    <t xml:space="preserve">前台广告
占比</t>
  </si>
  <si>
    <t xml:space="preserve">促销
占比</t>
  </si>
  <si>
    <t xml:space="preserve">其他
占比</t>
  </si>
  <si>
    <t xml:space="preserve">成本
占比</t>
  </si>
  <si>
    <t xml:space="preserve">尾程
占比</t>
  </si>
  <si>
    <t xml:space="preserve">佣金
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</si>
  <si>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</si>
  <si>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</si>
  <si>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</si>
  <si>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</si>
  <si>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</si>
  <si>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</si>
  <si>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
外币</t>
  </si>
  <si>
    <t xml:space="preserve">采购占比</t>
  </si>
  <si>
    <t xml:space="preserve">头程占比</t>
  </si>
  <si>
    <t xml:space="preserve">头程 
RMB</t>
  </si>
  <si>
    <t xml:space="preserve">NET PPM</t>
  </si>
  <si>
    <t xml:space="preserve">2025年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</si>
  <si>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</si>
  <si>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</si>
  <si>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</si>
  <si>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</si>
  <si>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</si>
  <si>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</si>
  <si>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</si>
  <si>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</si>
  <si>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</si>
  <si>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</si>
  <si>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</si>
  <si>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</si>
  <si>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</si>
  <si>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</si>
  <si>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</si>
  <si>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</si>
  <si>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R0001UK</t>
  </si>
  <si>
    <t xml:space="preserve">B0F1F535PC</t>
  </si>
  <si>
    <t xml:space="preserve">除螨仪（coupon-0%）</t>
  </si>
  <si>
    <t xml:space="preserve">☆</t>
  </si>
  <si>
    <t xml:space="preserve">除螨仪（coupon-15%）</t>
  </si>
  <si>
    <t xml:space="preserve">DE</t>
  </si>
  <si>
    <t xml:space="preserve">R0001EU</t>
  </si>
  <si>
    <t xml:space="preserve">B0F1F7J8V3</t>
  </si>
  <si>
    <t xml:space="preserve">除螨仪（coupon-10%）</t>
  </si>
  <si>
    <t xml:space="preserve">FR</t>
  </si>
  <si>
    <t xml:space="preserve">IT</t>
  </si>
  <si>
    <t xml:space="preserve">ES</t>
  </si>
  <si>
    <t xml:space="preserve">NL</t>
  </si>
  <si>
    <t xml:space="preserve">除螨仪荷兰</t>
  </si>
  <si>
    <t xml:space="preserve">PL</t>
  </si>
  <si>
    <t xml:space="preserve">除螨仪波兰</t>
  </si>
  <si>
    <t xml:space="preserve">SE</t>
  </si>
  <si>
    <t xml:space="preserve">除螨仪瑞典</t>
  </si>
  <si>
    <t xml:space="preserve">BE</t>
  </si>
  <si>
    <t xml:space="preserve">除螨仪比利时</t>
  </si>
  <si>
    <t xml:space="preserve">除螨仪德国日常价走铁路</t>
  </si>
  <si>
    <t xml:space="preserve">汇率</t>
  </si>
  <si>
    <t xml:space="preserve">国家</t>
  </si>
  <si>
    <t xml:space="preserve">国家代码</t>
  </si>
  <si>
    <t xml:space="preserve">有无VAT</t>
  </si>
  <si>
    <t xml:space="preserve">成本价(0边利)</t>
  </si>
  <si>
    <t xml:space="preserve">建议价(20%边利)</t>
  </si>
  <si>
    <t xml:space="preserve">实际定价</t>
  </si>
  <si>
    <t xml:space="preserve">采购价</t>
  </si>
  <si>
    <t xml:space="preserve">FBA Fee</t>
  </si>
  <si>
    <t xml:space="preserve">佣金比例</t>
  </si>
  <si>
    <t xml:space="preserve">VAT</t>
  </si>
  <si>
    <t xml:space="preserve">预估退货率</t>
  </si>
  <si>
    <t xml:space="preserve">广告费率</t>
  </si>
  <si>
    <t xml:space="preserve">FBA仓储费</t>
  </si>
  <si>
    <t xml:space="preserve">其他费用</t>
  </si>
  <si>
    <t xml:space="preserve">广告费用</t>
  </si>
  <si>
    <t xml:space="preserve">长</t>
  </si>
  <si>
    <t xml:space="preserve">宽</t>
  </si>
  <si>
    <t xml:space="preserve">高</t>
  </si>
  <si>
    <t xml:space="preserve">包装后实重</t>
  </si>
  <si>
    <t xml:space="preserve">体积重</t>
  </si>
  <si>
    <t xml:space="preserve">计费重</t>
  </si>
  <si>
    <t xml:space="preserve">运输方式</t>
  </si>
  <si>
    <t xml:space="preserve">运费单价</t>
  </si>
  <si>
    <t xml:space="preserve">运费</t>
  </si>
  <si>
    <t xml:space="preserve">利润/USD</t>
  </si>
  <si>
    <t xml:space="preserve">利润率/USD</t>
  </si>
  <si>
    <t xml:space="preserve">各费用占比分析</t>
  </si>
  <si>
    <t xml:space="preserve">FBA配送费占比</t>
  </si>
  <si>
    <t xml:space="preserve">采购成本占比</t>
  </si>
  <si>
    <t xml:space="preserve">头程费用占比</t>
  </si>
  <si>
    <t xml:space="preserve">佣金占比</t>
  </si>
  <si>
    <t xml:space="preserve">广告占比</t>
  </si>
  <si>
    <t xml:space="preserve">其他费用占比</t>
  </si>
  <si>
    <t xml:space="preserve">德国</t>
  </si>
  <si>
    <t xml:space="preserve">DE</t>
  </si>
  <si>
    <t xml:space="preserve">有</t>
  </si>
  <si>
    <t xml:space="preserve">铁路</t>
  </si>
  <si>
    <t xml:space="preserve">除螨仪德国活动价走铁路</t>
  </si>
  <si>
    <t xml:space="preserve">除螨仪德国最底价走铁路</t>
  </si>
  <si>
    <t xml:space="preserve">除螨仪德国日常价走卡航</t>
  </si>
  <si>
    <t xml:space="preserve">卡航</t>
  </si>
  <si>
    <t xml:space="preserve">除螨仪德国活动价走卡航</t>
  </si>
  <si>
    <t xml:space="preserve">除螨仪德国最底价走卡航</t>
  </si>
  <si>
    <t xml:space="preserve">除螨仪日常价走海运（划线30%）</t>
  </si>
  <si>
    <t xml:space="preserve">海运</t>
  </si>
  <si>
    <t xml:space="preserve">除螨仪活动价走海运（15%）coupon</t>
  </si>
  <si>
    <t xml:space="preserve">除螨仪最底价走海运（20%）PD</t>
  </si>
  <si>
    <t xml:space="preserve">法国</t>
  </si>
  <si>
    <t xml:space="preserve">FR</t>
  </si>
  <si>
    <t xml:space="preserve">意大利</t>
  </si>
  <si>
    <t xml:space="preserve">IT</t>
  </si>
  <si>
    <t xml:space="preserve">除螨仪企业购价85.11走海运（20%）coupon</t>
  </si>
  <si>
    <t xml:space="preserve">西班牙</t>
  </si>
  <si>
    <t xml:space="preserve">ES</t>
  </si>
  <si>
    <t xml:space="preserve">除螨仪英国日常价走铁路</t>
  </si>
  <si>
    <t xml:space="preserve">英国</t>
  </si>
  <si>
    <t xml:space="preserve">UK</t>
  </si>
  <si>
    <t xml:space="preserve">除螨仪英国活动价走铁路</t>
  </si>
  <si>
    <t xml:space="preserve">除螨仪英国最底价走铁路</t>
  </si>
  <si>
    <t xml:space="preserve">除螨仪英国日常价走卡航</t>
  </si>
  <si>
    <t xml:space="preserve">除螨仪英国活动价走卡航</t>
  </si>
  <si>
    <t xml:space="preserve">除螨仪英国最底价走卡航</t>
  </si>
  <si>
    <t xml:space="preserve">除螨仪活动价走海运（15%）coupon/BD</t>
  </si>
  <si>
    <t xml:space="preserve">阶段</t>
  </si>
  <si>
    <t xml:space="preserve">周期</t>
  </si>
  <si>
    <t xml:space="preserve">定价</t>
  </si>
  <si>
    <t xml:space="preserve">coupon</t>
  </si>
  <si>
    <t xml:space="preserve">code</t>
  </si>
  <si>
    <t xml:space="preserve">折后价</t>
  </si>
  <si>
    <t xml:space="preserve">站内自然单</t>
  </si>
  <si>
    <t xml:space="preserve">站内广告单</t>
  </si>
  <si>
    <t xml:space="preserve">阶段销售订单</t>
  </si>
  <si>
    <t/>
    <r>
      <rPr/>
      <t>时间</t>
    </r>
    <r>
      <rPr>
        <b val="true"/>
        <i val="false"/>
        <strike val="false"/>
        <sz val="11"/>
        <color rgb="FF000000"/>
      </rPr>
      <t>/</t>
    </r>
    <r>
      <rPr>
        <b val="true"/>
        <i val="false"/>
        <strike val="false"/>
        <sz val="11"/>
        <color rgb="FF000000"/>
      </rPr>
      <t>天</t>
    </r>
  </si>
  <si>
    <t xml:space="preserve">CPA</t>
  </si>
  <si>
    <t xml:space="preserve">阶段广告费</t>
  </si>
  <si>
    <t xml:space="preserve">毛利盈亏</t>
  </si>
  <si>
    <t xml:space="preserve">阶段盈亏</t>
  </si>
  <si>
    <t xml:space="preserve">评论数量</t>
  </si>
  <si>
    <t xml:space="preserve">阶段日均订单</t>
  </si>
  <si>
    <t xml:space="preserve">阶段日均广告单</t>
  </si>
  <si>
    <t xml:space="preserve">自然单占比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</si>
</sst>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0">
    <numFmt numFmtId="164" formatCode="m&quot;月&quot;d&quot;日&quot;;@"/>
    <numFmt numFmtId="165" formatCode="0_);[Red]\(0\)"/>
    <numFmt numFmtId="166" formatCode="#,##0.00_);[Red](#,##0.00)"/>
    <numFmt numFmtId="167" formatCode="0.00%"/>
    <numFmt numFmtId="168" formatCode="0.00_ "/>
    <numFmt numFmtId="169" formatCode="0%"/>
    <numFmt numFmtId="170" formatCode="0_ "/>
    <numFmt numFmtId="171" formatCode="0.0%"/>
    <numFmt numFmtId="172" formatCode="\$#,##0.00;\-\$#,##0.00"/>
    <numFmt numFmtId="173" formatCode="0.00_);[Red]\(0.00\)"/>
    <numFmt numFmtId="174" formatCode="#,##0"/>
    <numFmt numFmtId="175" formatCode="\$#,##0.00_);[Red]\(\$#,##0.00\)"/>
    <numFmt numFmtId="176" formatCode="0.00_);\(0.00\)"/>
    <numFmt numFmtId="177" formatCode="m&quot;月&quot;d&quot;日&quot;;@"/>
    <numFmt numFmtId="178" formatCode="0_);[Red]\(0\)"/>
    <numFmt numFmtId="179" formatCode="0.00%"/>
    <numFmt numFmtId="180" formatCode="0.00_ "/>
    <numFmt numFmtId="181" formatCode="0%"/>
    <numFmt numFmtId="182" formatCode="0_ "/>
    <numFmt numFmtId="183" formatCode="\$#,##0.00;\-\$#,##0.00"/>
    <numFmt numFmtId="184" formatCode="0.0%"/>
    <numFmt numFmtId="185" formatCode="0.00_);[Red]\(0.00\)"/>
    <numFmt numFmtId="186" formatCode="#,##0.00_);[Red](#,##0.00)"/>
    <numFmt numFmtId="187" formatCode="#,##0"/>
    <numFmt numFmtId="188" formatCode="\$#,##0.00_);[Red]\(\$#,##0.00\)"/>
    <numFmt numFmtId="189" formatCode="0.00_);\(0.00\)"/>
    <numFmt numFmtId="190" formatCode="0.0%"/>
    <numFmt numFmtId="191" formatCode="#,##0.00"/>
    <numFmt numFmtId="192" formatCode="0%"/>
    <numFmt numFmtId="193" formatCode="0.00_);\(0.00\)"/>
    <numFmt numFmtId="194" formatCode="0.00_);[Red]\(0.00\)"/>
    <numFmt numFmtId="195" formatCode="0.00_ "/>
    <numFmt numFmtId="196" formatCode="0.000_ "/>
    <numFmt numFmtId="197" formatCode="0.00%"/>
    <numFmt numFmtId="198" formatCode="0.00_ ;[Red]\-0.00\ "/>
    <numFmt numFmtId="199" formatCode="0.00_);[Red]\(0.00\)"/>
    <numFmt numFmtId="200" formatCode="0.0%"/>
    <numFmt numFmtId="201" formatCode="0.00%"/>
    <numFmt numFmtId="202" formatCode="0.0_ ;[Red]\-0.0\ "/>
    <numFmt numFmtId="203" formatCode="0%"/>
    <numFmt numFmtId="204" formatCode="0_ "/>
    <numFmt numFmtId="205" formatCode="0.0"/>
    <numFmt numFmtId="206" formatCode="#,##0.00_);[Red](#,##0.00)"/>
    <numFmt numFmtId="207" formatCode="0.00"/>
    <numFmt numFmtId="208" formatCode="0_);[Red]\(0\)"/>
    <numFmt numFmtId="209" formatCode="yyyy/m/d"/>
    <numFmt numFmtId="210" formatCode="0%"/>
    <numFmt numFmtId="211" formatCode="m&quot;月&quot;d&quot;日&quot;"/>
    <numFmt numFmtId="212" formatCode="#,##0.00"/>
    <numFmt numFmtId="213" formatCode="0_ "/>
    <numFmt numFmtId="214" formatCode="0.00%"/>
    <numFmt numFmtId="215" formatCode="#,##0.0_);[Red]\(#,##0.0\)"/>
    <numFmt numFmtId="216" formatCode="0.0_);\(0.0\)"/>
    <numFmt numFmtId="217" formatCode="0.0%"/>
    <numFmt numFmtId="218" formatCode="0.00_ "/>
    <numFmt numFmtId="219" formatCode="m&quot;月&quot;d&quot;日&quot;"/>
    <numFmt numFmtId="220" formatCode="#,##0.00\ &quot;€&quot;;\-#,##0.00\ &quot;€&quot;"/>
    <numFmt numFmtId="221" formatCode="0_ "/>
    <numFmt numFmtId="222" formatCode="0.00%"/>
    <numFmt numFmtId="223" formatCode="0.0_);\(0.0\)"/>
    <numFmt numFmtId="224" formatCode="0.00_ "/>
    <numFmt numFmtId="225" formatCode="&quot;€&quot;#,##0.00;&quot;€&quot;\-#,##0.00"/>
    <numFmt numFmtId="226" formatCode="#,##0_);(#,##0)"/>
    <numFmt numFmtId="227" formatCode="#,##0.00_);(#,##0.00)"/>
    <numFmt numFmtId="228" formatCode="#,##0.0;\-#,##0.0"/>
    <numFmt numFmtId="229" formatCode="#,##0.0000;\-#,##0.0000"/>
    <numFmt numFmtId="230" formatCode="&quot;€&quot;#,##0.00;&quot;€&quot;\-#,##0.00"/>
    <numFmt numFmtId="231" formatCode="#,##0_);(#,##0)"/>
    <numFmt numFmtId="232" formatCode="#,##0.00_);(#,##0.00)"/>
    <numFmt numFmtId="233" formatCode="#,##0.0;\-#,##0.0"/>
    <numFmt numFmtId="234" formatCode="#,##0.0000;\-#,##0.0000"/>
    <numFmt numFmtId="235" formatCode="&quot;€&quot;#,##0.00;&quot;€&quot;\-#,##0.00"/>
    <numFmt numFmtId="236" formatCode="#,##0_);(#,##0)"/>
    <numFmt numFmtId="237" formatCode="#,##0.00_);(#,##0.00)"/>
    <numFmt numFmtId="238" formatCode="#,##0.0;\-#,##0.0"/>
    <numFmt numFmtId="239" formatCode="#,##0.0000;\-#,##0.0000"/>
    <numFmt numFmtId="240" formatCode="&quot;€&quot;#,##0.00;&quot;€&quot;\-#,##0.00"/>
    <numFmt numFmtId="241" formatCode="#,##0_);(#,##0)"/>
    <numFmt numFmtId="242" formatCode="#,##0.00_);(#,##0.00)"/>
    <numFmt numFmtId="243" formatCode="#,##0.0;\-#,##0.0"/>
    <numFmt numFmtId="244" formatCode="#,##0.0000;\-#,##0.0000"/>
    <numFmt numFmtId="245" formatCode="yyyy/m/d"/>
    <numFmt numFmtId="246" formatCode="m&quot;月&quot;d&quot;日&quot;;@"/>
    <numFmt numFmtId="247" formatCode="0_);[Red]\(0\)"/>
    <numFmt numFmtId="248" formatCode="0.00%"/>
    <numFmt numFmtId="249" formatCode="0.00_ "/>
    <numFmt numFmtId="250" formatCode="0%"/>
    <numFmt numFmtId="251" formatCode="0_ "/>
    <numFmt numFmtId="252" formatCode="\$#,##0.00;\-\$#,##0.00"/>
    <numFmt numFmtId="253" formatCode="0.0%"/>
    <numFmt numFmtId="254" formatCode="0.00_);[Red]\(0.00\)"/>
    <numFmt numFmtId="255" formatCode="#,##0.00_);[Red](#,##0.00)"/>
    <numFmt numFmtId="256" formatCode="#,##0"/>
    <numFmt numFmtId="257" formatCode="\$#,##0.00_);[Red]\(\$#,##0.00\)"/>
    <numFmt numFmtId="258" formatCode="0.00_);\(0.00\)"/>
    <numFmt numFmtId="259" formatCode="m&quot;月&quot;d&quot;日&quot;;@"/>
    <numFmt numFmtId="260" formatCode="0.00_);[Red]\(0.00\)"/>
    <numFmt numFmtId="261" formatCode="0_);[Red]\(0\)"/>
    <numFmt numFmtId="262" formatCode="0.00%"/>
    <numFmt numFmtId="263" formatCode="0.00_ "/>
    <numFmt numFmtId="264" formatCode="0%"/>
    <numFmt numFmtId="265" formatCode="0_ "/>
    <numFmt numFmtId="266" formatCode="\$#,##0.00;\-\$#,##0.00"/>
    <numFmt numFmtId="267" formatCode="0.0%"/>
    <numFmt numFmtId="268" formatCode="#,##0.00_);[Red](#,##0.00)"/>
    <numFmt numFmtId="269" formatCode="#,##0"/>
    <numFmt numFmtId="270" formatCode="\$#,##0.00_);[Red]\(\$#,##0.00\)"/>
    <numFmt numFmtId="271" formatCode="0.00_);\(0.00\)"/>
    <numFmt numFmtId="272" formatCode="0%"/>
    <numFmt numFmtId="273" formatCode="0.00%"/>
    <numFmt numFmtId="274" formatCode="yyyy/m/d"/>
    <numFmt numFmtId="275" formatCode="yyyy/m;@"/>
    <numFmt numFmtId="276" formatCode="0_ ;[Red]\-0\ "/>
    <numFmt numFmtId="277" formatCode="yyyy/m/d"/>
    <numFmt numFmtId="278" formatCode="0_ "/>
    <numFmt numFmtId="279" formatCode="m&quot;月&quot;d&quot;日&quot;"/>
    <numFmt numFmtId="280" formatCode="0%"/>
    <numFmt numFmtId="281" formatCode="m&quot;月&quot;d&quot;日&quot;"/>
    <numFmt numFmtId="282" formatCode="0%"/>
    <numFmt numFmtId="283" formatCode="m&quot;月&quot;d&quot;日&quot;"/>
    <numFmt numFmtId="284" formatCode="0%"/>
    <numFmt numFmtId="285" formatCode="yyyy&quot;年&quot;m&quot;月&quot;d&quot;日&quot;;@"/>
    <numFmt numFmtId="286" formatCode="yyyy/m/d"/>
    <numFmt numFmtId="287" formatCode="0.00%"/>
    <numFmt numFmtId="288" formatCode="0.00_ "/>
    <numFmt numFmtId="289" formatCode="yyyy&quot;年&quot;m&quot;月&quot;d&quot;日&quot;"/>
    <numFmt numFmtId="290" formatCode="0_ "/>
    <numFmt numFmtId="291" formatCode="m&quot;月&quot;d&quot;日&quot;"/>
    <numFmt numFmtId="292" formatCode="yyyy/m/d"/>
    <numFmt numFmtId="293" formatCode="m&quot;月&quot;d&quot;日&quot;;@"/>
    <numFmt numFmtId="294" formatCode="yyyy/m/d"/>
    <numFmt numFmtId="295" formatCode="yyyy/m/d"/>
    <numFmt numFmtId="296" formatCode="0.00_ ;[Red]\-0.00\ "/>
    <numFmt numFmtId="297" formatCode="0.00_);[Red]\(0.00\)"/>
    <numFmt numFmtId="298" formatCode="0.0%"/>
    <numFmt numFmtId="299" formatCode="0.00%"/>
    <numFmt numFmtId="300" formatCode="0.0_ ;[Red]\-0.0\ "/>
    <numFmt numFmtId="301" formatCode="0%"/>
    <numFmt numFmtId="302" formatCode="0.0"/>
    <numFmt numFmtId="303" formatCode="#,##0.00_);[Red](#,##0.00)"/>
    <numFmt numFmtId="304" formatCode="0.00"/>
    <numFmt numFmtId="305" formatCode="0_);[Red]\(0\)"/>
    <numFmt numFmtId="306" formatCode="0.00_);[Red]\(0.00\)"/>
    <numFmt numFmtId="307" formatCode="0.000%"/>
    <numFmt numFmtId="308" formatCode="0_);[Red]\(0\)"/>
    <numFmt numFmtId="309" formatCode="0.00%"/>
    <numFmt numFmtId="310" formatCode="0.0%"/>
    <numFmt numFmtId="311" formatCode="0%"/>
    <numFmt numFmtId="312" formatCode="0.00"/>
    <numFmt numFmtId="313" formatCode="0%"/>
  </numFmts>
  <fonts count="38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FF0000"/>
      <name val="Calibri"/>
      <family val="2"/>
      <scheme val="minor"/>
    </font>
    <font>
      <b val="true"/>
      <sz val="9"/>
      <color rgb="FF6425D0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D0015"/>
      <name val="Calibri"/>
      <family val="2"/>
      <scheme val="minor"/>
    </font>
    <font>
      <sz val="10"/>
      <color rgb="FF0D001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9"/>
      <color rgb="FF3861AF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b val="true"/>
      <sz val="13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800080"/>
      <name val="Calibri"/>
      <family val="2"/>
      <scheme val="minor"/>
    </font>
    <font>
      <b val="true"/>
      <sz val="11"/>
      <color rgb="FFC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 val="true"/>
      <sz val="9"/>
      <color rgb="FF7030A0"/>
      <name val="Calibri"/>
      <family val="2"/>
      <scheme val="minor"/>
    </font>
    <font>
      <b val="true"/>
      <sz val="9"/>
      <color rgb="FFC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u val="single"/>
      <sz val="9"/>
      <color rgb="FFFF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10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3F1D9"/>
        <bgColor/>
      </patternFill>
    </fill>
    <fill>
      <patternFill patternType="solid">
        <fgColor rgb="FFC7E4B3"/>
        <bgColor/>
      </patternFill>
    </fill>
    <fill>
      <patternFill patternType="solid">
        <fgColor rgb="FF70AD46"/>
        <bgColor/>
      </patternFill>
    </fill>
    <fill>
      <patternFill patternType="solid">
        <fgColor rgb="FFFDEADA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ACE5E1"/>
        <bgColor/>
      </patternFill>
    </fill>
    <fill>
      <patternFill patternType="solid">
        <fgColor rgb="FFF9DBDE"/>
        <bgColor/>
      </patternFill>
    </fill>
    <fill>
      <patternFill patternType="solid">
        <fgColor rgb="FFFFD900"/>
        <bgColor/>
      </patternFill>
    </fill>
    <fill>
      <patternFill patternType="solid">
        <fgColor rgb="FFFFC000"/>
        <bgColor/>
      </patternFill>
    </fill>
    <fill>
      <patternFill patternType="solid">
        <fgColor rgb="FFECE2FE"/>
        <bgColor/>
      </patternFill>
    </fill>
    <fill>
      <patternFill patternType="solid">
        <fgColor rgb="FFE3F1D9"/>
        <bgColor/>
      </patternFill>
    </fill>
    <fill>
      <patternFill patternType="solid">
        <fgColor rgb="FFC7E4B3"/>
        <bgColor/>
      </patternFill>
    </fill>
    <fill>
      <patternFill patternType="solid">
        <fgColor rgb="FF70AD46"/>
        <bgColor/>
      </patternFill>
    </fill>
    <fill>
      <patternFill patternType="solid">
        <fgColor rgb="FFFDEADA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ACE5E1"/>
        <bgColor/>
      </patternFill>
    </fill>
    <fill>
      <patternFill patternType="solid">
        <fgColor rgb="FFF9DBDE"/>
        <bgColor/>
      </patternFill>
    </fill>
    <fill>
      <patternFill patternType="solid">
        <fgColor rgb="FFFFD900"/>
        <bgColor/>
      </patternFill>
    </fill>
    <fill>
      <patternFill patternType="solid">
        <fgColor rgb="FFFFC000"/>
        <bgColor/>
      </patternFill>
    </fill>
    <fill>
      <patternFill patternType="solid">
        <fgColor rgb="FFECE2FE"/>
        <bgColor/>
      </patternFill>
    </fill>
    <fill>
      <patternFill patternType="solid">
        <fgColor rgb="FFFFC000"/>
        <bgColor/>
      </patternFill>
    </fill>
    <fill>
      <patternFill patternType="solid">
        <fgColor rgb="FF3A5E21"/>
        <bgColor/>
      </patternFill>
    </fill>
    <fill>
      <patternFill patternType="solid">
        <fgColor rgb="FF7030A0"/>
        <bgColor/>
      </patternFill>
    </fill>
    <fill>
      <patternFill patternType="solid">
        <fgColor rgb="FFC00000"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98FA1C"/>
        <bgColor/>
      </patternFill>
    </fill>
    <fill>
      <patternFill patternType="solid">
        <fgColor rgb="FFB3ECE7"/>
        <bgColor/>
      </patternFill>
    </fill>
    <fill>
      <patternFill patternType="solid">
        <fgColor rgb="FFF9DBDE"/>
        <bgColor/>
      </patternFill>
    </fill>
    <fill>
      <patternFill patternType="solid">
        <fgColor rgb="FFB5C7EA"/>
        <bgColor/>
      </patternFill>
    </fill>
    <fill>
      <patternFill patternType="solid">
        <fgColor rgb="FFE3F1D9"/>
        <bgColor/>
      </patternFill>
    </fill>
    <fill>
      <patternFill patternType="solid">
        <fgColor rgb="FFFBE6D5"/>
        <bgColor/>
      </patternFill>
    </fill>
    <fill>
      <patternFill patternType="solid">
        <fgColor rgb="FFFF0000"/>
        <bgColor/>
      </patternFill>
    </fill>
    <fill>
      <patternFill patternType="solid">
        <fgColor rgb="FF98FA1C"/>
        <bgColor/>
      </patternFill>
    </fill>
    <fill>
      <patternFill patternType="solid">
        <fgColor rgb="FFD5F2F0"/>
        <bgColor/>
      </patternFill>
    </fill>
    <fill>
      <patternFill patternType="solid">
        <fgColor rgb="FF37D9F0"/>
        <bgColor/>
      </patternFill>
    </fill>
    <fill>
      <patternFill patternType="solid">
        <fgColor rgb="FFFFFF00"/>
        <bgColor/>
      </patternFill>
    </fill>
    <fill>
      <patternFill patternType="solid">
        <fgColor rgb="FFB3ECE7"/>
        <bgColor/>
      </patternFill>
    </fill>
    <fill>
      <patternFill patternType="solid">
        <fgColor rgb="FFF9DBDE"/>
        <bgColor/>
      </patternFill>
    </fill>
    <fill>
      <patternFill patternType="solid">
        <fgColor rgb="FFB5C7EA"/>
        <bgColor/>
      </patternFill>
    </fill>
    <fill>
      <patternFill patternType="solid">
        <fgColor rgb="FFE3F1D9"/>
        <bgColor/>
      </patternFill>
    </fill>
    <fill>
      <patternFill patternType="solid">
        <fgColor rgb="FFFBE6D5"/>
        <bgColor/>
      </patternFill>
    </fill>
    <fill>
      <patternFill patternType="solid">
        <fgColor rgb="FFD5F2F0"/>
        <bgColor/>
      </patternFill>
    </fill>
    <fill>
      <patternFill patternType="solid">
        <fgColor rgb="FFE3F1D9"/>
        <bgColor/>
      </patternFill>
    </fill>
    <fill>
      <patternFill patternType="solid">
        <fgColor rgb="FFC7E4B3"/>
        <bgColor/>
      </patternFill>
    </fill>
    <fill>
      <patternFill patternType="solid">
        <fgColor rgb="FF70AD46"/>
        <bgColor/>
      </patternFill>
    </fill>
    <fill>
      <patternFill patternType="solid">
        <fgColor rgb="FFFDEADA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ACE5E1"/>
        <bgColor/>
      </patternFill>
    </fill>
    <fill>
      <patternFill patternType="solid">
        <fgColor rgb="FFF9DBDE"/>
        <bgColor/>
      </patternFill>
    </fill>
    <fill>
      <patternFill patternType="solid">
        <fgColor rgb="FFFFD900"/>
        <bgColor/>
      </patternFill>
    </fill>
    <fill>
      <patternFill patternType="solid">
        <fgColor rgb="FFFFC000"/>
        <bgColor/>
      </patternFill>
    </fill>
    <fill>
      <patternFill patternType="solid">
        <fgColor rgb="FFECE2FE"/>
        <bgColor/>
      </patternFill>
    </fill>
    <fill>
      <patternFill patternType="solid">
        <fgColor rgb="FFE3F1D9"/>
        <bgColor/>
      </patternFill>
    </fill>
    <fill>
      <patternFill patternType="solid">
        <fgColor rgb="FFC7E4B3"/>
        <bgColor/>
      </patternFill>
    </fill>
    <fill>
      <patternFill patternType="solid">
        <fgColor rgb="FF70AD46"/>
        <bgColor/>
      </patternFill>
    </fill>
    <fill>
      <patternFill patternType="solid">
        <fgColor rgb="FFFDEADA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ACE5E1"/>
        <bgColor/>
      </patternFill>
    </fill>
    <fill>
      <patternFill patternType="solid">
        <fgColor rgb="FFF9DBDE"/>
        <bgColor/>
      </patternFill>
    </fill>
    <fill>
      <patternFill patternType="solid">
        <fgColor rgb="FFFFD900"/>
        <bgColor/>
      </patternFill>
    </fill>
    <fill>
      <patternFill patternType="solid">
        <fgColor rgb="FFFFC000"/>
        <bgColor/>
      </patternFill>
    </fill>
    <fill>
      <patternFill patternType="solid">
        <fgColor rgb="FFECE2FE"/>
        <bgColor/>
      </patternFill>
    </fill>
    <fill>
      <patternFill patternType="solid">
        <fgColor rgb="FF98FA1C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98FA1C"/>
        <bgColor/>
      </patternFill>
    </fill>
    <fill>
      <patternFill patternType="solid">
        <fgColor rgb="FFFFF3CA"/>
        <bgColor/>
      </patternFill>
    </fill>
    <fill>
      <patternFill patternType="solid">
        <fgColor rgb="FFFFF3CA"/>
        <bgColor/>
      </patternFill>
    </fill>
    <fill>
      <patternFill patternType="solid">
        <fgColor rgb="FFFFD900"/>
        <bgColor/>
      </patternFill>
    </fill>
    <fill>
      <patternFill patternType="solid">
        <fgColor rgb="FFFFF3CA"/>
        <bgColor/>
      </patternFill>
    </fill>
    <fill>
      <patternFill patternType="solid">
        <fgColor rgb="FFCFCFCF"/>
        <bgColor/>
      </patternFill>
    </fill>
    <fill>
      <patternFill patternType="solid">
        <fgColor rgb="FFACE5E1"/>
        <bgColor/>
      </patternFill>
    </fill>
    <fill>
      <patternFill patternType="solid">
        <fgColor rgb="FFFBE6D5"/>
        <bgColor/>
      </patternFill>
    </fill>
    <fill>
      <patternFill patternType="solid">
        <fgColor rgb="FFF4B7BE"/>
        <bgColor/>
      </patternFill>
    </fill>
    <fill>
      <patternFill patternType="solid">
        <fgColor rgb="FFFFFF00"/>
        <bgColor/>
      </patternFill>
    </fill>
    <fill>
      <patternFill patternType="solid">
        <fgColor rgb="FFB5C7EA"/>
        <bgColor/>
      </patternFill>
    </fill>
    <fill>
      <patternFill patternType="solid">
        <fgColor rgb="FFF2BA02"/>
        <bgColor/>
      </patternFill>
    </fill>
    <fill>
      <patternFill patternType="solid">
        <fgColor rgb="FFE3F1D9"/>
        <bgColor/>
      </patternFill>
    </fill>
    <fill>
      <patternFill patternType="solid">
        <fgColor rgb="FFEE822F"/>
        <bgColor/>
      </patternFill>
    </fill>
    <fill>
      <patternFill patternType="solid">
        <fgColor rgb="FFFFC000"/>
        <bgColor/>
      </patternFill>
    </fill>
    <fill>
      <patternFill patternType="solid">
        <fgColor rgb="FF7030A0"/>
        <bgColor/>
      </patternFill>
    </fill>
    <fill>
      <patternFill patternType="solid">
        <fgColor rgb="FF98FA1C"/>
        <bgColor/>
      </patternFill>
    </fill>
    <fill>
      <patternFill patternType="solid">
        <fgColor rgb="FF98FA1C"/>
        <bgColor/>
      </patternFill>
    </fill>
    <fill>
      <patternFill patternType="solid">
        <fgColor rgb="FF98FA1C"/>
        <bgColor/>
      </patternFill>
    </fill>
    <fill>
      <patternFill patternType="solid">
        <fgColor rgb="FF98FA1C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  <fill>
      <patternFill patternType="solid">
        <fgColor rgb="FF37D9F0"/>
        <bgColor/>
      </patternFill>
    </fill>
    <fill>
      <patternFill patternType="solid">
        <fgColor rgb="FFFFD900"/>
        <bgColor/>
      </patternFill>
    </fill>
    <fill>
      <patternFill patternType="solid">
        <fgColor rgb="FFFF0000"/>
        <bgColor/>
      </patternFill>
    </fill>
    <fill>
      <patternFill patternType="solid">
        <fgColor rgb="FF98FA1C"/>
        <bgColor/>
      </patternFill>
    </fill>
    <fill>
      <patternFill patternType="solid">
        <fgColor rgb="FFFFFF00"/>
        <bgColor/>
      </patternFill>
    </fill>
  </fills>
  <borders count="78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/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 wrapText="true"/>
    </xf>
    <xf applyAlignment="true" applyBorder="false" applyFill="true" applyFont="true" applyNumberFormat="true" applyProtection="false" borderId="1" fillId="3" fontId="1" numFmtId="165" xfId="0">
      <alignment horizontal="center" vertical="center" wrapText="true"/>
    </xf>
    <xf applyAlignment="true" applyBorder="false" applyFill="true" applyFont="true" applyNumberFormat="true" applyProtection="false" borderId="1" fillId="3" fontId="1" numFmtId="166" xfId="0">
      <alignment horizontal="center" vertical="center" wrapText="true"/>
    </xf>
    <xf applyAlignment="true" applyBorder="false" applyFill="true" applyFont="true" applyNumberFormat="true" applyProtection="false" borderId="1" fillId="3" fontId="1" numFmtId="167" xfId="0">
      <alignment horizontal="center" vertical="center" wrapText="true"/>
    </xf>
    <xf applyAlignment="true" applyBorder="false" applyFill="true" applyFont="true" applyNumberFormat="true" applyProtection="false" borderId="1" fillId="3" fontId="1" numFmtId="168" xfId="0">
      <alignment horizontal="center" vertical="center" wrapText="true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true" applyFont="true" applyNumberFormat="true" applyProtection="false" borderId="1" fillId="3" fontId="3" numFmtId="169" xfId="0">
      <alignment horizontal="center" vertical="center" wrapText="true"/>
    </xf>
    <xf applyAlignment="true" applyBorder="false" applyFill="true" applyFont="true" applyNumberFormat="true" applyProtection="false" borderId="1" fillId="3" fontId="3" numFmtId="170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true" applyFont="true" applyNumberFormat="true" applyProtection="false" borderId="1" fillId="4" fontId="3" numFmtId="169" xfId="0">
      <alignment horizontal="center" vertical="center" wrapText="true"/>
    </xf>
    <xf applyAlignment="true" applyBorder="false" applyFill="true" applyFont="true" applyNumberFormat="false" applyProtection="false" borderId="1" fillId="4" fontId="1" numFmtId="0" xfId="0">
      <alignment horizontal="center" vertical="center" wrapText="true"/>
    </xf>
    <xf applyAlignment="true" applyBorder="false" applyFill="true" applyFont="true" applyNumberFormat="true" applyProtection="false" borderId="1" fillId="3" fontId="3" numFmtId="168" xfId="0">
      <alignment horizontal="center" vertical="center" wrapText="true"/>
    </xf>
    <xf applyAlignment="true" applyBorder="false" applyFill="true" applyFont="true" applyNumberFormat="false" applyProtection="false" borderId="1" fillId="5" fontId="1" numFmtId="0" xfId="0">
      <alignment horizontal="center" vertical="center" wrapText="true"/>
    </xf>
    <xf applyAlignment="true" applyBorder="false" applyFill="true" applyFont="true" applyNumberFormat="false" applyProtection="false" borderId="1" fillId="5" fontId="1" numFmtId="0" xfId="0">
      <alignment horizontal="left" vertical="center" wrapText="true"/>
    </xf>
    <xf applyAlignment="true" applyBorder="false" applyFill="true" applyFont="true" applyNumberFormat="false" applyProtection="false" borderId="1" fillId="6" fontId="2" numFmtId="0" xfId="0">
      <alignment horizontal="center" vertical="center" wrapText="true"/>
    </xf>
    <xf applyAlignment="true" applyBorder="false" applyFill="true" applyFont="true" applyNumberFormat="true" applyProtection="false" borderId="1" fillId="6" fontId="2" numFmtId="171" xfId="0">
      <alignment horizontal="center" vertical="center" wrapText="true"/>
    </xf>
    <xf applyAlignment="true" applyBorder="false" applyFill="true" applyFont="true" applyNumberFormat="true" applyProtection="false" borderId="1" fillId="7" fontId="1" numFmtId="167" xfId="0">
      <alignment horizontal="center" vertical="center" wrapText="true"/>
    </xf>
    <xf applyAlignment="true" applyBorder="false" applyFill="true" applyFont="true" applyNumberFormat="true" applyProtection="false" borderId="1" fillId="7" fontId="1" numFmtId="172" xfId="0">
      <alignment horizontal="center" vertical="center" wrapText="true"/>
    </xf>
    <xf applyAlignment="true" applyBorder="false" applyFill="true" applyFont="true" applyNumberFormat="true" applyProtection="false" borderId="1" fillId="8" fontId="1" numFmtId="168" xfId="0">
      <alignment horizontal="center" vertical="center" wrapText="true"/>
    </xf>
    <xf applyAlignment="true" applyBorder="false" applyFill="true" applyFont="true" applyNumberFormat="true" applyProtection="false" borderId="1" fillId="8" fontId="1" numFmtId="171" xfId="0">
      <alignment horizontal="center" vertical="center" wrapText="true"/>
    </xf>
    <xf applyAlignment="true" applyBorder="false" applyFill="true" applyFont="true" applyNumberFormat="false" applyProtection="false" borderId="2" fillId="9" fontId="1" numFmtId="0" xfId="0">
      <alignment horizontal="center" vertical="center" wrapText="true"/>
    </xf>
    <xf applyAlignment="true" applyBorder="false" applyFill="true" applyFont="true" applyNumberFormat="false" applyProtection="false" borderId="2" fillId="9" fontId="1" numFmtId="0" xfId="0">
      <alignment horizontal="left" vertical="center" wrapText="true"/>
    </xf>
    <xf applyAlignment="true" applyBorder="false" applyFill="true" applyFont="true" applyNumberFormat="false" applyProtection="false" borderId="1" fillId="10" fontId="1" numFmtId="0" xfId="0">
      <alignment horizontal="center" vertical="center" wrapText="true"/>
    </xf>
    <xf applyAlignment="true" applyBorder="false" applyFill="true" applyFont="true" applyNumberFormat="true" applyProtection="false" borderId="1" fillId="6" fontId="3" numFmtId="167" xfId="0">
      <alignment horizontal="center" vertical="center" wrapText="true"/>
    </xf>
    <xf applyAlignment="true" applyBorder="false" applyFill="true" applyFont="true" applyNumberFormat="true" applyProtection="false" borderId="1" fillId="6" fontId="3" numFmtId="173" xfId="0">
      <alignment horizontal="center" vertical="center" wrapText="true"/>
    </xf>
    <xf applyAlignment="true" applyBorder="false" applyFill="true" applyFont="true" applyNumberFormat="true" applyProtection="false" borderId="1" fillId="6" fontId="3" numFmtId="169" xfId="0">
      <alignment horizontal="center" vertical="center" wrapText="true"/>
    </xf>
    <xf applyAlignment="true" applyBorder="false" applyFill="true" applyFont="true" applyNumberFormat="true" applyProtection="false" borderId="1" fillId="6" fontId="3" numFmtId="170" xfId="0">
      <alignment horizontal="center" vertical="center" wrapText="true"/>
    </xf>
    <xf applyAlignment="true" applyBorder="false" applyFill="true" applyFont="true" applyNumberFormat="true" applyProtection="false" borderId="1" fillId="10" fontId="3" numFmtId="170" xfId="0">
      <alignment horizontal="center" vertical="center" wrapText="true"/>
    </xf>
    <xf applyAlignment="true" applyBorder="false" applyFill="true" applyFont="true" applyNumberFormat="true" applyProtection="false" borderId="1" fillId="10" fontId="3" numFmtId="171" xfId="0">
      <alignment horizontal="center" vertical="center" wrapText="true"/>
    </xf>
    <xf applyAlignment="true" applyBorder="false" applyFill="true" applyFont="true" applyNumberFormat="true" applyProtection="false" borderId="1" fillId="7" fontId="3" numFmtId="167" xfId="0">
      <alignment horizontal="center" vertical="center" wrapText="true"/>
    </xf>
    <xf applyAlignment="true" applyBorder="false" applyFill="true" applyFont="true" applyNumberFormat="true" applyProtection="false" borderId="1" fillId="7" fontId="3" numFmtId="172" xfId="0">
      <alignment horizontal="center" vertical="center" wrapText="true"/>
    </xf>
    <xf applyAlignment="true" applyBorder="false" applyFill="true" applyFont="true" applyNumberFormat="true" applyProtection="false" borderId="1" fillId="7" fontId="4" numFmtId="172" xfId="0">
      <alignment horizontal="center" vertical="center" wrapText="true"/>
    </xf>
    <xf applyAlignment="true" applyBorder="false" applyFill="true" applyFont="true" applyNumberFormat="true" applyProtection="false" borderId="1" fillId="11" fontId="3" numFmtId="172" xfId="0">
      <alignment horizontal="center" vertical="center" wrapText="true"/>
    </xf>
    <xf applyAlignment="true" applyBorder="false" applyFill="true" applyFont="true" applyNumberFormat="false" applyProtection="false" borderId="1" fillId="7" fontId="3" numFmtId="0" xfId="0">
      <alignment horizontal="center" vertical="center" wrapText="true"/>
    </xf>
    <xf applyAlignment="true" applyBorder="false" applyFill="true" applyFont="true" applyNumberFormat="true" applyProtection="false" borderId="1" fillId="7" fontId="4" numFmtId="170" xfId="0">
      <alignment horizontal="center" vertical="center" wrapText="true"/>
    </xf>
    <xf applyAlignment="true" applyBorder="false" applyFill="true" applyFont="true" applyNumberFormat="true" applyProtection="false" borderId="1" fillId="7" fontId="3" numFmtId="170" xfId="0">
      <alignment horizontal="center" vertical="center" wrapText="true"/>
    </xf>
    <xf applyAlignment="true" applyBorder="false" applyFill="true" applyFont="true" applyNumberFormat="true" applyProtection="false" borderId="1" fillId="7" fontId="1" numFmtId="170" xfId="0">
      <alignment horizontal="center" vertical="center" wrapText="true"/>
    </xf>
    <xf applyAlignment="true" applyBorder="false" applyFill="true" applyFont="true" applyNumberFormat="true" applyProtection="false" borderId="3" fillId="8" fontId="1" numFmtId="168" xfId="0">
      <alignment horizontal="center" vertical="center" wrapText="true"/>
    </xf>
    <xf applyAlignment="true" applyBorder="false" applyFill="true" applyFont="true" applyNumberFormat="false" applyProtection="false" borderId="3" fillId="8" fontId="1" numFmtId="0" xfId="0">
      <alignment horizontal="center" vertical="center" wrapText="true"/>
    </xf>
    <xf applyAlignment="true" applyBorder="false" applyFill="true" applyFont="true" applyNumberFormat="false" applyProtection="false" borderId="1" fillId="8" fontId="1" numFmtId="0" xfId="0">
      <alignment horizontal="center" vertical="center" wrapText="true"/>
    </xf>
    <xf applyAlignment="true" applyBorder="false" applyFill="true" applyFont="true" applyNumberFormat="true" applyProtection="false" borderId="1" fillId="8" fontId="1" numFmtId="167" xfId="0">
      <alignment horizontal="center" vertical="center" wrapText="true"/>
    </xf>
    <xf applyAlignment="true" applyBorder="false" applyFill="true" applyFont="true" applyNumberFormat="false" applyProtection="false" borderId="1" fillId="8" fontId="3" numFmtId="0" xfId="0">
      <alignment horizontal="center" vertical="center" wrapText="true"/>
    </xf>
    <xf applyAlignment="true" applyBorder="false" applyFill="true" applyFont="true" applyNumberFormat="true" applyProtection="false" borderId="1" fillId="8" fontId="3" numFmtId="171" xfId="0">
      <alignment horizontal="center" vertical="center" wrapText="true"/>
    </xf>
    <xf applyAlignment="true" applyBorder="false" applyFill="true" applyFont="true" applyNumberFormat="false" applyProtection="false" borderId="4" fillId="9" fontId="1" numFmtId="0" xfId="0">
      <alignment horizontal="center" vertical="center" wrapText="true"/>
    </xf>
    <xf applyAlignment="true" applyBorder="false" applyFill="true" applyFont="true" applyNumberFormat="false" applyProtection="false" borderId="1" fillId="9" fontId="1" numFmtId="0" xfId="0">
      <alignment horizontal="left" vertical="center" wrapText="true"/>
    </xf>
    <xf applyAlignment="true" applyBorder="false" applyFill="true" applyFont="true" applyNumberFormat="false" applyProtection="false" borderId="1" fillId="9" fontId="1" numFmtId="0" xfId="0">
      <alignment horizontal="center" vertical="center" wrapText="true"/>
    </xf>
    <xf applyAlignment="true" applyBorder="false" applyFill="false" applyFont="true" applyNumberFormat="true" applyProtection="false" borderId="1" fillId="0" fontId="5" numFmtId="164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left" vertical="center"/>
    </xf>
    <xf applyAlignment="true" applyBorder="false" applyFill="false" applyFont="true" applyNumberFormat="true" applyProtection="false" borderId="1" fillId="0" fontId="5" numFmtId="169" xfId="0">
      <alignment horizontal="center" vertical="center"/>
    </xf>
    <xf applyAlignment="true" applyBorder="false" applyFill="false" applyFont="true" applyNumberFormat="true" applyProtection="false" borderId="1" fillId="0" fontId="5" numFmtId="166" xfId="0">
      <alignment horizontal="center" vertical="center"/>
    </xf>
    <xf applyAlignment="true" applyBorder="false" applyFill="false" applyFont="true" applyNumberFormat="true" applyProtection="false" borderId="1" fillId="0" fontId="5" numFmtId="167" xfId="0">
      <alignment horizontal="center" vertical="center"/>
    </xf>
    <xf applyAlignment="true" applyBorder="false" applyFill="false" applyFont="true" applyNumberFormat="true" applyProtection="false" borderId="1" fillId="0" fontId="5" numFmtId="170" xfId="0">
      <alignment horizontal="center" vertical="center"/>
    </xf>
    <xf applyAlignment="true" applyBorder="false" applyFill="false" applyFont="true" applyNumberFormat="true" applyProtection="false" borderId="1" fillId="0" fontId="5" numFmtId="168" xfId="0">
      <alignment horizontal="center" vertical="center"/>
    </xf>
    <xf applyAlignment="true" applyBorder="false" applyFill="false" applyFont="true" applyNumberFormat="true" applyProtection="false" borderId="1" fillId="0" fontId="5" numFmtId="174" xfId="0">
      <alignment horizontal="center" vertical="center"/>
    </xf>
    <xf applyAlignment="true" applyBorder="false" applyFill="false" applyFont="true" applyNumberFormat="true" applyProtection="false" borderId="1" fillId="0" fontId="5" numFmtId="174" xfId="0">
      <alignment horizontal="center" vertical="center" wrapText="true"/>
    </xf>
    <xf applyAlignment="true" applyBorder="false" applyFill="false" applyFont="true" applyNumberFormat="true" applyProtection="false" borderId="1" fillId="0" fontId="5" numFmtId="175" xfId="0">
      <alignment horizontal="center" vertical="center" wrapText="true"/>
    </xf>
    <xf applyAlignment="true" applyBorder="false" applyFill="false" applyFont="true" applyNumberFormat="true" applyProtection="false" borderId="1" fillId="0" fontId="5" numFmtId="169" xfId="0">
      <alignment horizontal="center" vertical="center" wrapText="true"/>
    </xf>
    <xf applyAlignment="true" applyBorder="false" applyFill="false" applyFont="true" applyNumberFormat="true" applyProtection="false" borderId="1" fillId="0" fontId="5" numFmtId="171" xfId="0">
      <alignment horizontal="center" vertical="center"/>
    </xf>
    <xf applyAlignment="true" applyBorder="false" applyFill="false" applyFont="true" applyNumberFormat="true" applyProtection="false" borderId="1" fillId="0" fontId="5" numFmtId="172" xfId="0">
      <alignment horizontal="center" vertical="center"/>
    </xf>
    <xf applyAlignment="true" applyBorder="false" applyFill="false" applyFont="true" applyNumberFormat="true" applyProtection="false" borderId="1" fillId="0" fontId="1" numFmtId="172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bottom"/>
    </xf>
    <xf applyAlignment="true" applyBorder="false" applyFill="false" applyFont="true" applyNumberFormat="false" applyProtection="false" borderId="1" fillId="0" fontId="5" numFmtId="0" xfId="0">
      <alignment horizontal="left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true" applyProtection="false" borderId="1" fillId="0" fontId="5" numFmtId="169" xfId="0">
      <alignment horizontal="center" vertical="center"/>
    </xf>
    <xf applyAlignment="true" applyBorder="false" applyFill="false" applyFont="true" applyNumberFormat="true" applyProtection="false" borderId="1" fillId="0" fontId="5" numFmtId="166" xfId="0">
      <alignment horizontal="center" vertical="center"/>
    </xf>
    <xf applyAlignment="true" applyBorder="false" applyFill="false" applyFont="true" applyNumberFormat="true" applyProtection="false" borderId="1" fillId="0" fontId="5" numFmtId="167" xfId="0">
      <alignment horizontal="center" vertical="center"/>
    </xf>
    <xf applyAlignment="true" applyBorder="false" applyFill="false" applyFont="true" applyNumberFormat="true" applyProtection="false" borderId="1" fillId="0" fontId="5" numFmtId="170" xfId="0">
      <alignment horizontal="center" vertical="center"/>
    </xf>
    <xf applyAlignment="true" applyBorder="false" applyFill="false" applyFont="true" applyNumberFormat="true" applyProtection="false" borderId="1" fillId="0" fontId="5" numFmtId="168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left" vertical="bottom"/>
    </xf>
    <xf applyAlignment="true" applyBorder="false" applyFill="false" applyFont="true" applyNumberFormat="true" applyProtection="false" borderId="1" fillId="0" fontId="7" numFmtId="170" xfId="0">
      <alignment horizontal="center" vertical="center"/>
    </xf>
    <xf applyAlignment="true" applyBorder="false" applyFill="false" applyFont="true" applyNumberFormat="true" applyProtection="false" borderId="1" fillId="0" fontId="7" numFmtId="168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true" applyProtection="false" borderId="1" fillId="0" fontId="7" numFmtId="167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1" fillId="0" fontId="7" numFmtId="169" xfId="0">
      <alignment horizontal="center" vertical="center"/>
    </xf>
    <xf applyAlignment="true" applyBorder="false" applyFill="true" applyFont="true" applyNumberFormat="true" applyProtection="false" borderId="5" fillId="12" fontId="8" numFmtId="164" xfId="0">
      <alignment horizontal="center" vertical="center"/>
    </xf>
    <xf applyAlignment="true" applyBorder="false" applyFill="true" applyFont="true" applyNumberFormat="false" applyProtection="false" borderId="1" fillId="12" fontId="7" numFmtId="0" xfId="0">
      <alignment horizontal="center" vertical="center"/>
    </xf>
    <xf applyAlignment="true" applyBorder="false" applyFill="true" applyFont="true" applyNumberFormat="true" applyProtection="false" borderId="1" fillId="12" fontId="7" numFmtId="169" xfId="0">
      <alignment horizontal="center" vertical="center"/>
    </xf>
    <xf applyAlignment="true" applyBorder="false" applyFill="true" applyFont="true" applyNumberFormat="true" applyProtection="false" borderId="1" fillId="12" fontId="7" numFmtId="166" xfId="0">
      <alignment horizontal="center" vertical="center"/>
    </xf>
    <xf applyAlignment="true" applyBorder="false" applyFill="true" applyFont="true" applyNumberFormat="true" applyProtection="false" borderId="1" fillId="12" fontId="7" numFmtId="168" xfId="0">
      <alignment horizontal="center" vertical="center"/>
    </xf>
    <xf applyAlignment="true" applyBorder="false" applyFill="true" applyFont="true" applyNumberFormat="true" applyProtection="false" borderId="1" fillId="12" fontId="7" numFmtId="170" xfId="0">
      <alignment horizontal="center" vertical="center"/>
    </xf>
    <xf applyAlignment="true" applyBorder="false" applyFill="true" applyFont="true" applyNumberFormat="true" applyProtection="false" borderId="1" fillId="12" fontId="7" numFmtId="174" xfId="0">
      <alignment horizontal="center" vertical="center"/>
    </xf>
    <xf applyAlignment="true" applyBorder="false" applyFill="true" applyFont="true" applyNumberFormat="true" applyProtection="false" borderId="1" fillId="12" fontId="7" numFmtId="167" xfId="0">
      <alignment horizontal="center" vertical="center"/>
    </xf>
    <xf applyAlignment="true" applyBorder="false" applyFill="true" applyFont="true" applyNumberFormat="true" applyProtection="false" borderId="1" fillId="12" fontId="7" numFmtId="175" xfId="0">
      <alignment horizontal="center" vertical="center"/>
    </xf>
    <xf applyAlignment="true" applyBorder="false" applyFill="false" applyFont="true" applyNumberFormat="true" applyProtection="false" borderId="1" fillId="0" fontId="5" numFmtId="176" xfId="0">
      <alignment horizontal="center" vertical="center"/>
    </xf>
    <xf applyAlignment="true" applyBorder="false" applyFill="true" applyFont="true" applyNumberFormat="true" applyProtection="false" borderId="1" fillId="12" fontId="7" numFmtId="172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true" applyFont="true" applyNumberFormat="false" applyProtection="false" borderId="1" fillId="12" fontId="7" numFmtId="0" xfId="0">
      <alignment horizontal="left" vertical="center"/>
    </xf>
    <xf applyAlignment="true" applyBorder="false" applyFill="true" applyFont="true" applyNumberFormat="false" applyProtection="false" borderId="0" fillId="12" fontId="5" numFmtId="0" xfId="0">
      <alignment horizontal="left" vertical="center"/>
    </xf>
    <xf applyAlignment="true" applyBorder="false" applyFill="true" applyFont="true" applyNumberFormat="true" applyProtection="false" borderId="6" fillId="13" fontId="1" numFmtId="177" xfId="0">
      <alignment horizontal="center" vertical="center" wrapText="true"/>
    </xf>
    <xf applyAlignment="true" applyBorder="false" applyFill="true" applyFont="true" applyNumberFormat="false" applyProtection="false" borderId="6" fillId="13" fontId="1" numFmtId="0" xfId="0">
      <alignment horizontal="center" vertical="center" wrapText="true"/>
    </xf>
    <xf applyAlignment="true" applyBorder="false" applyFill="true" applyFont="true" applyNumberFormat="false" applyProtection="false" borderId="6" fillId="13" fontId="1" numFmtId="0" xfId="0">
      <alignment horizontal="center" vertical="center"/>
    </xf>
    <xf applyAlignment="true" applyBorder="false" applyFill="true" applyFont="true" applyNumberFormat="false" applyProtection="false" borderId="6" fillId="14" fontId="1" numFmtId="0" xfId="0">
      <alignment horizontal="center" vertical="center" wrapText="true"/>
    </xf>
    <xf applyAlignment="true" applyBorder="false" applyFill="true" applyFont="true" applyNumberFormat="true" applyProtection="false" borderId="6" fillId="14" fontId="1" numFmtId="178" xfId="0">
      <alignment horizontal="center" vertical="center" wrapText="true"/>
    </xf>
    <xf applyAlignment="true" applyBorder="false" applyFill="true" applyFont="true" applyNumberFormat="true" applyProtection="false" borderId="6" fillId="14" fontId="1" numFmtId="179" xfId="0">
      <alignment horizontal="center" vertical="center" wrapText="true"/>
    </xf>
    <xf applyAlignment="true" applyBorder="false" applyFill="true" applyFont="true" applyNumberFormat="true" applyProtection="false" borderId="6" fillId="14" fontId="1" numFmtId="180" xfId="0">
      <alignment horizontal="center" vertical="center" wrapText="true"/>
    </xf>
    <xf applyAlignment="true" applyBorder="false" applyFill="true" applyFont="true" applyNumberFormat="false" applyProtection="false" borderId="6" fillId="14" fontId="3" numFmtId="0" xfId="0">
      <alignment horizontal="center" vertical="center" wrapText="true"/>
    </xf>
    <xf applyAlignment="true" applyBorder="false" applyFill="true" applyFont="true" applyNumberFormat="true" applyProtection="false" borderId="6" fillId="14" fontId="3" numFmtId="181" xfId="0">
      <alignment horizontal="center" vertical="center" wrapText="true"/>
    </xf>
    <xf applyAlignment="true" applyBorder="false" applyFill="true" applyFont="true" applyNumberFormat="true" applyProtection="false" borderId="6" fillId="14" fontId="3" numFmtId="182" xfId="0">
      <alignment horizontal="center" vertical="center" wrapText="true"/>
    </xf>
    <xf applyAlignment="true" applyBorder="false" applyFill="true" applyFont="true" applyNumberFormat="false" applyProtection="false" borderId="7" fillId="15" fontId="1" numFmtId="0" xfId="0">
      <alignment horizontal="center" vertical="center" wrapText="true"/>
    </xf>
    <xf applyAlignment="true" applyBorder="false" applyFill="true" applyFont="true" applyNumberFormat="false" applyProtection="false" borderId="6" fillId="15" fontId="1" numFmtId="0" xfId="0">
      <alignment horizontal="center" vertical="center" wrapText="true"/>
    </xf>
    <xf applyAlignment="true" applyBorder="false" applyFill="true" applyFont="true" applyNumberFormat="true" applyProtection="false" borderId="6" fillId="15" fontId="3" numFmtId="181" xfId="0">
      <alignment horizontal="center" vertical="center" wrapText="true"/>
    </xf>
    <xf applyAlignment="true" applyBorder="false" applyFill="true" applyFont="true" applyNumberFormat="true" applyProtection="false" borderId="6" fillId="14" fontId="3" numFmtId="180" xfId="0">
      <alignment horizontal="center" vertical="center" wrapText="true"/>
    </xf>
    <xf applyAlignment="true" applyBorder="false" applyFill="true" applyFont="true" applyNumberFormat="false" applyProtection="false" borderId="6" fillId="14" fontId="2" numFmtId="0" xfId="0">
      <alignment horizontal="center" vertical="center" wrapText="true"/>
    </xf>
    <xf applyAlignment="true" applyBorder="false" applyFill="true" applyFont="true" applyNumberFormat="false" applyProtection="false" borderId="6" fillId="16" fontId="1" numFmtId="0" xfId="0">
      <alignment horizontal="center" vertical="center" wrapText="true"/>
    </xf>
    <xf applyAlignment="true" applyBorder="false" applyFill="true" applyFont="true" applyNumberFormat="false" applyProtection="false" borderId="6" fillId="16" fontId="1" numFmtId="0" xfId="0">
      <alignment horizontal="left" vertical="center" wrapText="true"/>
    </xf>
    <xf applyAlignment="true" applyBorder="false" applyFill="true" applyFont="true" applyNumberFormat="false" applyProtection="false" borderId="6" fillId="17" fontId="1" numFmtId="0" xfId="0">
      <alignment horizontal="center" vertical="center" wrapText="true"/>
    </xf>
    <xf applyAlignment="true" applyBorder="false" applyFill="true" applyFont="true" applyNumberFormat="true" applyProtection="false" borderId="6" fillId="18" fontId="1" numFmtId="179" xfId="0">
      <alignment horizontal="center" vertical="center" wrapText="true"/>
    </xf>
    <xf applyAlignment="true" applyBorder="false" applyFill="true" applyFont="true" applyNumberFormat="true" applyProtection="false" borderId="6" fillId="18" fontId="1" numFmtId="183" xfId="0">
      <alignment horizontal="center" vertical="center" wrapText="true"/>
    </xf>
    <xf applyAlignment="true" applyBorder="false" applyFill="true" applyFont="true" applyNumberFormat="true" applyProtection="false" borderId="6" fillId="19" fontId="1" numFmtId="180" xfId="0">
      <alignment horizontal="center" vertical="center" wrapText="true"/>
    </xf>
    <xf applyAlignment="true" applyBorder="false" applyFill="true" applyFont="true" applyNumberFormat="true" applyProtection="false" borderId="6" fillId="19" fontId="1" numFmtId="184" xfId="0">
      <alignment horizontal="center" vertical="center" wrapText="true"/>
    </xf>
    <xf applyAlignment="true" applyBorder="false" applyFill="true" applyFont="true" applyNumberFormat="false" applyProtection="false" borderId="8" fillId="20" fontId="1" numFmtId="0" xfId="0">
      <alignment horizontal="center" vertical="center" wrapText="true"/>
    </xf>
    <xf applyAlignment="true" applyBorder="false" applyFill="true" applyFont="true" applyNumberFormat="false" applyProtection="false" borderId="8" fillId="20" fontId="1" numFmtId="0" xfId="0">
      <alignment horizontal="left" vertical="center" wrapText="true"/>
    </xf>
    <xf applyAlignment="true" applyBorder="false" applyFill="true" applyFont="true" applyNumberFormat="false" applyProtection="false" borderId="9" fillId="15" fontId="1" numFmtId="0" xfId="0">
      <alignment horizontal="center" vertical="center" wrapText="true"/>
    </xf>
    <xf applyAlignment="true" applyBorder="false" applyFill="true" applyFont="true" applyNumberFormat="false" applyProtection="false" borderId="6" fillId="21" fontId="1" numFmtId="0" xfId="0">
      <alignment horizontal="center" vertical="center" wrapText="true"/>
    </xf>
    <xf applyAlignment="true" applyBorder="false" applyFill="true" applyFont="true" applyNumberFormat="true" applyProtection="false" borderId="6" fillId="17" fontId="3" numFmtId="179" xfId="0">
      <alignment horizontal="center" vertical="center" wrapText="true"/>
    </xf>
    <xf applyAlignment="true" applyBorder="false" applyFill="true" applyFont="true" applyNumberFormat="true" applyProtection="false" borderId="6" fillId="17" fontId="3" numFmtId="185" xfId="0">
      <alignment horizontal="center" vertical="center" wrapText="true"/>
    </xf>
    <xf applyAlignment="true" applyBorder="false" applyFill="true" applyFont="true" applyNumberFormat="true" applyProtection="false" borderId="6" fillId="17" fontId="3" numFmtId="181" xfId="0">
      <alignment horizontal="center" vertical="center" wrapText="true"/>
    </xf>
    <xf applyAlignment="true" applyBorder="false" applyFill="true" applyFont="true" applyNumberFormat="true" applyProtection="false" borderId="6" fillId="17" fontId="3" numFmtId="182" xfId="0">
      <alignment horizontal="center" vertical="center" wrapText="true"/>
    </xf>
    <xf applyAlignment="true" applyBorder="false" applyFill="true" applyFont="true" applyNumberFormat="true" applyProtection="false" borderId="6" fillId="21" fontId="3" numFmtId="182" xfId="0">
      <alignment horizontal="center" vertical="center" wrapText="true"/>
    </xf>
    <xf applyAlignment="true" applyBorder="false" applyFill="true" applyFont="true" applyNumberFormat="true" applyProtection="false" borderId="6" fillId="18" fontId="3" numFmtId="179" xfId="0">
      <alignment horizontal="center" vertical="center" wrapText="true"/>
    </xf>
    <xf applyAlignment="true" applyBorder="false" applyFill="true" applyFont="true" applyNumberFormat="true" applyProtection="false" borderId="6" fillId="18" fontId="3" numFmtId="183" xfId="0">
      <alignment horizontal="center" vertical="center" wrapText="true"/>
    </xf>
    <xf applyAlignment="true" applyBorder="false" applyFill="true" applyFont="true" applyNumberFormat="true" applyProtection="false" borderId="6" fillId="18" fontId="4" numFmtId="183" xfId="0">
      <alignment horizontal="center" vertical="center" wrapText="true"/>
    </xf>
    <xf applyAlignment="true" applyBorder="false" applyFill="true" applyFont="true" applyNumberFormat="true" applyProtection="false" borderId="6" fillId="22" fontId="3" numFmtId="183" xfId="0">
      <alignment horizontal="center" vertical="center" wrapText="true"/>
    </xf>
    <xf applyAlignment="true" applyBorder="false" applyFill="true" applyFont="true" applyNumberFormat="false" applyProtection="false" borderId="6" fillId="18" fontId="3" numFmtId="0" xfId="0">
      <alignment horizontal="center" vertical="center" wrapText="true"/>
    </xf>
    <xf applyAlignment="true" applyBorder="false" applyFill="true" applyFont="true" applyNumberFormat="true" applyProtection="false" borderId="6" fillId="18" fontId="4" numFmtId="182" xfId="0">
      <alignment horizontal="center" vertical="center" wrapText="true"/>
    </xf>
    <xf applyAlignment="true" applyBorder="false" applyFill="true" applyFont="true" applyNumberFormat="true" applyProtection="false" borderId="6" fillId="18" fontId="3" numFmtId="182" xfId="0">
      <alignment horizontal="center" vertical="center" wrapText="true"/>
    </xf>
    <xf applyAlignment="true" applyBorder="false" applyFill="true" applyFont="true" applyNumberFormat="true" applyProtection="false" borderId="6" fillId="18" fontId="1" numFmtId="182" xfId="0">
      <alignment horizontal="center" vertical="center" wrapText="true"/>
    </xf>
    <xf applyAlignment="true" applyBorder="false" applyFill="true" applyFont="true" applyNumberFormat="true" applyProtection="false" borderId="7" fillId="19" fontId="1" numFmtId="180" xfId="0">
      <alignment horizontal="center" vertical="center" wrapText="true"/>
    </xf>
    <xf applyAlignment="true" applyBorder="false" applyFill="true" applyFont="true" applyNumberFormat="false" applyProtection="false" borderId="7" fillId="19" fontId="1" numFmtId="0" xfId="0">
      <alignment horizontal="center" vertical="center" wrapText="true"/>
    </xf>
    <xf applyAlignment="true" applyBorder="false" applyFill="true" applyFont="true" applyNumberFormat="false" applyProtection="false" borderId="6" fillId="19" fontId="1" numFmtId="0" xfId="0">
      <alignment horizontal="center" vertical="center" wrapText="true"/>
    </xf>
    <xf applyAlignment="true" applyBorder="false" applyFill="true" applyFont="true" applyNumberFormat="true" applyProtection="false" borderId="6" fillId="19" fontId="1" numFmtId="179" xfId="0">
      <alignment horizontal="center" vertical="center" wrapText="true"/>
    </xf>
    <xf applyAlignment="true" applyBorder="false" applyFill="true" applyFont="true" applyNumberFormat="false" applyProtection="false" borderId="6" fillId="19" fontId="3" numFmtId="0" xfId="0">
      <alignment horizontal="center" vertical="center" wrapText="true"/>
    </xf>
    <xf applyAlignment="true" applyBorder="false" applyFill="true" applyFont="true" applyNumberFormat="true" applyProtection="false" borderId="6" fillId="19" fontId="3" numFmtId="184" xfId="0">
      <alignment horizontal="center" vertical="center" wrapText="true"/>
    </xf>
    <xf applyAlignment="true" applyBorder="false" applyFill="true" applyFont="true" applyNumberFormat="false" applyProtection="false" borderId="10" fillId="20" fontId="1" numFmtId="0" xfId="0">
      <alignment horizontal="center" vertical="center" wrapText="true"/>
    </xf>
    <xf applyAlignment="true" applyBorder="false" applyFill="true" applyFont="true" applyNumberFormat="false" applyProtection="false" borderId="6" fillId="20" fontId="1" numFmtId="0" xfId="0">
      <alignment horizontal="left" vertical="center" wrapText="true"/>
    </xf>
    <xf applyAlignment="true" applyBorder="false" applyFill="true" applyFont="true" applyNumberFormat="false" applyProtection="false" borderId="6" fillId="20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5" numFmtId="177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left" vertical="center"/>
    </xf>
    <xf applyAlignment="true" applyBorder="false" applyFill="false" applyFont="true" applyNumberFormat="true" applyProtection="false" borderId="6" fillId="0" fontId="5" numFmtId="181" xfId="0">
      <alignment horizontal="center" vertical="center"/>
    </xf>
    <xf applyAlignment="true" applyBorder="false" applyFill="false" applyFont="true" applyNumberFormat="true" applyProtection="false" borderId="6" fillId="0" fontId="5" numFmtId="186" xfId="0">
      <alignment horizontal="center" vertical="center"/>
    </xf>
    <xf applyAlignment="true" applyBorder="false" applyFill="false" applyFont="true" applyNumberFormat="true" applyProtection="false" borderId="6" fillId="0" fontId="5" numFmtId="180" xfId="0">
      <alignment horizontal="center" vertical="center"/>
    </xf>
    <xf applyAlignment="true" applyBorder="false" applyFill="false" applyFont="true" applyNumberFormat="true" applyProtection="false" borderId="6" fillId="0" fontId="5" numFmtId="182" xfId="0">
      <alignment horizontal="center" vertical="center"/>
    </xf>
    <xf applyAlignment="true" applyBorder="false" applyFill="false" applyFont="true" applyNumberFormat="true" applyProtection="false" borderId="6" fillId="0" fontId="5" numFmtId="187" xfId="0">
      <alignment horizontal="center" vertical="center"/>
    </xf>
    <xf applyAlignment="true" applyBorder="false" applyFill="false" applyFont="true" applyNumberFormat="true" applyProtection="false" borderId="6" fillId="0" fontId="5" numFmtId="187" xfId="0">
      <alignment horizontal="center" vertical="center" wrapText="true"/>
    </xf>
    <xf applyAlignment="true" applyBorder="false" applyFill="false" applyFont="true" applyNumberFormat="true" applyProtection="false" borderId="6" fillId="0" fontId="5" numFmtId="179" xfId="0">
      <alignment horizontal="center" vertical="center"/>
    </xf>
    <xf applyAlignment="true" applyBorder="false" applyFill="false" applyFont="true" applyNumberFormat="true" applyProtection="false" borderId="6" fillId="0" fontId="5" numFmtId="188" xfId="0">
      <alignment horizontal="center" vertical="center" wrapText="true"/>
    </xf>
    <xf applyAlignment="true" applyBorder="false" applyFill="false" applyFont="true" applyNumberFormat="true" applyProtection="false" borderId="6" fillId="0" fontId="5" numFmtId="181" xfId="0">
      <alignment horizontal="center" vertical="center" wrapText="true"/>
    </xf>
    <xf applyAlignment="true" applyBorder="false" applyFill="false" applyFont="true" applyNumberFormat="true" applyProtection="false" borderId="6" fillId="0" fontId="5" numFmtId="184" xfId="0">
      <alignment horizontal="center" vertical="center"/>
    </xf>
    <xf applyAlignment="true" applyBorder="false" applyFill="false" applyFont="true" applyNumberFormat="true" applyProtection="false" borderId="6" fillId="0" fontId="5" numFmtId="183" xfId="0">
      <alignment horizontal="center" vertical="center"/>
    </xf>
    <xf applyAlignment="true" applyBorder="false" applyFill="false" applyFont="true" applyNumberFormat="true" applyProtection="false" borderId="6" fillId="0" fontId="1" numFmtId="183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bottom"/>
    </xf>
    <xf applyAlignment="true" applyBorder="false" applyFill="false" applyFont="true" applyNumberFormat="false" applyProtection="false" borderId="0" fillId="0" fontId="6" numFmtId="0" xfId="0">
      <alignment horizontal="left" vertical="bottom"/>
    </xf>
    <xf applyAlignment="true" applyBorder="false" applyFill="false" applyFont="true" applyNumberFormat="false" applyProtection="false" borderId="6" fillId="0" fontId="7" numFmtId="0" xfId="0">
      <alignment horizontal="left" vertical="center"/>
    </xf>
    <xf applyAlignment="true" applyBorder="false" applyFill="false" applyFont="true" applyNumberFormat="true" applyProtection="false" borderId="6" fillId="0" fontId="7" numFmtId="182" xfId="0">
      <alignment horizontal="center" vertical="center"/>
    </xf>
    <xf applyAlignment="true" applyBorder="false" applyFill="false" applyFont="true" applyNumberFormat="true" applyProtection="false" borderId="6" fillId="0" fontId="7" numFmtId="180" xfId="0">
      <alignment horizontal="center" vertical="center"/>
    </xf>
    <xf applyAlignment="true" applyBorder="false" applyFill="false" applyFont="true" applyNumberFormat="false" applyProtection="false" borderId="6" fillId="0" fontId="7" numFmtId="0" xfId="0">
      <alignment horizontal="center" vertical="center"/>
    </xf>
    <xf applyAlignment="true" applyBorder="false" applyFill="false" applyFont="true" applyNumberFormat="true" applyProtection="false" borderId="6" fillId="0" fontId="7" numFmtId="179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6" fillId="0" fontId="7" numFmtId="181" xfId="0">
      <alignment horizontal="center" vertical="center"/>
    </xf>
    <xf applyAlignment="true" applyBorder="false" applyFill="true" applyFont="true" applyNumberFormat="true" applyProtection="false" borderId="11" fillId="23" fontId="8" numFmtId="177" xfId="0">
      <alignment horizontal="center" vertical="center"/>
    </xf>
    <xf applyAlignment="true" applyBorder="false" applyFill="true" applyFont="true" applyNumberFormat="false" applyProtection="false" borderId="6" fillId="23" fontId="7" numFmtId="0" xfId="0">
      <alignment horizontal="center" vertical="center"/>
    </xf>
    <xf applyAlignment="true" applyBorder="false" applyFill="true" applyFont="true" applyNumberFormat="true" applyProtection="false" borderId="6" fillId="23" fontId="7" numFmtId="181" xfId="0">
      <alignment horizontal="center" vertical="center"/>
    </xf>
    <xf applyAlignment="true" applyBorder="false" applyFill="true" applyFont="true" applyNumberFormat="true" applyProtection="false" borderId="6" fillId="23" fontId="7" numFmtId="180" xfId="0">
      <alignment horizontal="center" vertical="center"/>
    </xf>
    <xf applyAlignment="true" applyBorder="false" applyFill="true" applyFont="true" applyNumberFormat="true" applyProtection="false" borderId="6" fillId="23" fontId="7" numFmtId="182" xfId="0">
      <alignment horizontal="center" vertical="center"/>
    </xf>
    <xf applyAlignment="true" applyBorder="false" applyFill="true" applyFont="true" applyNumberFormat="true" applyProtection="false" borderId="6" fillId="23" fontId="7" numFmtId="187" xfId="0">
      <alignment horizontal="center" vertical="center"/>
    </xf>
    <xf applyAlignment="true" applyBorder="false" applyFill="true" applyFont="true" applyNumberFormat="true" applyProtection="false" borderId="6" fillId="23" fontId="7" numFmtId="179" xfId="0">
      <alignment horizontal="center" vertical="center"/>
    </xf>
    <xf applyAlignment="true" applyBorder="false" applyFill="true" applyFont="true" applyNumberFormat="true" applyProtection="false" borderId="6" fillId="23" fontId="7" numFmtId="188" xfId="0">
      <alignment horizontal="center" vertical="center"/>
    </xf>
    <xf applyAlignment="true" applyBorder="false" applyFill="false" applyFont="true" applyNumberFormat="true" applyProtection="false" borderId="6" fillId="0" fontId="5" numFmtId="189" xfId="0">
      <alignment horizontal="center" vertical="center"/>
    </xf>
    <xf applyAlignment="true" applyBorder="false" applyFill="true" applyFont="true" applyNumberFormat="true" applyProtection="false" borderId="6" fillId="23" fontId="7" numFmtId="183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true" applyFont="true" applyNumberFormat="false" applyProtection="false" borderId="6" fillId="23" fontId="7" numFmtId="0" xfId="0">
      <alignment horizontal="left" vertical="center"/>
    </xf>
    <xf applyAlignment="true" applyBorder="false" applyFill="true" applyFont="true" applyNumberFormat="false" applyProtection="false" borderId="0" fillId="23" fontId="5" numFmtId="0" xfId="0">
      <alignment horizontal="left" vertical="center"/>
    </xf>
    <xf applyAlignment="true" applyBorder="false" applyFill="true" applyFont="true" applyNumberFormat="false" applyProtection="false" borderId="12" fillId="24" fontId="1" numFmtId="0" xfId="0">
      <alignment horizontal="center" vertical="center" wrapText="true"/>
    </xf>
    <xf applyAlignment="true" applyBorder="false" applyFill="true" applyFont="true" applyNumberFormat="false" applyProtection="false" borderId="12" fillId="25" fontId="9" numFmtId="0" xfId="0">
      <alignment horizontal="center" vertical="center" wrapText="true"/>
    </xf>
    <xf applyAlignment="true" applyBorder="false" applyFill="true" applyFont="true" applyNumberFormat="false" applyProtection="false" borderId="12" fillId="26" fontId="9" numFmtId="0" xfId="0">
      <alignment horizontal="center" vertical="center" wrapText="true"/>
    </xf>
    <xf applyAlignment="true" applyBorder="false" applyFill="true" applyFont="true" applyNumberFormat="false" applyProtection="false" borderId="12" fillId="25" fontId="10" numFmtId="0" xfId="0">
      <alignment horizontal="center" vertical="center" wrapText="true"/>
    </xf>
    <xf applyAlignment="true" applyBorder="false" applyFill="true" applyFont="true" applyNumberFormat="true" applyProtection="false" borderId="12" fillId="25" fontId="10" numFmtId="190" xfId="0">
      <alignment horizontal="center" vertical="center" wrapText="true"/>
    </xf>
    <xf applyAlignment="true" applyBorder="false" applyFill="true" applyFont="true" applyNumberFormat="false" applyProtection="false" borderId="12" fillId="27" fontId="9" numFmtId="0" xfId="0">
      <alignment horizontal="center" vertical="center" wrapText="true"/>
    </xf>
    <xf applyAlignment="true" applyBorder="false" applyFill="false" applyFont="true" applyNumberFormat="false" applyProtection="false" borderId="13" fillId="0" fontId="7" numFmtId="0" xfId="0">
      <alignment horizontal="center" vertical="center" wrapText="true"/>
    </xf>
    <xf applyAlignment="true" applyBorder="false" applyFill="false" applyFont="true" applyNumberFormat="true" applyProtection="false" borderId="13" fillId="0" fontId="7" numFmtId="191" xfId="0">
      <alignment horizontal="center" vertical="center" wrapText="true"/>
    </xf>
    <xf applyAlignment="true" applyBorder="false" applyFill="false" applyFont="true" applyNumberFormat="true" applyProtection="false" borderId="13" fillId="0" fontId="7" numFmtId="192" xfId="0">
      <alignment horizontal="center" vertical="center" wrapText="true"/>
    </xf>
    <xf applyAlignment="true" applyBorder="false" applyFill="false" applyFont="true" applyNumberFormat="true" applyProtection="false" borderId="13" fillId="0" fontId="7" numFmtId="193" xfId="0">
      <alignment horizontal="center" vertical="center" wrapText="true"/>
    </xf>
    <xf applyAlignment="true" applyBorder="false" applyFill="false" applyFont="true" applyNumberFormat="true" applyProtection="false" borderId="13" fillId="0" fontId="7" numFmtId="194" xfId="0">
      <alignment horizontal="center" vertical="center" wrapText="true"/>
    </xf>
    <xf applyAlignment="true" applyBorder="false" applyFill="false" applyFont="true" applyNumberFormat="true" applyProtection="false" borderId="13" fillId="0" fontId="7" numFmtId="195" xfId="0">
      <alignment horizontal="center" vertical="center" wrapText="true"/>
    </xf>
    <xf applyAlignment="true" applyBorder="false" applyFill="true" applyFont="true" applyNumberFormat="true" applyProtection="false" borderId="13" fillId="28" fontId="7" numFmtId="196" xfId="0">
      <alignment horizontal="center" vertical="center" wrapText="true"/>
    </xf>
    <xf applyAlignment="true" applyBorder="false" applyFill="false" applyFont="true" applyNumberFormat="true" applyProtection="false" borderId="13" fillId="0" fontId="7" numFmtId="197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horizontal="left" vertical="center" wrapText="true"/>
    </xf>
    <xf applyAlignment="true" applyBorder="false" applyFill="false" applyFont="true" applyNumberFormat="true" applyProtection="false" borderId="0" fillId="0" fontId="11" numFmtId="191" xfId="0">
      <alignment horizontal="center" vertical="center" wrapText="true"/>
    </xf>
    <xf applyAlignment="true" applyBorder="false" applyFill="false" applyFont="true" applyNumberFormat="true" applyProtection="false" borderId="0" fillId="0" fontId="11" numFmtId="192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horizontal="center" vertical="center" wrapText="true"/>
    </xf>
    <xf applyAlignment="true" applyBorder="false" applyFill="false" applyFont="true" applyNumberFormat="true" applyProtection="false" borderId="0" fillId="0" fontId="11" numFmtId="193" xfId="0">
      <alignment horizontal="center" vertical="center" wrapText="true"/>
    </xf>
    <xf applyAlignment="true" applyBorder="false" applyFill="false" applyFont="true" applyNumberFormat="true" applyProtection="false" borderId="0" fillId="0" fontId="11" numFmtId="194" xfId="0">
      <alignment horizontal="center" vertical="center" wrapText="true"/>
    </xf>
    <xf applyAlignment="true" applyBorder="false" applyFill="false" applyFont="true" applyNumberFormat="true" applyProtection="false" borderId="0" fillId="0" fontId="11" numFmtId="195" xfId="0">
      <alignment horizontal="center" vertical="center" wrapText="true"/>
    </xf>
    <xf applyAlignment="true" applyBorder="false" applyFill="false" applyFont="true" applyNumberFormat="true" applyProtection="false" borderId="0" fillId="0" fontId="11" numFmtId="197" xfId="0">
      <alignment horizontal="center" vertical="center" wrapText="true"/>
    </xf>
    <xf applyAlignment="true" applyBorder="false" applyFill="true" applyFont="true" applyNumberFormat="false" applyProtection="false" borderId="13" fillId="24" fontId="1" numFmtId="0" xfId="0">
      <alignment horizontal="center" vertical="center" wrapText="true"/>
    </xf>
    <xf applyAlignment="true" applyBorder="false" applyFill="true" applyFont="true" applyNumberFormat="false" applyProtection="false" borderId="13" fillId="25" fontId="9" numFmtId="0" xfId="0">
      <alignment horizontal="center" vertical="center" wrapText="true"/>
    </xf>
    <xf applyAlignment="true" applyBorder="false" applyFill="true" applyFont="true" applyNumberFormat="false" applyProtection="false" borderId="13" fillId="26" fontId="9" numFmtId="0" xfId="0">
      <alignment horizontal="center" vertical="center" wrapText="true"/>
    </xf>
    <xf applyAlignment="true" applyBorder="false" applyFill="true" applyFont="true" applyNumberFormat="true" applyProtection="false" borderId="13" fillId="25" fontId="9" numFmtId="190" xfId="0">
      <alignment horizontal="center" vertical="center" wrapText="true"/>
    </xf>
    <xf applyAlignment="true" applyBorder="false" applyFill="true" applyFont="true" applyNumberFormat="false" applyProtection="false" borderId="13" fillId="27" fontId="9" numFmtId="0" xfId="0">
      <alignment horizontal="center" vertical="center" wrapText="true"/>
    </xf>
    <xf applyAlignment="true" applyBorder="false" applyFill="true" applyFont="true" applyNumberFormat="true" applyProtection="false" borderId="13" fillId="28" fontId="7" numFmtId="193" xfId="0">
      <alignment horizontal="center" vertical="center" wrapText="true"/>
    </xf>
    <xf applyAlignment="true" applyBorder="false" applyFill="false" applyFont="true" applyNumberFormat="true" applyProtection="false" borderId="13" fillId="0" fontId="7" numFmtId="190" xfId="0">
      <alignment horizontal="center" vertical="center" wrapText="true"/>
    </xf>
    <xf applyAlignment="true" applyBorder="false" applyFill="false" applyFont="true" applyNumberFormat="true" applyProtection="false" borderId="0" fillId="0" fontId="7" numFmtId="197" xfId="0">
      <alignment horizontal="center" vertical="center" wrapText="true"/>
    </xf>
    <xf applyAlignment="true" applyBorder="false" applyFill="false" applyFont="true" applyNumberFormat="true" applyProtection="false" borderId="0" fillId="0" fontId="7" numFmtId="197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false" applyFont="true" applyNumberFormat="true" applyProtection="false" borderId="0" fillId="0" fontId="7" numFmtId="197" xfId="0">
      <alignment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12" fillId="25" fontId="9" numFmtId="190" xfId="0">
      <alignment horizontal="center" vertical="center" wrapText="true"/>
    </xf>
    <xf applyAlignment="true" applyBorder="false" applyFill="true" applyFont="true" applyNumberFormat="true" applyProtection="false" borderId="12" fillId="27" fontId="9" numFmtId="197" xfId="0">
      <alignment horizontal="center" vertical="center" wrapText="true"/>
    </xf>
    <xf applyAlignment="true" applyBorder="false" applyFill="true" applyFont="true" applyNumberFormat="false" applyProtection="false" borderId="0" fillId="29" fontId="1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true" applyFont="true" applyNumberFormat="false" applyProtection="false" borderId="0" fillId="29" fontId="14" numFmtId="0" xfId="0">
      <alignment vertical="bottom"/>
    </xf>
    <xf applyAlignment="true" applyBorder="false" applyFill="true" applyFont="true" applyNumberFormat="false" applyProtection="false" borderId="13" fillId="24" fontId="15" numFmtId="0" xfId="0">
      <alignment horizontal="center" vertical="center" wrapText="true"/>
    </xf>
    <xf applyAlignment="true" applyBorder="false" applyFill="true" applyFont="true" applyNumberFormat="false" applyProtection="false" borderId="0" fillId="28" fontId="6" numFmtId="0" xfId="0">
      <alignment vertical="center"/>
    </xf>
    <xf applyAlignment="true" applyBorder="false" applyFill="true" applyFont="true" applyNumberFormat="false" applyProtection="false" borderId="14" fillId="30" fontId="16" numFmtId="0" xfId="0">
      <alignment horizontal="center" vertical="center" wrapText="true"/>
    </xf>
    <xf applyAlignment="true" applyBorder="false" applyFill="true" applyFont="true" applyNumberFormat="false" applyProtection="false" borderId="14" fillId="30" fontId="16" numFmtId="0" xfId="0">
      <alignment horizontal="center" vertical="center"/>
    </xf>
    <xf applyAlignment="true" applyBorder="false" applyFill="true" applyFont="true" applyNumberFormat="true" applyProtection="false" borderId="14" fillId="30" fontId="15" numFmtId="198" xfId="0">
      <alignment horizontal="center" vertical="center" wrapText="true"/>
    </xf>
    <xf applyAlignment="true" applyBorder="false" applyFill="true" applyFont="true" applyNumberFormat="true" applyProtection="false" borderId="14" fillId="30" fontId="15" numFmtId="199" xfId="0">
      <alignment horizontal="center" vertical="center" wrapText="true"/>
    </xf>
    <xf applyAlignment="true" applyBorder="false" applyFill="true" applyFont="true" applyNumberFormat="true" applyProtection="false" borderId="14" fillId="31" fontId="15" numFmtId="199" xfId="0">
      <alignment horizontal="center" vertical="center" wrapText="true"/>
    </xf>
    <xf applyAlignment="true" applyBorder="false" applyFill="true" applyFont="true" applyNumberFormat="true" applyProtection="false" borderId="14" fillId="30" fontId="16" numFmtId="198" xfId="0">
      <alignment horizontal="center" vertical="center" wrapText="true"/>
    </xf>
    <xf applyAlignment="true" applyBorder="false" applyFill="true" applyFont="true" applyNumberFormat="true" applyProtection="false" borderId="14" fillId="30" fontId="16" numFmtId="200" xfId="0">
      <alignment horizontal="center" vertical="center" wrapText="true"/>
    </xf>
    <xf applyAlignment="true" applyBorder="false" applyFill="true" applyFont="true" applyNumberFormat="true" applyProtection="false" borderId="14" fillId="30" fontId="16" numFmtId="199" xfId="0">
      <alignment horizontal="center" vertical="center" wrapText="true"/>
    </xf>
    <xf applyAlignment="true" applyBorder="false" applyFill="true" applyFont="true" applyNumberFormat="true" applyProtection="false" borderId="14" fillId="30" fontId="16" numFmtId="201" xfId="0">
      <alignment horizontal="center" vertical="center" wrapText="true"/>
    </xf>
    <xf applyAlignment="true" applyBorder="false" applyFill="true" applyFont="true" applyNumberFormat="true" applyProtection="false" borderId="14" fillId="31" fontId="16" numFmtId="202" xfId="0">
      <alignment horizontal="center" vertical="center" wrapText="true"/>
    </xf>
    <xf applyAlignment="true" applyBorder="false" applyFill="true" applyFont="true" applyNumberFormat="true" applyProtection="false" borderId="14" fillId="31" fontId="16" numFmtId="198" xfId="0">
      <alignment horizontal="center" vertical="center" wrapText="true"/>
    </xf>
    <xf applyAlignment="true" applyBorder="false" applyFill="true" applyFont="true" applyNumberFormat="true" applyProtection="false" borderId="14" fillId="31" fontId="15" numFmtId="199" xfId="0">
      <alignment horizontal="left" vertical="center" wrapText="true"/>
    </xf>
    <xf applyAlignment="true" applyBorder="false" applyFill="true" applyFont="true" applyNumberFormat="false" applyProtection="false" borderId="14" fillId="31" fontId="16" numFmtId="0" xfId="0">
      <alignment horizontal="center" vertical="center" wrapText="true"/>
    </xf>
    <xf applyAlignment="true" applyBorder="false" applyFill="true" applyFont="true" applyNumberFormat="true" applyProtection="false" borderId="14" fillId="31" fontId="15" numFmtId="201" xfId="0">
      <alignment horizontal="center" vertical="center" wrapText="true"/>
    </xf>
    <xf applyAlignment="true" applyBorder="false" applyFill="true" applyFont="true" applyNumberFormat="true" applyProtection="false" borderId="14" fillId="30" fontId="15" numFmtId="201" xfId="0">
      <alignment horizontal="center" vertical="center" wrapText="true"/>
    </xf>
    <xf applyAlignment="true" applyBorder="false" applyFill="true" applyFont="true" applyNumberFormat="true" applyProtection="false" borderId="14" fillId="30" fontId="15" numFmtId="203" xfId="0">
      <alignment horizontal="center" vertical="center" wrapText="true"/>
    </xf>
    <xf applyAlignment="true" applyBorder="false" applyFill="true" applyFont="true" applyNumberFormat="true" applyProtection="false" borderId="14" fillId="31" fontId="16" numFmtId="199" xfId="0">
      <alignment horizontal="center" vertical="center" wrapText="true"/>
    </xf>
    <xf applyAlignment="true" applyBorder="false" applyFill="true" applyFont="true" applyNumberFormat="false" applyProtection="false" borderId="14" fillId="30" fontId="16" numFmtId="0" xfId="0">
      <alignment horizontal="left" vertical="center" wrapText="true"/>
    </xf>
    <xf applyAlignment="true" applyBorder="false" applyFill="true" applyFont="true" applyNumberFormat="false" applyProtection="false" borderId="14" fillId="30" fontId="15" numFmtId="0" xfId="0">
      <alignment horizontal="center" vertical="center" wrapText="true"/>
    </xf>
    <xf applyAlignment="true" applyBorder="false" applyFill="true" applyFont="true" applyNumberFormat="false" applyProtection="false" borderId="14" fillId="30" fontId="7" numFmtId="0" xfId="0">
      <alignment horizontal="center" vertical="center"/>
    </xf>
    <xf applyAlignment="true" applyBorder="false" applyFill="false" applyFont="true" applyNumberFormat="false" applyProtection="false" borderId="14" fillId="0" fontId="7" numFmtId="0" xfId="0">
      <alignment horizontal="center" vertical="center"/>
    </xf>
    <xf applyAlignment="true" applyBorder="false" applyFill="false" applyFont="true" applyNumberFormat="false" applyProtection="false" borderId="14" fillId="0" fontId="7" numFmtId="0" xfId="0">
      <alignment horizontal="left" vertical="bottom" wrapText="true"/>
    </xf>
    <xf applyAlignment="true" applyBorder="false" applyFill="false" applyFont="true" applyNumberFormat="true" applyProtection="false" borderId="14" fillId="0" fontId="7" numFmtId="204" xfId="0">
      <alignment horizontal="center" vertical="center" wrapText="true"/>
    </xf>
    <xf applyAlignment="true" applyBorder="false" applyFill="false" applyFont="true" applyNumberFormat="false" applyProtection="false" borderId="15" fillId="0" fontId="7" numFmtId="0" xfId="0">
      <alignment horizontal="center" vertical="bottom"/>
    </xf>
    <xf applyAlignment="true" applyBorder="false" applyFill="false" applyFont="true" applyNumberFormat="true" applyProtection="false" borderId="14" fillId="0" fontId="7" numFmtId="199" xfId="0">
      <alignment horizontal="center" vertical="center"/>
    </xf>
    <xf applyAlignment="true" applyBorder="false" applyFill="false" applyFont="true" applyNumberFormat="true" applyProtection="false" borderId="14" fillId="0" fontId="7" numFmtId="198" xfId="0">
      <alignment horizontal="center" vertical="center"/>
    </xf>
    <xf applyAlignment="true" applyBorder="false" applyFill="false" applyFont="true" applyNumberFormat="true" applyProtection="false" borderId="14" fillId="0" fontId="7" numFmtId="200" xfId="0">
      <alignment horizontal="center" vertical="center"/>
    </xf>
    <xf applyAlignment="true" applyBorder="false" applyFill="true" applyFont="true" applyNumberFormat="true" applyProtection="false" borderId="14" fillId="31" fontId="7" numFmtId="201" xfId="0">
      <alignment horizontal="center" vertical="center"/>
    </xf>
    <xf applyAlignment="true" applyBorder="false" applyFill="false" applyFont="true" applyNumberFormat="true" applyProtection="false" borderId="14" fillId="0" fontId="7" numFmtId="205" xfId="0">
      <alignment horizontal="center" vertical="center"/>
    </xf>
    <xf applyAlignment="true" applyBorder="false" applyFill="false" applyFont="true" applyNumberFormat="true" applyProtection="false" borderId="14" fillId="0" fontId="7" numFmtId="203" xfId="0">
      <alignment horizontal="center" vertical="center"/>
    </xf>
    <xf applyAlignment="true" applyBorder="false" applyFill="false" applyFont="true" applyNumberFormat="true" applyProtection="false" borderId="14" fillId="0" fontId="7" numFmtId="201" xfId="0">
      <alignment horizontal="center" vertical="center"/>
    </xf>
    <xf applyAlignment="true" applyBorder="false" applyFill="false" applyFont="true" applyNumberFormat="true" applyProtection="false" borderId="14" fillId="0" fontId="17" numFmtId="206" xfId="0">
      <alignment horizontal="center" vertical="center" wrapText="true"/>
    </xf>
    <xf applyAlignment="true" applyBorder="false" applyFill="false" applyFont="true" applyNumberFormat="true" applyProtection="false" borderId="14" fillId="0" fontId="7" numFmtId="207" xfId="0">
      <alignment horizontal="center" vertical="center"/>
    </xf>
    <xf applyAlignment="true" applyBorder="false" applyFill="false" applyFont="true" applyNumberFormat="false" applyProtection="false" borderId="14" fillId="0" fontId="15" numFmtId="0" xfId="0">
      <alignment horizontal="center" vertical="center"/>
    </xf>
    <xf applyAlignment="true" applyBorder="false" applyFill="false" applyFont="true" applyNumberFormat="false" applyProtection="false" borderId="14" fillId="0" fontId="7" numFmtId="0" xfId="0">
      <alignment vertical="bottom"/>
    </xf>
    <xf applyAlignment="true" applyBorder="false" applyFill="false" applyFont="true" applyNumberFormat="true" applyProtection="false" borderId="14" fillId="0" fontId="7" numFmtId="199" xfId="0">
      <alignment horizontal="center" vertical="center" wrapText="true"/>
    </xf>
    <xf applyAlignment="true" applyBorder="false" applyFill="false" applyFont="true" applyNumberFormat="true" applyProtection="false" borderId="14" fillId="0" fontId="7" numFmtId="208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6" fillId="32" fontId="18" numFmtId="0" xfId="0">
      <alignment horizontal="center" vertical="bottom" wrapText="true"/>
    </xf>
    <xf applyAlignment="true" applyBorder="false" applyFill="true" applyFont="true" applyNumberFormat="false" applyProtection="false" borderId="16" fillId="32" fontId="15" numFmtId="0" xfId="0">
      <alignment horizontal="center" vertical="bottom" wrapText="true"/>
    </xf>
    <xf applyAlignment="true" applyBorder="false" applyFill="false" applyFont="true" applyNumberFormat="false" applyProtection="false" borderId="17" fillId="0" fontId="15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16" fillId="0" fontId="5" numFmtId="209" xfId="0">
      <alignment horizontal="center" vertical="center"/>
    </xf>
    <xf applyAlignment="true" applyBorder="false" applyFill="false" applyFont="true" applyNumberFormat="false" applyProtection="false" borderId="16" fillId="0" fontId="5" numFmtId="0" xfId="0">
      <alignment horizontal="center" vertical="center"/>
    </xf>
    <xf applyAlignment="true" applyBorder="false" applyFill="false" applyFont="true" applyNumberFormat="false" applyProtection="false" borderId="16" fillId="0" fontId="20" numFmtId="0" xfId="0">
      <alignment vertical="bottom"/>
    </xf>
    <xf applyAlignment="true" applyBorder="false" applyFill="false" applyFont="true" applyNumberFormat="false" applyProtection="false" borderId="16" fillId="0" fontId="5" numFmtId="0" xfId="0">
      <alignment vertical="bottom"/>
    </xf>
    <xf applyAlignment="true" applyBorder="false" applyFill="false" applyFont="true" applyNumberFormat="false" applyProtection="false" borderId="16" fillId="0" fontId="21" numFmtId="0" xfId="0">
      <alignment horizontal="center" vertical="center"/>
    </xf>
    <xf applyAlignment="true" applyBorder="false" applyFill="false" applyFont="true" applyNumberFormat="false" applyProtection="false" borderId="16" fillId="0" fontId="20" numFmtId="0" xfId="0">
      <alignment vertical="center"/>
    </xf>
    <xf applyAlignment="true" applyBorder="false" applyFill="false" applyFont="true" applyNumberFormat="false" applyProtection="false" borderId="16" fillId="0" fontId="5" numFmtId="0" xfId="0">
      <alignment vertical="center"/>
    </xf>
    <xf applyAlignment="true" applyBorder="false" applyFill="false" applyFont="true" applyNumberFormat="false" applyProtection="false" borderId="0" fillId="0" fontId="22" numFmtId="0" xfId="0">
      <alignment horizontal="right" vertical="center"/>
    </xf>
    <xf applyAlignment="true" applyBorder="false" applyFill="false" applyFont="true" applyNumberFormat="true" applyProtection="false" borderId="16" fillId="0" fontId="5" numFmtId="210" xfId="0">
      <alignment horizontal="center" vertical="center"/>
    </xf>
    <xf applyAlignment="true" applyBorder="false" applyFill="false" applyFont="true" applyNumberFormat="false" applyProtection="false" borderId="16" fillId="0" fontId="23" numFmtId="0" xfId="0">
      <alignment horizontal="center" vertical="center"/>
    </xf>
    <xf applyAlignment="true" applyBorder="false" applyFill="false" applyFont="true" applyNumberFormat="true" applyProtection="false" borderId="16" fillId="0" fontId="23" numFmtId="209" xfId="0">
      <alignment horizontal="center" vertical="center"/>
    </xf>
    <xf applyAlignment="true" applyBorder="false" applyFill="false" applyFont="true" applyNumberFormat="false" applyProtection="false" borderId="16" fillId="0" fontId="23" numFmtId="0" xfId="0">
      <alignment vertical="center"/>
    </xf>
    <xf applyAlignment="true" applyBorder="false" applyFill="false" applyFont="true" applyNumberFormat="false" applyProtection="false" borderId="0" fillId="0" fontId="23" numFmtId="0" xfId="0">
      <alignment vertical="center"/>
    </xf>
    <xf applyAlignment="true" applyBorder="false" applyFill="false" applyFont="true" applyNumberFormat="false" applyProtection="false" borderId="18" fillId="0" fontId="24" numFmtId="0" xfId="0">
      <alignment horizontal="center" vertical="center"/>
    </xf>
    <xf applyAlignment="true" applyBorder="false" applyFill="true" applyFont="true" applyNumberFormat="true" applyProtection="false" borderId="18" fillId="33" fontId="15" numFmtId="211" xfId="0">
      <alignment horizontal="center" vertical="center"/>
    </xf>
    <xf applyAlignment="true" applyBorder="false" applyFill="true" applyFont="true" applyNumberFormat="true" applyProtection="false" borderId="18" fillId="34" fontId="15" numFmtId="211" xfId="0">
      <alignment horizontal="center" vertical="center"/>
    </xf>
    <xf applyAlignment="true" applyBorder="false" applyFill="true" applyFont="true" applyNumberFormat="true" applyProtection="false" borderId="18" fillId="35" fontId="15" numFmtId="211" xfId="0">
      <alignment horizontal="center" vertical="center"/>
    </xf>
    <xf applyAlignment="true" applyBorder="false" applyFill="true" applyFont="true" applyNumberFormat="true" applyProtection="false" borderId="18" fillId="36" fontId="15" numFmtId="211" xfId="0">
      <alignment horizontal="center" vertical="center"/>
    </xf>
    <xf applyAlignment="true" applyBorder="false" applyFill="true" applyFont="true" applyNumberFormat="true" applyProtection="false" borderId="18" fillId="37" fontId="15" numFmtId="211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true" applyFont="true" applyNumberFormat="true" applyProtection="false" borderId="18" fillId="33" fontId="22" numFmtId="211" xfId="0">
      <alignment horizontal="left" vertical="top" wrapText="true"/>
    </xf>
    <xf applyAlignment="true" applyBorder="false" applyFill="true" applyFont="true" applyNumberFormat="true" applyProtection="false" borderId="18" fillId="34" fontId="22" numFmtId="211" xfId="0">
      <alignment horizontal="left" vertical="top" wrapText="true"/>
    </xf>
    <xf applyAlignment="true" applyBorder="false" applyFill="true" applyFont="true" applyNumberFormat="true" applyProtection="false" borderId="18" fillId="35" fontId="22" numFmtId="211" xfId="0">
      <alignment horizontal="left" vertical="top" wrapText="true"/>
    </xf>
    <xf applyAlignment="true" applyBorder="false" applyFill="true" applyFont="true" applyNumberFormat="true" applyProtection="false" borderId="18" fillId="36" fontId="22" numFmtId="211" xfId="0">
      <alignment horizontal="left" vertical="top" wrapText="true"/>
    </xf>
    <xf applyAlignment="true" applyBorder="false" applyFill="true" applyFont="true" applyNumberFormat="true" applyProtection="false" borderId="18" fillId="37" fontId="22" numFmtId="211" xfId="0">
      <alignment horizontal="left" vertical="top" wrapText="true"/>
    </xf>
    <xf applyAlignment="true" applyBorder="false" applyFill="false" applyFont="true" applyNumberFormat="false" applyProtection="false" borderId="0" fillId="0" fontId="15" numFmtId="0" xfId="0">
      <alignment vertical="top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true" applyFont="true" applyNumberFormat="true" applyProtection="false" borderId="18" fillId="38" fontId="15" numFmtId="211" xfId="0">
      <alignment horizontal="center" vertical="center"/>
    </xf>
    <xf applyAlignment="true" applyBorder="false" applyFill="false" applyFont="true" applyNumberFormat="false" applyProtection="false" borderId="18" fillId="0" fontId="1" numFmtId="0" xfId="0">
      <alignment horizontal="center" vertical="center" wrapText="true"/>
    </xf>
    <xf applyAlignment="true" applyBorder="false" applyFill="true" applyFont="true" applyNumberFormat="false" applyProtection="false" borderId="18" fillId="33" fontId="7" numFmtId="0" xfId="0">
      <alignment horizontal="center" vertical="center"/>
    </xf>
    <xf applyAlignment="true" applyBorder="false" applyFill="true" applyFont="true" applyNumberFormat="false" applyProtection="false" borderId="18" fillId="33" fontId="5" numFmtId="0" xfId="0">
      <alignment horizontal="center" vertical="center"/>
    </xf>
    <xf applyAlignment="true" applyBorder="false" applyFill="true" applyFont="true" applyNumberFormat="true" applyProtection="false" borderId="18" fillId="34" fontId="5" numFmtId="211" xfId="0">
      <alignment horizontal="center" vertical="center" wrapText="true"/>
    </xf>
    <xf applyAlignment="true" applyBorder="false" applyFill="true" applyFont="true" applyNumberFormat="true" applyProtection="false" borderId="18" fillId="35" fontId="5" numFmtId="211" xfId="0">
      <alignment horizontal="center" vertical="center"/>
    </xf>
    <xf applyAlignment="true" applyBorder="false" applyFill="true" applyFont="true" applyNumberFormat="true" applyProtection="false" borderId="18" fillId="36" fontId="5" numFmtId="211" xfId="0">
      <alignment horizontal="center" vertical="center"/>
    </xf>
    <xf applyAlignment="true" applyBorder="false" applyFill="true" applyFont="true" applyNumberFormat="true" applyProtection="false" borderId="18" fillId="34" fontId="5" numFmtId="211" xfId="0">
      <alignment horizontal="center" vertical="center"/>
    </xf>
    <xf applyAlignment="true" applyBorder="false" applyFill="true" applyFont="true" applyNumberFormat="true" applyProtection="false" borderId="18" fillId="37" fontId="5" numFmtId="211" xfId="0">
      <alignment horizontal="center" vertical="center"/>
    </xf>
    <xf applyAlignment="true" applyBorder="false" applyFill="false" applyFont="true" applyNumberFormat="false" applyProtection="false" borderId="19" fillId="0" fontId="26" numFmtId="0" xfId="0">
      <alignment vertical="top" wrapText="true"/>
    </xf>
    <xf applyAlignment="true" applyBorder="false" applyFill="false" applyFont="true" applyNumberFormat="false" applyProtection="false" borderId="20" fillId="0" fontId="1" numFmtId="0" xfId="0">
      <alignment horizontal="left" vertical="top" wrapText="true"/>
    </xf>
    <xf applyAlignment="true" applyBorder="false" applyFill="false" applyFont="true" applyNumberFormat="false" applyProtection="false" borderId="21" fillId="0" fontId="1" numFmtId="0" xfId="0">
      <alignment horizontal="left" vertical="top" wrapText="true"/>
    </xf>
    <xf applyAlignment="true" applyBorder="false" applyFill="true" applyFont="true" applyNumberFormat="true" applyProtection="false" borderId="19" fillId="34" fontId="5" numFmtId="211" xfId="0">
      <alignment horizontal="left" vertical="center" wrapText="true"/>
    </xf>
    <xf applyAlignment="true" applyBorder="false" applyFill="true" applyFont="true" applyNumberFormat="true" applyProtection="false" borderId="20" fillId="34" fontId="5" numFmtId="211" xfId="0">
      <alignment horizontal="left" vertical="center" wrapText="true"/>
    </xf>
    <xf applyAlignment="true" applyBorder="false" applyFill="true" applyFont="true" applyNumberFormat="true" applyProtection="false" borderId="21" fillId="34" fontId="5" numFmtId="211" xfId="0">
      <alignment horizontal="left" vertical="center" wrapText="true"/>
    </xf>
    <xf applyAlignment="true" applyBorder="false" applyFill="true" applyFont="true" applyNumberFormat="true" applyProtection="false" borderId="18" fillId="36" fontId="7" numFmtId="211" xfId="0">
      <alignment horizontal="center" vertical="center"/>
    </xf>
    <xf applyAlignment="true" applyBorder="false" applyFill="true" applyFont="true" applyNumberFormat="true" applyProtection="false" borderId="18" fillId="34" fontId="7" numFmtId="211" xfId="0">
      <alignment horizontal="center" vertical="center"/>
    </xf>
    <xf applyAlignment="true" applyBorder="false" applyFill="true" applyFont="true" applyNumberFormat="true" applyProtection="false" borderId="18" fillId="37" fontId="7" numFmtId="211" xfId="0">
      <alignment horizontal="center" vertical="center"/>
    </xf>
    <xf applyAlignment="true" applyBorder="false" applyFill="false" applyFont="true" applyNumberFormat="true" applyProtection="false" borderId="18" fillId="0" fontId="1" numFmtId="212" xfId="0">
      <alignment horizontal="center" vertical="center"/>
    </xf>
    <xf applyAlignment="true" applyBorder="false" applyFill="true" applyFont="true" applyNumberFormat="true" applyProtection="false" borderId="18" fillId="39" fontId="1" numFmtId="212" xfId="0">
      <alignment horizontal="center" vertical="center" wrapText="true"/>
    </xf>
    <xf applyAlignment="true" applyBorder="false" applyFill="true" applyFont="true" applyNumberFormat="true" applyProtection="false" borderId="18" fillId="40" fontId="7" numFmtId="212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true" applyProtection="false" borderId="18" fillId="0" fontId="7" numFmtId="212" xfId="0">
      <alignment horizontal="center" vertical="center"/>
    </xf>
    <xf applyAlignment="true" applyBorder="false" applyFill="true" applyFont="true" applyNumberFormat="true" applyProtection="false" borderId="18" fillId="38" fontId="7" numFmtId="212" xfId="0">
      <alignment horizontal="center" vertical="center"/>
    </xf>
    <xf applyAlignment="true" applyBorder="false" applyFill="true" applyFont="true" applyNumberFormat="false" applyProtection="false" borderId="18" fillId="39" fontId="1" numFmtId="0" xfId="0">
      <alignment horizontal="center" vertical="center" wrapText="true"/>
    </xf>
    <xf applyAlignment="true" applyBorder="false" applyFill="true" applyFont="true" applyNumberFormat="false" applyProtection="false" borderId="18" fillId="40" fontId="7" numFmtId="0" xfId="0">
      <alignment horizontal="center" vertical="center"/>
    </xf>
    <xf applyAlignment="true" applyBorder="false" applyFill="false" applyFont="true" applyNumberFormat="false" applyProtection="false" borderId="18" fillId="0" fontId="7" numFmtId="0" xfId="0">
      <alignment horizontal="center" vertical="center"/>
    </xf>
    <xf applyAlignment="true" applyBorder="false" applyFill="true" applyFont="true" applyNumberFormat="true" applyProtection="false" borderId="18" fillId="39" fontId="1" numFmtId="213" xfId="0">
      <alignment horizontal="center" vertical="center" wrapText="true"/>
    </xf>
    <xf applyAlignment="true" applyBorder="false" applyFill="true" applyFont="true" applyNumberFormat="true" applyProtection="false" borderId="18" fillId="40" fontId="7" numFmtId="213" xfId="0">
      <alignment horizontal="center" vertical="center"/>
    </xf>
    <xf applyAlignment="true" applyBorder="false" applyFill="true" applyFont="true" applyNumberFormat="true" applyProtection="false" borderId="18" fillId="41" fontId="1" numFmtId="213" xfId="0">
      <alignment horizontal="center" vertical="center" wrapText="true"/>
    </xf>
    <xf applyAlignment="true" applyBorder="false" applyFill="false" applyFont="true" applyNumberFormat="true" applyProtection="false" borderId="18" fillId="0" fontId="7" numFmtId="213" xfId="0">
      <alignment horizontal="center" vertical="center"/>
    </xf>
    <xf applyAlignment="true" applyBorder="false" applyFill="true" applyFont="true" applyNumberFormat="true" applyProtection="false" borderId="18" fillId="42" fontId="1" numFmtId="213" xfId="0">
      <alignment horizontal="center" vertical="center" wrapText="true"/>
    </xf>
    <xf applyAlignment="true" applyBorder="false" applyFill="true" applyFont="true" applyNumberFormat="true" applyProtection="false" borderId="21" fillId="40" fontId="7" numFmtId="213" xfId="0">
      <alignment horizontal="center" vertical="center"/>
    </xf>
    <xf applyAlignment="true" applyBorder="false" applyFill="false" applyFont="true" applyNumberFormat="true" applyProtection="false" borderId="21" fillId="0" fontId="7" numFmtId="213" xfId="0">
      <alignment horizontal="center" vertical="center"/>
    </xf>
    <xf applyAlignment="true" applyBorder="false" applyFill="true" applyFont="true" applyNumberFormat="false" applyProtection="false" borderId="18" fillId="42" fontId="1" numFmtId="0" xfId="0">
      <alignment horizontal="center" vertical="center" wrapText="true"/>
    </xf>
    <xf applyAlignment="true" applyBorder="false" applyFill="true" applyFont="true" applyNumberFormat="true" applyProtection="false" borderId="21" fillId="40" fontId="7" numFmtId="214" xfId="0">
      <alignment horizontal="center" vertical="center" wrapText="true"/>
    </xf>
    <xf applyAlignment="true" applyBorder="false" applyFill="false" applyFont="true" applyNumberFormat="true" applyProtection="false" borderId="18" fillId="0" fontId="7" numFmtId="214" xfId="0">
      <alignment horizontal="center" vertical="center"/>
    </xf>
    <xf applyAlignment="true" applyBorder="false" applyFill="true" applyFont="true" applyNumberFormat="false" applyProtection="false" borderId="22" fillId="39" fontId="1" numFmtId="0" xfId="0">
      <alignment horizontal="center" vertical="center" wrapText="true"/>
    </xf>
    <xf applyAlignment="true" applyBorder="false" applyFill="true" applyFont="true" applyNumberFormat="true" applyProtection="false" borderId="18" fillId="38" fontId="7" numFmtId="213" xfId="0">
      <alignment horizontal="center" vertical="center"/>
    </xf>
    <xf applyAlignment="true" applyBorder="false" applyFill="true" applyFont="true" applyNumberFormat="false" applyProtection="false" borderId="22" fillId="42" fontId="1" numFmtId="0" xfId="0">
      <alignment horizontal="center" vertical="center" wrapText="true"/>
    </xf>
    <xf applyAlignment="true" applyBorder="false" applyFill="true" applyFont="true" applyNumberFormat="true" applyProtection="false" borderId="22" fillId="42" fontId="1" numFmtId="215" xfId="0">
      <alignment horizontal="center" vertical="center" wrapText="true"/>
    </xf>
    <xf applyAlignment="true" applyBorder="false" applyFill="true" applyFont="true" applyNumberFormat="true" applyProtection="false" borderId="18" fillId="40" fontId="7" numFmtId="214" xfId="0">
      <alignment horizontal="center" vertical="center"/>
    </xf>
    <xf applyAlignment="true" applyBorder="false" applyFill="false" applyFont="true" applyNumberFormat="true" applyProtection="false" borderId="19" fillId="0" fontId="1" numFmtId="215" xfId="0">
      <alignment horizontal="center" vertical="center"/>
    </xf>
    <xf applyAlignment="true" applyBorder="false" applyFill="true" applyFont="true" applyNumberFormat="true" applyProtection="false" borderId="18" fillId="40" fontId="7" numFmtId="215" xfId="0">
      <alignment horizontal="center" vertical="center"/>
    </xf>
    <xf applyAlignment="true" applyBorder="false" applyFill="false" applyFont="true" applyNumberFormat="true" applyProtection="false" borderId="0" fillId="0" fontId="5" numFmtId="215" xfId="0">
      <alignment vertical="bottom"/>
    </xf>
    <xf applyAlignment="true" applyBorder="false" applyFill="true" applyFont="true" applyNumberFormat="true" applyProtection="false" borderId="22" fillId="39" fontId="1" numFmtId="215" xfId="0">
      <alignment horizontal="center" vertical="center" wrapText="true"/>
    </xf>
    <xf applyAlignment="true" applyBorder="false" applyFill="true" applyFont="true" applyNumberFormat="true" applyProtection="false" borderId="18" fillId="40" fontId="7" numFmtId="216" xfId="0">
      <alignment horizontal="center" vertical="center"/>
    </xf>
    <xf applyAlignment="true" applyBorder="false" applyFill="false" applyFont="true" applyNumberFormat="true" applyProtection="false" borderId="0" fillId="0" fontId="7" numFmtId="216" xfId="0">
      <alignment vertical="bottom"/>
    </xf>
    <xf applyAlignment="true" applyBorder="false" applyFill="false" applyFont="true" applyNumberFormat="true" applyProtection="false" borderId="0" fillId="0" fontId="5" numFmtId="215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7" numFmtId="216" xfId="0">
      <alignment vertical="center"/>
    </xf>
    <xf applyAlignment="true" applyBorder="false" applyFill="true" applyFont="true" applyNumberFormat="true" applyProtection="false" borderId="18" fillId="40" fontId="7" numFmtId="217" xfId="0">
      <alignment horizontal="center" vertical="center"/>
    </xf>
    <xf applyAlignment="true" applyBorder="false" applyFill="true" applyFont="true" applyNumberFormat="true" applyProtection="false" borderId="18" fillId="40" fontId="7" numFmtId="218" xfId="0">
      <alignment horizontal="center" vertical="center"/>
    </xf>
    <xf applyAlignment="true" applyBorder="false" applyFill="false" applyFont="true" applyNumberFormat="true" applyProtection="false" borderId="0" fillId="0" fontId="27" numFmtId="218" xfId="0">
      <alignment vertical="bottom"/>
    </xf>
    <xf applyAlignment="true" applyBorder="false" applyFill="false" applyFont="true" applyNumberFormat="false" applyProtection="false" borderId="23" fillId="0" fontId="29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 wrapText="true"/>
    </xf>
    <xf applyAlignment="true" applyBorder="false" applyFill="true" applyFont="true" applyNumberFormat="true" applyProtection="false" borderId="23" fillId="43" fontId="1" numFmtId="219" xfId="0">
      <alignment horizontal="center" vertical="center"/>
    </xf>
    <xf applyAlignment="true" applyBorder="false" applyFill="true" applyFont="true" applyNumberFormat="false" applyProtection="false" borderId="23" fillId="43" fontId="29" numFmtId="0" xfId="0">
      <alignment horizontal="center" vertical="center"/>
    </xf>
    <xf applyAlignment="true" applyBorder="false" applyFill="true" applyFont="true" applyNumberFormat="true" applyProtection="false" borderId="23" fillId="44" fontId="1" numFmtId="219" xfId="0">
      <alignment horizontal="center" vertical="center"/>
    </xf>
    <xf applyAlignment="true" applyBorder="false" applyFill="true" applyFont="true" applyNumberFormat="false" applyProtection="false" borderId="23" fillId="44" fontId="29" numFmtId="0" xfId="0">
      <alignment horizontal="center" vertical="center"/>
    </xf>
    <xf applyAlignment="true" applyBorder="false" applyFill="true" applyFont="true" applyNumberFormat="true" applyProtection="false" borderId="23" fillId="45" fontId="1" numFmtId="219" xfId="0">
      <alignment horizontal="center" vertical="center"/>
    </xf>
    <xf applyAlignment="true" applyBorder="false" applyFill="true" applyFont="true" applyNumberFormat="false" applyProtection="false" borderId="23" fillId="45" fontId="29" numFmtId="0" xfId="0">
      <alignment horizontal="center" vertical="center"/>
    </xf>
    <xf applyAlignment="true" applyBorder="false" applyFill="true" applyFont="true" applyNumberFormat="true" applyProtection="false" borderId="23" fillId="46" fontId="1" numFmtId="219" xfId="0">
      <alignment horizontal="center" vertical="center"/>
    </xf>
    <xf applyAlignment="true" applyBorder="false" applyFill="true" applyFont="true" applyNumberFormat="false" applyProtection="false" borderId="23" fillId="46" fontId="29" numFmtId="0" xfId="0">
      <alignment horizontal="center" vertical="center"/>
    </xf>
    <xf applyAlignment="true" applyBorder="false" applyFill="true" applyFont="true" applyNumberFormat="true" applyProtection="false" borderId="23" fillId="47" fontId="1" numFmtId="219" xfId="0">
      <alignment horizontal="center" vertical="center"/>
    </xf>
    <xf applyAlignment="true" applyBorder="false" applyFill="true" applyFont="true" applyNumberFormat="false" applyProtection="false" borderId="23" fillId="47" fontId="29" numFmtId="0" xfId="0">
      <alignment horizontal="center" vertical="center"/>
    </xf>
    <xf applyAlignment="true" applyBorder="false" applyFill="false" applyFont="true" applyNumberFormat="false" applyProtection="false" borderId="23" fillId="0" fontId="29" numFmtId="0" xfId="0">
      <alignment horizontal="center" vertical="center" wrapText="true"/>
    </xf>
    <xf applyAlignment="true" applyBorder="false" applyFill="true" applyFont="true" applyNumberFormat="true" applyProtection="false" borderId="23" fillId="43" fontId="30" numFmtId="219" xfId="0">
      <alignment horizontal="left" vertical="top" wrapText="true"/>
    </xf>
    <xf applyAlignment="true" applyBorder="false" applyFill="true" applyFont="true" applyNumberFormat="true" applyProtection="false" borderId="23" fillId="43" fontId="30" numFmtId="219" xfId="0">
      <alignment horizontal="left" vertical="top"/>
    </xf>
    <xf applyAlignment="true" applyBorder="false" applyFill="true" applyFont="true" applyNumberFormat="true" applyProtection="false" borderId="23" fillId="44" fontId="30" numFmtId="219" xfId="0">
      <alignment horizontal="left" vertical="top" wrapText="true"/>
    </xf>
    <xf applyAlignment="true" applyBorder="false" applyFill="true" applyFont="true" applyNumberFormat="true" applyProtection="false" borderId="23" fillId="44" fontId="30" numFmtId="219" xfId="0">
      <alignment horizontal="left" vertical="top"/>
    </xf>
    <xf applyAlignment="true" applyBorder="false" applyFill="true" applyFont="true" applyNumberFormat="true" applyProtection="false" borderId="23" fillId="45" fontId="30" numFmtId="219" xfId="0">
      <alignment horizontal="left" vertical="top" wrapText="true"/>
    </xf>
    <xf applyAlignment="true" applyBorder="false" applyFill="true" applyFont="true" applyNumberFormat="true" applyProtection="false" borderId="23" fillId="46" fontId="30" numFmtId="219" xfId="0">
      <alignment horizontal="left" vertical="top" wrapText="true"/>
    </xf>
    <xf applyAlignment="true" applyBorder="false" applyFill="true" applyFont="true" applyNumberFormat="true" applyProtection="false" borderId="23" fillId="47" fontId="30" numFmtId="219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vertical="top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true" applyFont="true" applyNumberFormat="false" applyProtection="false" borderId="23" fillId="43" fontId="7" numFmtId="0" xfId="0">
      <alignment horizontal="center" vertical="center"/>
    </xf>
    <xf applyAlignment="true" applyBorder="false" applyFill="true" applyFont="true" applyNumberFormat="false" applyProtection="false" borderId="23" fillId="43" fontId="5" numFmtId="0" xfId="0">
      <alignment horizontal="center" vertical="center"/>
    </xf>
    <xf applyAlignment="true" applyBorder="false" applyFill="true" applyFont="true" applyNumberFormat="true" applyProtection="false" borderId="23" fillId="44" fontId="5" numFmtId="219" xfId="0">
      <alignment horizontal="center" vertical="center" wrapText="true"/>
    </xf>
    <xf applyAlignment="true" applyBorder="false" applyFill="true" applyFont="true" applyNumberFormat="true" applyProtection="false" borderId="23" fillId="45" fontId="5" numFmtId="219" xfId="0">
      <alignment horizontal="center" vertical="center"/>
    </xf>
    <xf applyAlignment="true" applyBorder="false" applyFill="true" applyFont="true" applyNumberFormat="true" applyProtection="false" borderId="23" fillId="46" fontId="5" numFmtId="219" xfId="0">
      <alignment horizontal="center" vertical="center"/>
    </xf>
    <xf applyAlignment="true" applyBorder="false" applyFill="true" applyFont="true" applyNumberFormat="true" applyProtection="false" borderId="23" fillId="44" fontId="5" numFmtId="219" xfId="0">
      <alignment horizontal="center" vertical="center"/>
    </xf>
    <xf applyAlignment="true" applyBorder="false" applyFill="true" applyFont="true" applyNumberFormat="true" applyProtection="false" borderId="23" fillId="47" fontId="5" numFmtId="219" xfId="0">
      <alignment horizontal="center" vertical="center"/>
    </xf>
    <xf applyAlignment="true" applyBorder="false" applyFill="false" applyFont="true" applyNumberFormat="false" applyProtection="false" borderId="24" fillId="0" fontId="26" numFmtId="0" xfId="0">
      <alignment vertical="top" wrapText="true"/>
    </xf>
    <xf applyAlignment="true" applyBorder="false" applyFill="false" applyFont="true" applyNumberFormat="false" applyProtection="false" borderId="25" fillId="0" fontId="1" numFmtId="0" xfId="0">
      <alignment horizontal="left" vertical="top" wrapText="true"/>
    </xf>
    <xf applyAlignment="true" applyBorder="false" applyFill="false" applyFont="true" applyNumberFormat="false" applyProtection="false" borderId="26" fillId="0" fontId="1" numFmtId="0" xfId="0">
      <alignment horizontal="left" vertical="top" wrapText="true"/>
    </xf>
    <xf applyAlignment="true" applyBorder="false" applyFill="true" applyFont="true" applyNumberFormat="true" applyProtection="false" borderId="24" fillId="44" fontId="5" numFmtId="219" xfId="0">
      <alignment horizontal="left" vertical="center" wrapText="true"/>
    </xf>
    <xf applyAlignment="true" applyBorder="false" applyFill="true" applyFont="true" applyNumberFormat="true" applyProtection="false" borderId="25" fillId="44" fontId="5" numFmtId="219" xfId="0">
      <alignment horizontal="left" vertical="center" wrapText="true"/>
    </xf>
    <xf applyAlignment="true" applyBorder="false" applyFill="true" applyFont="true" applyNumberFormat="true" applyProtection="false" borderId="26" fillId="44" fontId="5" numFmtId="219" xfId="0">
      <alignment horizontal="left" vertical="center" wrapText="true"/>
    </xf>
    <xf applyAlignment="true" applyBorder="false" applyFill="true" applyFont="true" applyNumberFormat="true" applyProtection="false" borderId="24" fillId="46" fontId="5" numFmtId="219" xfId="0">
      <alignment horizontal="center" vertical="center"/>
    </xf>
    <xf applyAlignment="true" applyBorder="false" applyFill="true" applyFont="true" applyNumberFormat="true" applyProtection="false" borderId="25" fillId="46" fontId="5" numFmtId="219" xfId="0">
      <alignment horizontal="center" vertical="center"/>
    </xf>
    <xf applyAlignment="true" applyBorder="false" applyFill="true" applyFont="true" applyNumberFormat="true" applyProtection="false" borderId="26" fillId="46" fontId="5" numFmtId="219" xfId="0">
      <alignment horizontal="center" vertical="center"/>
    </xf>
    <xf applyAlignment="true" applyBorder="false" applyFill="true" applyFont="true" applyNumberFormat="true" applyProtection="false" borderId="24" fillId="44" fontId="5" numFmtId="219" xfId="0">
      <alignment horizontal="center" vertical="center"/>
    </xf>
    <xf applyAlignment="true" applyBorder="false" applyFill="true" applyFont="true" applyNumberFormat="true" applyProtection="false" borderId="25" fillId="44" fontId="5" numFmtId="219" xfId="0">
      <alignment horizontal="center" vertical="center"/>
    </xf>
    <xf applyAlignment="true" applyBorder="false" applyFill="true" applyFont="true" applyNumberFormat="true" applyProtection="false" borderId="26" fillId="44" fontId="5" numFmtId="219" xfId="0">
      <alignment horizontal="center" vertical="center"/>
    </xf>
    <xf applyAlignment="true" applyBorder="false" applyFill="true" applyFont="true" applyNumberFormat="true" applyProtection="false" borderId="24" fillId="47" fontId="5" numFmtId="219" xfId="0">
      <alignment horizontal="center" vertical="center"/>
    </xf>
    <xf applyAlignment="true" applyBorder="false" applyFill="true" applyFont="true" applyNumberFormat="true" applyProtection="false" borderId="25" fillId="47" fontId="5" numFmtId="219" xfId="0">
      <alignment horizontal="center" vertical="center"/>
    </xf>
    <xf applyAlignment="true" applyBorder="false" applyFill="true" applyFont="true" applyNumberFormat="true" applyProtection="false" borderId="26" fillId="47" fontId="5" numFmtId="219" xfId="0">
      <alignment horizontal="center" vertical="center"/>
    </xf>
    <xf applyAlignment="true" applyBorder="false" applyFill="true" applyFont="true" applyNumberFormat="true" applyProtection="false" borderId="23" fillId="48" fontId="5" numFmtId="220" xfId="0">
      <alignment horizontal="center" vertical="center"/>
    </xf>
    <xf applyAlignment="true" applyBorder="false" applyFill="false" applyFont="true" applyNumberFormat="true" applyProtection="false" borderId="23" fillId="0" fontId="5" numFmtId="22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23" fillId="0" fontId="1" numFmtId="221" xfId="0">
      <alignment horizontal="center" vertical="center" wrapText="true"/>
    </xf>
    <xf applyAlignment="true" applyBorder="false" applyFill="false" applyFont="true" applyNumberFormat="true" applyProtection="false" borderId="23" fillId="0" fontId="5" numFmtId="221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true" applyProtection="false" borderId="26" fillId="0" fontId="5" numFmtId="221" xfId="0">
      <alignment horizontal="center" vertical="center"/>
    </xf>
    <xf applyAlignment="true" applyBorder="false" applyFill="false" applyFont="true" applyNumberFormat="false" applyProtection="false" borderId="28" fillId="0" fontId="1" numFmtId="0" xfId="0">
      <alignment horizontal="center" vertical="center"/>
    </xf>
    <xf applyAlignment="true" applyBorder="false" applyFill="false" applyFont="true" applyNumberFormat="true" applyProtection="false" borderId="26" fillId="0" fontId="5" numFmtId="222" xfId="0">
      <alignment horizontal="center" vertical="center" wrapText="true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true" applyProtection="false" borderId="23" fillId="0" fontId="5" numFmtId="222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 wrapText="true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false" applyFont="true" applyNumberFormat="true" applyProtection="false" borderId="24" fillId="0" fontId="1" numFmtId="222" xfId="0">
      <alignment horizontal="center" vertical="center"/>
    </xf>
    <xf applyAlignment="true" applyBorder="false" applyFill="false" applyFont="true" applyNumberFormat="true" applyProtection="false" borderId="24" fillId="0" fontId="1" numFmtId="221" xfId="0">
      <alignment horizontal="center" vertical="center"/>
    </xf>
    <xf applyAlignment="true" applyBorder="false" applyFill="false" applyFont="true" applyNumberFormat="true" applyProtection="false" borderId="27" fillId="0" fontId="1" numFmtId="221" xfId="0">
      <alignment horizontal="center" vertical="center" wrapText="true"/>
    </xf>
    <xf applyAlignment="true" applyBorder="false" applyFill="false" applyFont="true" applyNumberFormat="true" applyProtection="false" borderId="24" fillId="0" fontId="1" numFmtId="223" xfId="0">
      <alignment horizontal="center" vertical="center"/>
    </xf>
    <xf applyAlignment="true" applyBorder="false" applyFill="false" applyFont="true" applyNumberFormat="true" applyProtection="false" borderId="27" fillId="0" fontId="1" numFmtId="223" xfId="0">
      <alignment horizontal="center" vertical="center" wrapText="true"/>
    </xf>
    <xf applyAlignment="true" applyBorder="false" applyFill="false" applyFont="true" applyNumberFormat="true" applyProtection="false" borderId="23" fillId="0" fontId="5" numFmtId="223" xfId="0">
      <alignment horizontal="center" vertical="center"/>
    </xf>
    <xf applyAlignment="true" applyBorder="false" applyFill="false" applyFont="true" applyNumberFormat="true" applyProtection="false" borderId="0" fillId="0" fontId="5" numFmtId="223" xfId="0">
      <alignment vertical="center"/>
    </xf>
    <xf applyAlignment="true" applyBorder="false" applyFill="false" applyFont="true" applyNumberFormat="true" applyProtection="false" borderId="23" fillId="0" fontId="5" numFmtId="224" xfId="0">
      <alignment horizontal="center" vertical="center"/>
    </xf>
    <xf applyAlignment="true" applyBorder="false" applyFill="false" applyFont="true" applyNumberFormat="true" applyProtection="false" borderId="0" fillId="0" fontId="34" numFmtId="224" xfId="0">
      <alignment vertical="center"/>
    </xf>
    <xf applyAlignment="true" applyBorder="false" applyFill="false" applyFont="true" applyNumberFormat="false" applyProtection="false" borderId="30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35" numFmtId="0" xfId="0">
      <alignment vertical="bottom"/>
    </xf>
    <xf applyAlignment="true" applyBorder="false" applyFill="false" applyFont="true" applyNumberFormat="true" applyProtection="false" borderId="0" fillId="0" fontId="35" numFmtId="225" xfId="0">
      <alignment vertical="bottom"/>
    </xf>
    <xf applyAlignment="true" applyBorder="false" applyFill="false" applyFont="true" applyNumberFormat="true" applyProtection="false" borderId="0" fillId="0" fontId="35" numFmtId="226" xfId="0">
      <alignment vertical="bottom"/>
    </xf>
    <xf applyAlignment="true" applyBorder="false" applyFill="false" applyFont="true" applyNumberFormat="true" applyProtection="false" borderId="0" fillId="0" fontId="35" numFmtId="227" xfId="0">
      <alignment vertical="bottom"/>
    </xf>
    <xf applyAlignment="true" applyBorder="false" applyFill="false" applyFont="true" applyNumberFormat="true" applyProtection="false" borderId="0" fillId="0" fontId="35" numFmtId="228" xfId="0">
      <alignment vertical="bottom"/>
    </xf>
    <xf applyAlignment="true" applyBorder="false" applyFill="false" applyFont="true" applyNumberFormat="true" applyProtection="false" borderId="0" fillId="0" fontId="35" numFmtId="229" xfId="0">
      <alignment vertical="bottom"/>
    </xf>
    <xf applyAlignment="true" applyBorder="false" applyFill="false" applyFont="true" applyNumberFormat="false" applyProtection="false" borderId="0" fillId="0" fontId="35" numFmtId="0" xfId="0">
      <alignment vertical="bottom"/>
    </xf>
    <xf applyAlignment="true" applyBorder="false" applyFill="false" applyFont="true" applyNumberFormat="true" applyProtection="false" borderId="0" fillId="0" fontId="35" numFmtId="225" xfId="0">
      <alignment vertical="bottom"/>
    </xf>
    <xf applyAlignment="true" applyBorder="false" applyFill="false" applyFont="true" applyNumberFormat="true" applyProtection="false" borderId="0" fillId="0" fontId="35" numFmtId="226" xfId="0">
      <alignment vertical="bottom"/>
    </xf>
    <xf applyAlignment="true" applyBorder="false" applyFill="false" applyFont="true" applyNumberFormat="true" applyProtection="false" borderId="0" fillId="0" fontId="35" numFmtId="227" xfId="0">
      <alignment vertical="bottom"/>
    </xf>
    <xf applyAlignment="true" applyBorder="false" applyFill="false" applyFont="true" applyNumberFormat="true" applyProtection="false" borderId="0" fillId="0" fontId="35" numFmtId="228" xfId="0">
      <alignment vertical="bottom"/>
    </xf>
    <xf applyAlignment="true" applyBorder="false" applyFill="false" applyFont="true" applyNumberFormat="true" applyProtection="false" borderId="0" fillId="0" fontId="35" numFmtId="229" xfId="0">
      <alignment vertical="bottom"/>
    </xf>
    <xf applyAlignment="true" applyBorder="false" applyFill="false" applyFont="true" applyNumberFormat="false" applyProtection="false" borderId="31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35" numFmtId="0" xfId="0">
      <alignment vertical="bottom"/>
    </xf>
    <xf applyAlignment="true" applyBorder="false" applyFill="false" applyFont="true" applyNumberFormat="true" applyProtection="false" borderId="0" fillId="0" fontId="35" numFmtId="230" xfId="0">
      <alignment vertical="bottom"/>
    </xf>
    <xf applyAlignment="true" applyBorder="false" applyFill="false" applyFont="true" applyNumberFormat="true" applyProtection="false" borderId="0" fillId="0" fontId="35" numFmtId="231" xfId="0">
      <alignment vertical="bottom"/>
    </xf>
    <xf applyAlignment="true" applyBorder="false" applyFill="false" applyFont="true" applyNumberFormat="true" applyProtection="false" borderId="0" fillId="0" fontId="35" numFmtId="232" xfId="0">
      <alignment vertical="bottom"/>
    </xf>
    <xf applyAlignment="true" applyBorder="false" applyFill="false" applyFont="true" applyNumberFormat="true" applyProtection="false" borderId="0" fillId="0" fontId="35" numFmtId="233" xfId="0">
      <alignment vertical="bottom"/>
    </xf>
    <xf applyAlignment="true" applyBorder="false" applyFill="false" applyFont="true" applyNumberFormat="true" applyProtection="false" borderId="0" fillId="0" fontId="35" numFmtId="234" xfId="0">
      <alignment vertical="bottom"/>
    </xf>
    <xf applyAlignment="true" applyBorder="false" applyFill="false" applyFont="true" applyNumberFormat="false" applyProtection="false" borderId="32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35" numFmtId="0" xfId="0">
      <alignment vertical="bottom"/>
    </xf>
    <xf applyAlignment="true" applyBorder="false" applyFill="false" applyFont="true" applyNumberFormat="true" applyProtection="false" borderId="0" fillId="0" fontId="35" numFmtId="235" xfId="0">
      <alignment vertical="bottom"/>
    </xf>
    <xf applyAlignment="true" applyBorder="false" applyFill="false" applyFont="true" applyNumberFormat="true" applyProtection="false" borderId="0" fillId="0" fontId="35" numFmtId="236" xfId="0">
      <alignment vertical="bottom"/>
    </xf>
    <xf applyAlignment="true" applyBorder="false" applyFill="false" applyFont="true" applyNumberFormat="true" applyProtection="false" borderId="0" fillId="0" fontId="35" numFmtId="237" xfId="0">
      <alignment vertical="bottom"/>
    </xf>
    <xf applyAlignment="true" applyBorder="false" applyFill="false" applyFont="true" applyNumberFormat="true" applyProtection="false" borderId="0" fillId="0" fontId="35" numFmtId="238" xfId="0">
      <alignment vertical="bottom"/>
    </xf>
    <xf applyAlignment="true" applyBorder="false" applyFill="false" applyFont="true" applyNumberFormat="true" applyProtection="false" borderId="0" fillId="0" fontId="35" numFmtId="239" xfId="0">
      <alignment vertical="bottom"/>
    </xf>
    <xf applyAlignment="true" applyBorder="false" applyFill="false" applyFont="true" applyNumberFormat="false" applyProtection="false" borderId="33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35" numFmtId="0" xfId="0">
      <alignment vertical="bottom"/>
    </xf>
    <xf applyAlignment="true" applyBorder="false" applyFill="false" applyFont="true" applyNumberFormat="true" applyProtection="false" borderId="0" fillId="0" fontId="35" numFmtId="240" xfId="0">
      <alignment vertical="bottom"/>
    </xf>
    <xf applyAlignment="true" applyBorder="false" applyFill="false" applyFont="true" applyNumberFormat="true" applyProtection="false" borderId="0" fillId="0" fontId="35" numFmtId="241" xfId="0">
      <alignment vertical="bottom"/>
    </xf>
    <xf applyAlignment="true" applyBorder="false" applyFill="false" applyFont="true" applyNumberFormat="true" applyProtection="false" borderId="0" fillId="0" fontId="35" numFmtId="242" xfId="0">
      <alignment vertical="bottom"/>
    </xf>
    <xf applyAlignment="true" applyBorder="false" applyFill="false" applyFont="true" applyNumberFormat="true" applyProtection="false" borderId="0" fillId="0" fontId="35" numFmtId="243" xfId="0">
      <alignment vertical="bottom"/>
    </xf>
    <xf applyAlignment="true" applyBorder="false" applyFill="false" applyFont="true" applyNumberFormat="true" applyProtection="false" borderId="0" fillId="0" fontId="35" numFmtId="244" xfId="0">
      <alignment vertical="bottom"/>
    </xf>
    <xf applyAlignment="true" applyBorder="false" applyFill="false" applyFont="true" applyNumberFormat="true" applyProtection="false" borderId="0" fillId="0" fontId="35" numFmtId="245" xfId="0">
      <alignment horizontal="left" vertical="bottom"/>
    </xf>
    <xf applyAlignment="true" applyBorder="false" applyFill="true" applyFont="true" applyNumberFormat="true" applyProtection="false" borderId="34" fillId="49" fontId="1" numFmtId="246" xfId="0">
      <alignment horizontal="center" vertical="center" wrapText="true"/>
    </xf>
    <xf applyAlignment="true" applyBorder="false" applyFill="true" applyFont="true" applyNumberFormat="false" applyProtection="false" borderId="34" fillId="49" fontId="1" numFmtId="0" xfId="0">
      <alignment horizontal="center" vertical="center" wrapText="true"/>
    </xf>
    <xf applyAlignment="true" applyBorder="false" applyFill="true" applyFont="true" applyNumberFormat="false" applyProtection="false" borderId="34" fillId="49" fontId="1" numFmtId="0" xfId="0">
      <alignment horizontal="center" vertical="center"/>
    </xf>
    <xf applyAlignment="true" applyBorder="false" applyFill="true" applyFont="true" applyNumberFormat="false" applyProtection="false" borderId="34" fillId="50" fontId="1" numFmtId="0" xfId="0">
      <alignment horizontal="center" vertical="center" wrapText="true"/>
    </xf>
    <xf applyAlignment="true" applyBorder="false" applyFill="true" applyFont="true" applyNumberFormat="true" applyProtection="false" borderId="34" fillId="50" fontId="1" numFmtId="247" xfId="0">
      <alignment horizontal="center" vertical="center" wrapText="true"/>
    </xf>
    <xf applyAlignment="true" applyBorder="false" applyFill="true" applyFont="true" applyNumberFormat="true" applyProtection="false" borderId="34" fillId="50" fontId="1" numFmtId="248" xfId="0">
      <alignment horizontal="center" vertical="center" wrapText="true"/>
    </xf>
    <xf applyAlignment="true" applyBorder="false" applyFill="true" applyFont="true" applyNumberFormat="true" applyProtection="false" borderId="34" fillId="50" fontId="1" numFmtId="249" xfId="0">
      <alignment horizontal="center" vertical="center" wrapText="true"/>
    </xf>
    <xf applyAlignment="true" applyBorder="false" applyFill="true" applyFont="true" applyNumberFormat="false" applyProtection="false" borderId="34" fillId="50" fontId="3" numFmtId="0" xfId="0">
      <alignment horizontal="center" vertical="center" wrapText="true"/>
    </xf>
    <xf applyAlignment="true" applyBorder="false" applyFill="true" applyFont="true" applyNumberFormat="true" applyProtection="false" borderId="34" fillId="50" fontId="3" numFmtId="250" xfId="0">
      <alignment horizontal="center" vertical="center" wrapText="true"/>
    </xf>
    <xf applyAlignment="true" applyBorder="false" applyFill="true" applyFont="true" applyNumberFormat="true" applyProtection="false" borderId="34" fillId="50" fontId="3" numFmtId="251" xfId="0">
      <alignment horizontal="center" vertical="center" wrapText="true"/>
    </xf>
    <xf applyAlignment="true" applyBorder="false" applyFill="true" applyFont="true" applyNumberFormat="false" applyProtection="false" borderId="35" fillId="51" fontId="1" numFmtId="0" xfId="0">
      <alignment horizontal="center" vertical="center" wrapText="true"/>
    </xf>
    <xf applyAlignment="true" applyBorder="false" applyFill="true" applyFont="true" applyNumberFormat="false" applyProtection="false" borderId="34" fillId="51" fontId="1" numFmtId="0" xfId="0">
      <alignment horizontal="center" vertical="center" wrapText="true"/>
    </xf>
    <xf applyAlignment="true" applyBorder="false" applyFill="true" applyFont="true" applyNumberFormat="true" applyProtection="false" borderId="34" fillId="51" fontId="3" numFmtId="250" xfId="0">
      <alignment horizontal="center" vertical="center" wrapText="true"/>
    </xf>
    <xf applyAlignment="true" applyBorder="false" applyFill="true" applyFont="true" applyNumberFormat="true" applyProtection="false" borderId="34" fillId="50" fontId="3" numFmtId="249" xfId="0">
      <alignment horizontal="center" vertical="center" wrapText="true"/>
    </xf>
    <xf applyAlignment="true" applyBorder="false" applyFill="true" applyFont="true" applyNumberFormat="false" applyProtection="false" borderId="34" fillId="50" fontId="2" numFmtId="0" xfId="0">
      <alignment horizontal="center" vertical="center" wrapText="true"/>
    </xf>
    <xf applyAlignment="true" applyBorder="false" applyFill="true" applyFont="true" applyNumberFormat="false" applyProtection="false" borderId="34" fillId="52" fontId="1" numFmtId="0" xfId="0">
      <alignment horizontal="center" vertical="center" wrapText="true"/>
    </xf>
    <xf applyAlignment="true" applyBorder="false" applyFill="true" applyFont="true" applyNumberFormat="false" applyProtection="false" borderId="34" fillId="53" fontId="1" numFmtId="0" xfId="0">
      <alignment horizontal="center" vertical="center" wrapText="true"/>
    </xf>
    <xf applyAlignment="true" applyBorder="false" applyFill="true" applyFont="true" applyNumberFormat="true" applyProtection="false" borderId="34" fillId="54" fontId="1" numFmtId="248" xfId="0">
      <alignment horizontal="center" vertical="center" wrapText="true"/>
    </xf>
    <xf applyAlignment="true" applyBorder="false" applyFill="true" applyFont="true" applyNumberFormat="true" applyProtection="false" borderId="34" fillId="54" fontId="1" numFmtId="252" xfId="0">
      <alignment horizontal="center" vertical="center" wrapText="true"/>
    </xf>
    <xf applyAlignment="true" applyBorder="false" applyFill="true" applyFont="true" applyNumberFormat="true" applyProtection="false" borderId="34" fillId="55" fontId="1" numFmtId="249" xfId="0">
      <alignment horizontal="center" vertical="center" wrapText="true"/>
    </xf>
    <xf applyAlignment="true" applyBorder="false" applyFill="true" applyFont="true" applyNumberFormat="true" applyProtection="false" borderId="34" fillId="55" fontId="1" numFmtId="253" xfId="0">
      <alignment horizontal="center" vertical="center" wrapText="true"/>
    </xf>
    <xf applyAlignment="true" applyBorder="false" applyFill="true" applyFont="true" applyNumberFormat="false" applyProtection="false" borderId="36" fillId="56" fontId="1" numFmtId="0" xfId="0">
      <alignment horizontal="center" vertical="center" wrapText="true"/>
    </xf>
    <xf applyAlignment="true" applyBorder="false" applyFill="true" applyFont="true" applyNumberFormat="false" applyProtection="false" borderId="36" fillId="56" fontId="1" numFmtId="0" xfId="0">
      <alignment horizontal="left" vertical="center" wrapText="true"/>
    </xf>
    <xf applyAlignment="true" applyBorder="false" applyFill="true" applyFont="true" applyNumberFormat="false" applyProtection="false" borderId="37" fillId="51" fontId="1" numFmtId="0" xfId="0">
      <alignment horizontal="center" vertical="center" wrapText="true"/>
    </xf>
    <xf applyAlignment="true" applyBorder="false" applyFill="true" applyFont="true" applyNumberFormat="false" applyProtection="false" borderId="34" fillId="57" fontId="1" numFmtId="0" xfId="0">
      <alignment horizontal="center" vertical="center" wrapText="true"/>
    </xf>
    <xf applyAlignment="true" applyBorder="false" applyFill="true" applyFont="true" applyNumberFormat="true" applyProtection="false" borderId="34" fillId="53" fontId="3" numFmtId="248" xfId="0">
      <alignment horizontal="center" vertical="center" wrapText="true"/>
    </xf>
    <xf applyAlignment="true" applyBorder="false" applyFill="true" applyFont="true" applyNumberFormat="true" applyProtection="false" borderId="34" fillId="53" fontId="3" numFmtId="254" xfId="0">
      <alignment horizontal="center" vertical="center" wrapText="true"/>
    </xf>
    <xf applyAlignment="true" applyBorder="false" applyFill="true" applyFont="true" applyNumberFormat="true" applyProtection="false" borderId="34" fillId="53" fontId="3" numFmtId="250" xfId="0">
      <alignment horizontal="center" vertical="center" wrapText="true"/>
    </xf>
    <xf applyAlignment="true" applyBorder="false" applyFill="true" applyFont="true" applyNumberFormat="true" applyProtection="false" borderId="34" fillId="53" fontId="3" numFmtId="251" xfId="0">
      <alignment horizontal="center" vertical="center" wrapText="true"/>
    </xf>
    <xf applyAlignment="true" applyBorder="false" applyFill="true" applyFont="true" applyNumberFormat="true" applyProtection="false" borderId="34" fillId="57" fontId="3" numFmtId="251" xfId="0">
      <alignment horizontal="center" vertical="center" wrapText="true"/>
    </xf>
    <xf applyAlignment="true" applyBorder="false" applyFill="true" applyFont="true" applyNumberFormat="true" applyProtection="false" borderId="34" fillId="54" fontId="3" numFmtId="248" xfId="0">
      <alignment horizontal="center" vertical="center" wrapText="true"/>
    </xf>
    <xf applyAlignment="true" applyBorder="false" applyFill="true" applyFont="true" applyNumberFormat="true" applyProtection="false" borderId="34" fillId="54" fontId="3" numFmtId="252" xfId="0">
      <alignment horizontal="center" vertical="center" wrapText="true"/>
    </xf>
    <xf applyAlignment="true" applyBorder="false" applyFill="true" applyFont="true" applyNumberFormat="true" applyProtection="false" borderId="34" fillId="54" fontId="4" numFmtId="252" xfId="0">
      <alignment horizontal="center" vertical="center" wrapText="true"/>
    </xf>
    <xf applyAlignment="true" applyBorder="false" applyFill="true" applyFont="true" applyNumberFormat="true" applyProtection="false" borderId="34" fillId="58" fontId="3" numFmtId="252" xfId="0">
      <alignment horizontal="center" vertical="center" wrapText="true"/>
    </xf>
    <xf applyAlignment="true" applyBorder="false" applyFill="true" applyFont="true" applyNumberFormat="false" applyProtection="false" borderId="34" fillId="54" fontId="3" numFmtId="0" xfId="0">
      <alignment horizontal="center" vertical="center" wrapText="true"/>
    </xf>
    <xf applyAlignment="true" applyBorder="false" applyFill="true" applyFont="true" applyNumberFormat="true" applyProtection="false" borderId="34" fillId="54" fontId="4" numFmtId="251" xfId="0">
      <alignment horizontal="center" vertical="center" wrapText="true"/>
    </xf>
    <xf applyAlignment="true" applyBorder="false" applyFill="true" applyFont="true" applyNumberFormat="true" applyProtection="false" borderId="34" fillId="54" fontId="3" numFmtId="251" xfId="0">
      <alignment horizontal="center" vertical="center" wrapText="true"/>
    </xf>
    <xf applyAlignment="true" applyBorder="false" applyFill="true" applyFont="true" applyNumberFormat="true" applyProtection="false" borderId="34" fillId="54" fontId="1" numFmtId="251" xfId="0">
      <alignment horizontal="center" vertical="center" wrapText="true"/>
    </xf>
    <xf applyAlignment="true" applyBorder="false" applyFill="true" applyFont="true" applyNumberFormat="true" applyProtection="false" borderId="35" fillId="55" fontId="1" numFmtId="249" xfId="0">
      <alignment horizontal="center" vertical="center" wrapText="true"/>
    </xf>
    <xf applyAlignment="true" applyBorder="false" applyFill="true" applyFont="true" applyNumberFormat="false" applyProtection="false" borderId="35" fillId="55" fontId="1" numFmtId="0" xfId="0">
      <alignment horizontal="center" vertical="center" wrapText="true"/>
    </xf>
    <xf applyAlignment="true" applyBorder="false" applyFill="true" applyFont="true" applyNumberFormat="false" applyProtection="false" borderId="34" fillId="55" fontId="1" numFmtId="0" xfId="0">
      <alignment horizontal="center" vertical="center" wrapText="true"/>
    </xf>
    <xf applyAlignment="true" applyBorder="false" applyFill="true" applyFont="true" applyNumberFormat="true" applyProtection="false" borderId="34" fillId="55" fontId="1" numFmtId="248" xfId="0">
      <alignment horizontal="center" vertical="center" wrapText="true"/>
    </xf>
    <xf applyAlignment="true" applyBorder="false" applyFill="true" applyFont="true" applyNumberFormat="false" applyProtection="false" borderId="34" fillId="55" fontId="3" numFmtId="0" xfId="0">
      <alignment horizontal="center" vertical="center" wrapText="true"/>
    </xf>
    <xf applyAlignment="true" applyBorder="false" applyFill="true" applyFont="true" applyNumberFormat="true" applyProtection="false" borderId="34" fillId="55" fontId="3" numFmtId="253" xfId="0">
      <alignment horizontal="center" vertical="center" wrapText="true"/>
    </xf>
    <xf applyAlignment="true" applyBorder="false" applyFill="true" applyFont="true" applyNumberFormat="false" applyProtection="false" borderId="38" fillId="56" fontId="1" numFmtId="0" xfId="0">
      <alignment horizontal="center" vertical="center" wrapText="true"/>
    </xf>
    <xf applyAlignment="true" applyBorder="false" applyFill="true" applyFont="true" applyNumberFormat="false" applyProtection="false" borderId="34" fillId="56" fontId="1" numFmtId="0" xfId="0">
      <alignment horizontal="left" vertical="center" wrapText="true"/>
    </xf>
    <xf applyAlignment="true" applyBorder="false" applyFill="true" applyFont="true" applyNumberFormat="false" applyProtection="false" borderId="34" fillId="56" fontId="1" numFmtId="0" xfId="0">
      <alignment horizontal="center" vertical="center" wrapText="true"/>
    </xf>
    <xf applyAlignment="true" applyBorder="false" applyFill="false" applyFont="true" applyNumberFormat="true" applyProtection="false" borderId="34" fillId="0" fontId="5" numFmtId="246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left" vertical="center"/>
    </xf>
    <xf applyAlignment="true" applyBorder="false" applyFill="false" applyFont="true" applyNumberFormat="true" applyProtection="false" borderId="34" fillId="0" fontId="5" numFmtId="250" xfId="0">
      <alignment horizontal="center" vertical="center"/>
    </xf>
    <xf applyAlignment="true" applyBorder="false" applyFill="false" applyFont="true" applyNumberFormat="true" applyProtection="false" borderId="34" fillId="0" fontId="5" numFmtId="255" xfId="0">
      <alignment horizontal="center" vertical="center"/>
    </xf>
    <xf applyAlignment="true" applyBorder="false" applyFill="false" applyFont="true" applyNumberFormat="true" applyProtection="false" borderId="34" fillId="0" fontId="5" numFmtId="249" xfId="0">
      <alignment horizontal="center" vertical="center"/>
    </xf>
    <xf applyAlignment="true" applyBorder="false" applyFill="false" applyFont="true" applyNumberFormat="true" applyProtection="false" borderId="34" fillId="0" fontId="5" numFmtId="251" xfId="0">
      <alignment horizontal="center" vertical="center"/>
    </xf>
    <xf applyAlignment="true" applyBorder="false" applyFill="false" applyFont="true" applyNumberFormat="true" applyProtection="false" borderId="34" fillId="0" fontId="5" numFmtId="256" xfId="0">
      <alignment horizontal="center" vertical="center"/>
    </xf>
    <xf applyAlignment="true" applyBorder="false" applyFill="false" applyFont="true" applyNumberFormat="true" applyProtection="false" borderId="34" fillId="0" fontId="5" numFmtId="256" xfId="0">
      <alignment horizontal="center" vertical="center" wrapText="true"/>
    </xf>
    <xf applyAlignment="true" applyBorder="false" applyFill="false" applyFont="true" applyNumberFormat="true" applyProtection="false" borderId="34" fillId="0" fontId="5" numFmtId="248" xfId="0">
      <alignment horizontal="center" vertical="center"/>
    </xf>
    <xf applyAlignment="true" applyBorder="false" applyFill="false" applyFont="true" applyNumberFormat="true" applyProtection="false" borderId="34" fillId="0" fontId="5" numFmtId="257" xfId="0">
      <alignment horizontal="center" vertical="center" wrapText="true"/>
    </xf>
    <xf applyAlignment="true" applyBorder="false" applyFill="false" applyFont="true" applyNumberFormat="true" applyProtection="false" borderId="34" fillId="0" fontId="5" numFmtId="250" xfId="0">
      <alignment horizontal="center" vertical="center" wrapText="true"/>
    </xf>
    <xf applyAlignment="true" applyBorder="false" applyFill="false" applyFont="true" applyNumberFormat="true" applyProtection="false" borderId="34" fillId="0" fontId="5" numFmtId="253" xfId="0">
      <alignment horizontal="center" vertical="center"/>
    </xf>
    <xf applyAlignment="true" applyBorder="false" applyFill="false" applyFont="true" applyNumberFormat="true" applyProtection="false" borderId="34" fillId="0" fontId="5" numFmtId="252" xfId="0">
      <alignment horizontal="center" vertical="center"/>
    </xf>
    <xf applyAlignment="true" applyBorder="false" applyFill="false" applyFont="true" applyNumberFormat="true" applyProtection="false" borderId="34" fillId="0" fontId="1" numFmtId="252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bottom"/>
    </xf>
    <xf applyAlignment="true" applyBorder="false" applyFill="false" applyFont="true" applyNumberFormat="false" applyProtection="false" borderId="0" fillId="0" fontId="6" numFmtId="0" xfId="0">
      <alignment horizontal="left" vertical="bottom"/>
    </xf>
    <xf applyAlignment="true" applyBorder="false" applyFill="false" applyFont="true" applyNumberFormat="false" applyProtection="false" borderId="34" fillId="0" fontId="7" numFmtId="0" xfId="0">
      <alignment horizontal="left" vertical="center"/>
    </xf>
    <xf applyAlignment="true" applyBorder="false" applyFill="false" applyFont="true" applyNumberFormat="true" applyProtection="false" borderId="34" fillId="0" fontId="7" numFmtId="251" xfId="0">
      <alignment horizontal="center" vertical="center"/>
    </xf>
    <xf applyAlignment="true" applyBorder="false" applyFill="false" applyFont="true" applyNumberFormat="true" applyProtection="false" borderId="34" fillId="0" fontId="7" numFmtId="249" xfId="0">
      <alignment horizontal="center" vertical="center"/>
    </xf>
    <xf applyAlignment="true" applyBorder="false" applyFill="false" applyFont="true" applyNumberFormat="false" applyProtection="false" borderId="34" fillId="0" fontId="7" numFmtId="0" xfId="0">
      <alignment horizontal="center" vertical="center"/>
    </xf>
    <xf applyAlignment="true" applyBorder="false" applyFill="false" applyFont="true" applyNumberFormat="true" applyProtection="false" borderId="34" fillId="0" fontId="7" numFmtId="248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39" fillId="59" fontId="8" numFmtId="246" xfId="0">
      <alignment horizontal="center" vertical="center"/>
    </xf>
    <xf applyAlignment="true" applyBorder="false" applyFill="true" applyFont="true" applyNumberFormat="false" applyProtection="false" borderId="34" fillId="59" fontId="7" numFmtId="0" xfId="0">
      <alignment horizontal="center" vertical="center"/>
    </xf>
    <xf applyAlignment="true" applyBorder="false" applyFill="true" applyFont="true" applyNumberFormat="true" applyProtection="false" borderId="34" fillId="59" fontId="7" numFmtId="250" xfId="0">
      <alignment horizontal="center" vertical="center"/>
    </xf>
    <xf applyAlignment="true" applyBorder="false" applyFill="true" applyFont="true" applyNumberFormat="true" applyProtection="false" borderId="34" fillId="59" fontId="7" numFmtId="249" xfId="0">
      <alignment horizontal="center" vertical="center"/>
    </xf>
    <xf applyAlignment="true" applyBorder="false" applyFill="true" applyFont="true" applyNumberFormat="true" applyProtection="false" borderId="34" fillId="59" fontId="7" numFmtId="251" xfId="0">
      <alignment horizontal="center" vertical="center"/>
    </xf>
    <xf applyAlignment="true" applyBorder="false" applyFill="true" applyFont="true" applyNumberFormat="true" applyProtection="false" borderId="34" fillId="59" fontId="7" numFmtId="256" xfId="0">
      <alignment horizontal="center" vertical="center"/>
    </xf>
    <xf applyAlignment="true" applyBorder="false" applyFill="true" applyFont="true" applyNumberFormat="true" applyProtection="false" borderId="34" fillId="59" fontId="7" numFmtId="248" xfId="0">
      <alignment horizontal="center" vertical="center"/>
    </xf>
    <xf applyAlignment="true" applyBorder="false" applyFill="true" applyFont="true" applyNumberFormat="true" applyProtection="false" borderId="34" fillId="59" fontId="7" numFmtId="257" xfId="0">
      <alignment horizontal="center" vertical="center"/>
    </xf>
    <xf applyAlignment="true" applyBorder="false" applyFill="false" applyFont="true" applyNumberFormat="true" applyProtection="false" borderId="34" fillId="0" fontId="5" numFmtId="258" xfId="0">
      <alignment horizontal="center" vertical="center"/>
    </xf>
    <xf applyAlignment="true" applyBorder="false" applyFill="true" applyFont="true" applyNumberFormat="true" applyProtection="false" borderId="34" fillId="59" fontId="7" numFmtId="252" xfId="0">
      <alignment horizontal="center" vertical="center"/>
    </xf>
    <xf applyAlignment="true" applyBorder="false" applyFill="false" applyFont="true" applyNumberFormat="false" applyProtection="false" borderId="38" fillId="0" fontId="5" numFmtId="0" xfId="0">
      <alignment horizontal="center" vertical="center"/>
    </xf>
    <xf applyAlignment="true" applyBorder="false" applyFill="true" applyFont="true" applyNumberFormat="false" applyProtection="false" borderId="34" fillId="59" fontId="7" numFmtId="0" xfId="0">
      <alignment horizontal="left" vertical="center"/>
    </xf>
    <xf applyAlignment="true" applyBorder="false" applyFill="true" applyFont="true" applyNumberFormat="false" applyProtection="false" borderId="0" fillId="59" fontId="5" numFmtId="0" xfId="0">
      <alignment horizontal="left" vertical="center"/>
    </xf>
    <xf applyAlignment="true" applyBorder="false" applyFill="true" applyFont="true" applyNumberFormat="true" applyProtection="false" borderId="40" fillId="60" fontId="1" numFmtId="259" xfId="0">
      <alignment horizontal="center" vertical="center" wrapText="true"/>
    </xf>
    <xf applyAlignment="true" applyBorder="false" applyFill="true" applyFont="true" applyNumberFormat="false" applyProtection="false" borderId="40" fillId="60" fontId="1" numFmtId="0" xfId="0">
      <alignment horizontal="center" vertical="center" wrapText="true"/>
    </xf>
    <xf applyAlignment="true" applyBorder="false" applyFill="true" applyFont="true" applyNumberFormat="false" applyProtection="false" borderId="40" fillId="60" fontId="1" numFmtId="0" xfId="0">
      <alignment horizontal="center" vertical="center"/>
    </xf>
    <xf applyAlignment="true" applyBorder="false" applyFill="true" applyFont="true" applyNumberFormat="false" applyProtection="false" borderId="40" fillId="61" fontId="1" numFmtId="0" xfId="0">
      <alignment horizontal="center" vertical="center" wrapText="true"/>
    </xf>
    <xf applyAlignment="true" applyBorder="false" applyFill="true" applyFont="true" applyNumberFormat="true" applyProtection="false" borderId="40" fillId="61" fontId="1" numFmtId="260" xfId="0">
      <alignment horizontal="center" vertical="center" wrapText="true"/>
    </xf>
    <xf applyAlignment="true" applyBorder="false" applyFill="true" applyFont="true" applyNumberFormat="true" applyProtection="false" borderId="40" fillId="61" fontId="1" numFmtId="261" xfId="0">
      <alignment horizontal="center" vertical="center" wrapText="true"/>
    </xf>
    <xf applyAlignment="true" applyBorder="false" applyFill="true" applyFont="true" applyNumberFormat="true" applyProtection="false" borderId="40" fillId="61" fontId="1" numFmtId="262" xfId="0">
      <alignment horizontal="center" vertical="center" wrapText="true"/>
    </xf>
    <xf applyAlignment="true" applyBorder="false" applyFill="true" applyFont="true" applyNumberFormat="true" applyProtection="false" borderId="40" fillId="61" fontId="1" numFmtId="263" xfId="0">
      <alignment horizontal="center" vertical="center" wrapText="true"/>
    </xf>
    <xf applyAlignment="true" applyBorder="false" applyFill="true" applyFont="true" applyNumberFormat="false" applyProtection="false" borderId="40" fillId="61" fontId="3" numFmtId="0" xfId="0">
      <alignment horizontal="center" vertical="center" wrapText="true"/>
    </xf>
    <xf applyAlignment="true" applyBorder="false" applyFill="true" applyFont="true" applyNumberFormat="true" applyProtection="false" borderId="40" fillId="61" fontId="3" numFmtId="264" xfId="0">
      <alignment horizontal="center" vertical="center" wrapText="true"/>
    </xf>
    <xf applyAlignment="true" applyBorder="false" applyFill="true" applyFont="true" applyNumberFormat="true" applyProtection="false" borderId="40" fillId="61" fontId="3" numFmtId="265" xfId="0">
      <alignment horizontal="center" vertical="center" wrapText="true"/>
    </xf>
    <xf applyAlignment="true" applyBorder="false" applyFill="true" applyFont="true" applyNumberFormat="false" applyProtection="false" borderId="41" fillId="62" fontId="1" numFmtId="0" xfId="0">
      <alignment horizontal="center" vertical="center" wrapText="true"/>
    </xf>
    <xf applyAlignment="true" applyBorder="false" applyFill="true" applyFont="true" applyNumberFormat="false" applyProtection="false" borderId="40" fillId="62" fontId="1" numFmtId="0" xfId="0">
      <alignment horizontal="center" vertical="center" wrapText="true"/>
    </xf>
    <xf applyAlignment="true" applyBorder="false" applyFill="true" applyFont="true" applyNumberFormat="true" applyProtection="false" borderId="40" fillId="62" fontId="3" numFmtId="264" xfId="0">
      <alignment horizontal="center" vertical="center" wrapText="true"/>
    </xf>
    <xf applyAlignment="true" applyBorder="false" applyFill="true" applyFont="true" applyNumberFormat="true" applyProtection="false" borderId="40" fillId="61" fontId="3" numFmtId="263" xfId="0">
      <alignment horizontal="center" vertical="center" wrapText="true"/>
    </xf>
    <xf applyAlignment="true" applyBorder="false" applyFill="true" applyFont="true" applyNumberFormat="false" applyProtection="false" borderId="40" fillId="61" fontId="2" numFmtId="0" xfId="0">
      <alignment horizontal="center" vertical="center" wrapText="true"/>
    </xf>
    <xf applyAlignment="true" applyBorder="false" applyFill="true" applyFont="true" applyNumberFormat="false" applyProtection="false" borderId="40" fillId="63" fontId="1" numFmtId="0" xfId="0">
      <alignment horizontal="center" vertical="center" wrapText="true"/>
    </xf>
    <xf applyAlignment="true" applyBorder="false" applyFill="true" applyFont="true" applyNumberFormat="false" applyProtection="false" borderId="40" fillId="63" fontId="1" numFmtId="0" xfId="0">
      <alignment horizontal="left" vertical="center" wrapText="true"/>
    </xf>
    <xf applyAlignment="true" applyBorder="false" applyFill="true" applyFont="true" applyNumberFormat="false" applyProtection="false" borderId="40" fillId="64" fontId="1" numFmtId="0" xfId="0">
      <alignment horizontal="center" vertical="center" wrapText="true"/>
    </xf>
    <xf applyAlignment="true" applyBorder="false" applyFill="true" applyFont="true" applyNumberFormat="true" applyProtection="false" borderId="40" fillId="64" fontId="1" numFmtId="262" xfId="0">
      <alignment horizontal="center" vertical="center" wrapText="true"/>
    </xf>
    <xf applyAlignment="true" applyBorder="false" applyFill="true" applyFont="true" applyNumberFormat="true" applyProtection="false" borderId="40" fillId="65" fontId="1" numFmtId="262" xfId="0">
      <alignment horizontal="center" vertical="center" wrapText="true"/>
    </xf>
    <xf applyAlignment="true" applyBorder="false" applyFill="true" applyFont="true" applyNumberFormat="true" applyProtection="false" borderId="40" fillId="65" fontId="1" numFmtId="266" xfId="0">
      <alignment horizontal="center" vertical="center" wrapText="true"/>
    </xf>
    <xf applyAlignment="true" applyBorder="false" applyFill="true" applyFont="true" applyNumberFormat="true" applyProtection="false" borderId="40" fillId="66" fontId="1" numFmtId="263" xfId="0">
      <alignment horizontal="center" vertical="center" wrapText="true"/>
    </xf>
    <xf applyAlignment="true" applyBorder="false" applyFill="true" applyFont="true" applyNumberFormat="true" applyProtection="false" borderId="40" fillId="66" fontId="1" numFmtId="267" xfId="0">
      <alignment horizontal="center" vertical="center" wrapText="true"/>
    </xf>
    <xf applyAlignment="true" applyBorder="false" applyFill="true" applyFont="true" applyNumberFormat="false" applyProtection="false" borderId="42" fillId="67" fontId="1" numFmtId="0" xfId="0">
      <alignment horizontal="center" vertical="center" wrapText="true"/>
    </xf>
    <xf applyAlignment="true" applyBorder="false" applyFill="true" applyFont="true" applyNumberFormat="false" applyProtection="false" borderId="42" fillId="67" fontId="1" numFmtId="0" xfId="0">
      <alignment horizontal="left" vertical="center" wrapText="true"/>
    </xf>
    <xf applyAlignment="true" applyBorder="false" applyFill="true" applyFont="true" applyNumberFormat="false" applyProtection="false" borderId="43" fillId="62" fontId="1" numFmtId="0" xfId="0">
      <alignment horizontal="center" vertical="center" wrapText="true"/>
    </xf>
    <xf applyAlignment="true" applyBorder="false" applyFill="true" applyFont="true" applyNumberFormat="false" applyProtection="false" borderId="40" fillId="68" fontId="1" numFmtId="0" xfId="0">
      <alignment horizontal="center" vertical="center" wrapText="true"/>
    </xf>
    <xf applyAlignment="true" applyBorder="false" applyFill="true" applyFont="true" applyNumberFormat="true" applyProtection="false" borderId="40" fillId="64" fontId="3" numFmtId="262" xfId="0">
      <alignment horizontal="center" vertical="center" wrapText="true"/>
    </xf>
    <xf applyAlignment="true" applyBorder="false" applyFill="true" applyFont="true" applyNumberFormat="true" applyProtection="false" borderId="40" fillId="64" fontId="3" numFmtId="260" xfId="0">
      <alignment horizontal="center" vertical="center" wrapText="true"/>
    </xf>
    <xf applyAlignment="true" applyBorder="false" applyFill="true" applyFont="true" applyNumberFormat="true" applyProtection="false" borderId="40" fillId="64" fontId="3" numFmtId="264" xfId="0">
      <alignment horizontal="center" vertical="center" wrapText="true"/>
    </xf>
    <xf applyAlignment="true" applyBorder="false" applyFill="true" applyFont="true" applyNumberFormat="true" applyProtection="false" borderId="40" fillId="64" fontId="3" numFmtId="265" xfId="0">
      <alignment horizontal="center" vertical="center" wrapText="true"/>
    </xf>
    <xf applyAlignment="true" applyBorder="false" applyFill="true" applyFont="true" applyNumberFormat="true" applyProtection="false" borderId="40" fillId="68" fontId="3" numFmtId="265" xfId="0">
      <alignment horizontal="center" vertical="center" wrapText="true"/>
    </xf>
    <xf applyAlignment="true" applyBorder="false" applyFill="true" applyFont="true" applyNumberFormat="true" applyProtection="false" borderId="40" fillId="68" fontId="3" numFmtId="262" xfId="0">
      <alignment horizontal="center" vertical="center" wrapText="true"/>
    </xf>
    <xf applyAlignment="true" applyBorder="false" applyFill="true" applyFont="true" applyNumberFormat="true" applyProtection="false" borderId="40" fillId="65" fontId="3" numFmtId="262" xfId="0">
      <alignment horizontal="center" vertical="center" wrapText="true"/>
    </xf>
    <xf applyAlignment="true" applyBorder="false" applyFill="true" applyFont="true" applyNumberFormat="true" applyProtection="false" borderId="40" fillId="65" fontId="3" numFmtId="266" xfId="0">
      <alignment horizontal="center" vertical="center" wrapText="true"/>
    </xf>
    <xf applyAlignment="true" applyBorder="false" applyFill="true" applyFont="true" applyNumberFormat="true" applyProtection="false" borderId="40" fillId="65" fontId="4" numFmtId="266" xfId="0">
      <alignment horizontal="center" vertical="center" wrapText="true"/>
    </xf>
    <xf applyAlignment="true" applyBorder="false" applyFill="true" applyFont="true" applyNumberFormat="true" applyProtection="false" borderId="40" fillId="69" fontId="3" numFmtId="266" xfId="0">
      <alignment horizontal="center" vertical="center" wrapText="true"/>
    </xf>
    <xf applyAlignment="true" applyBorder="false" applyFill="true" applyFont="true" applyNumberFormat="false" applyProtection="false" borderId="40" fillId="65" fontId="3" numFmtId="0" xfId="0">
      <alignment horizontal="center" vertical="center" wrapText="true"/>
    </xf>
    <xf applyAlignment="true" applyBorder="false" applyFill="true" applyFont="true" applyNumberFormat="true" applyProtection="false" borderId="40" fillId="65" fontId="4" numFmtId="265" xfId="0">
      <alignment horizontal="center" vertical="center" wrapText="true"/>
    </xf>
    <xf applyAlignment="true" applyBorder="false" applyFill="true" applyFont="true" applyNumberFormat="true" applyProtection="false" borderId="40" fillId="65" fontId="3" numFmtId="265" xfId="0">
      <alignment horizontal="center" vertical="center" wrapText="true"/>
    </xf>
    <xf applyAlignment="true" applyBorder="false" applyFill="true" applyFont="true" applyNumberFormat="true" applyProtection="false" borderId="40" fillId="65" fontId="1" numFmtId="265" xfId="0">
      <alignment horizontal="center" vertical="center" wrapText="true"/>
    </xf>
    <xf applyAlignment="true" applyBorder="false" applyFill="true" applyFont="true" applyNumberFormat="true" applyProtection="false" borderId="41" fillId="66" fontId="1" numFmtId="263" xfId="0">
      <alignment horizontal="center" vertical="center" wrapText="true"/>
    </xf>
    <xf applyAlignment="true" applyBorder="false" applyFill="true" applyFont="true" applyNumberFormat="false" applyProtection="false" borderId="41" fillId="66" fontId="1" numFmtId="0" xfId="0">
      <alignment horizontal="center" vertical="center" wrapText="true"/>
    </xf>
    <xf applyAlignment="true" applyBorder="false" applyFill="true" applyFont="true" applyNumberFormat="false" applyProtection="false" borderId="40" fillId="66" fontId="1" numFmtId="0" xfId="0">
      <alignment horizontal="center" vertical="center" wrapText="true"/>
    </xf>
    <xf applyAlignment="true" applyBorder="false" applyFill="true" applyFont="true" applyNumberFormat="true" applyProtection="false" borderId="40" fillId="66" fontId="1" numFmtId="262" xfId="0">
      <alignment horizontal="center" vertical="center" wrapText="true"/>
    </xf>
    <xf applyAlignment="true" applyBorder="false" applyFill="true" applyFont="true" applyNumberFormat="false" applyProtection="false" borderId="40" fillId="66" fontId="3" numFmtId="0" xfId="0">
      <alignment horizontal="center" vertical="center" wrapText="true"/>
    </xf>
    <xf applyAlignment="true" applyBorder="false" applyFill="true" applyFont="true" applyNumberFormat="true" applyProtection="false" borderId="40" fillId="66" fontId="3" numFmtId="267" xfId="0">
      <alignment horizontal="center" vertical="center" wrapText="true"/>
    </xf>
    <xf applyAlignment="true" applyBorder="false" applyFill="true" applyFont="true" applyNumberFormat="false" applyProtection="false" borderId="44" fillId="67" fontId="1" numFmtId="0" xfId="0">
      <alignment horizontal="center" vertical="center" wrapText="true"/>
    </xf>
    <xf applyAlignment="true" applyBorder="false" applyFill="true" applyFont="true" applyNumberFormat="false" applyProtection="false" borderId="40" fillId="67" fontId="1" numFmtId="0" xfId="0">
      <alignment horizontal="left" vertical="center" wrapText="true"/>
    </xf>
    <xf applyAlignment="true" applyBorder="false" applyFill="true" applyFont="true" applyNumberFormat="false" applyProtection="false" borderId="40" fillId="67" fontId="1" numFmtId="0" xfId="0">
      <alignment horizontal="center" vertical="center" wrapText="true"/>
    </xf>
    <xf applyAlignment="true" applyBorder="false" applyFill="false" applyFont="true" applyNumberFormat="true" applyProtection="false" borderId="40" fillId="0" fontId="5" numFmtId="259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left" vertical="center"/>
    </xf>
    <xf applyAlignment="true" applyBorder="false" applyFill="false" applyFont="true" applyNumberFormat="true" applyProtection="false" borderId="40" fillId="0" fontId="5" numFmtId="260" xfId="0">
      <alignment horizontal="center" vertical="center"/>
    </xf>
    <xf applyAlignment="true" applyBorder="false" applyFill="false" applyFont="true" applyNumberFormat="true" applyProtection="false" borderId="40" fillId="0" fontId="5" numFmtId="264" xfId="0">
      <alignment horizontal="center" vertical="center"/>
    </xf>
    <xf applyAlignment="true" applyBorder="false" applyFill="false" applyFont="true" applyNumberFormat="true" applyProtection="false" borderId="40" fillId="0" fontId="5" numFmtId="268" xfId="0">
      <alignment horizontal="center" vertical="center"/>
    </xf>
    <xf applyAlignment="true" applyBorder="false" applyFill="false" applyFont="true" applyNumberFormat="true" applyProtection="false" borderId="40" fillId="0" fontId="5" numFmtId="263" xfId="0">
      <alignment horizontal="center" vertical="center"/>
    </xf>
    <xf applyAlignment="true" applyBorder="false" applyFill="false" applyFont="true" applyNumberFormat="true" applyProtection="false" borderId="40" fillId="0" fontId="5" numFmtId="265" xfId="0">
      <alignment horizontal="center" vertical="center"/>
    </xf>
    <xf applyAlignment="true" applyBorder="false" applyFill="false" applyFont="true" applyNumberFormat="true" applyProtection="false" borderId="40" fillId="0" fontId="5" numFmtId="269" xfId="0">
      <alignment horizontal="center" vertical="center"/>
    </xf>
    <xf applyAlignment="true" applyBorder="false" applyFill="false" applyFont="true" applyNumberFormat="true" applyProtection="false" borderId="40" fillId="0" fontId="5" numFmtId="269" xfId="0">
      <alignment horizontal="center" vertical="center" wrapText="true"/>
    </xf>
    <xf applyAlignment="true" applyBorder="false" applyFill="false" applyFont="true" applyNumberFormat="true" applyProtection="false" borderId="40" fillId="0" fontId="5" numFmtId="262" xfId="0">
      <alignment horizontal="center" vertical="center"/>
    </xf>
    <xf applyAlignment="true" applyBorder="false" applyFill="false" applyFont="true" applyNumberFormat="true" applyProtection="false" borderId="40" fillId="0" fontId="5" numFmtId="270" xfId="0">
      <alignment horizontal="center" vertical="center" wrapText="true"/>
    </xf>
    <xf applyAlignment="true" applyBorder="false" applyFill="false" applyFont="true" applyNumberFormat="true" applyProtection="false" borderId="40" fillId="0" fontId="5" numFmtId="264" xfId="0">
      <alignment horizontal="center" vertical="center" wrapText="true"/>
    </xf>
    <xf applyAlignment="true" applyBorder="false" applyFill="false" applyFont="true" applyNumberFormat="true" applyProtection="false" borderId="40" fillId="0" fontId="5" numFmtId="267" xfId="0">
      <alignment horizontal="center" vertical="center"/>
    </xf>
    <xf applyAlignment="true" applyBorder="false" applyFill="false" applyFont="true" applyNumberFormat="true" applyProtection="false" borderId="40" fillId="0" fontId="5" numFmtId="266" xfId="0">
      <alignment horizontal="center" vertical="center"/>
    </xf>
    <xf applyAlignment="true" applyBorder="false" applyFill="false" applyFont="true" applyNumberFormat="true" applyProtection="false" borderId="40" fillId="0" fontId="1" numFmtId="26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bottom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false" applyFont="true" applyNumberFormat="true" applyProtection="false" borderId="40" fillId="0" fontId="5" numFmtId="260" xfId="0">
      <alignment horizontal="center" vertical="center"/>
    </xf>
    <xf applyAlignment="true" applyBorder="false" applyFill="false" applyFont="true" applyNumberFormat="true" applyProtection="false" borderId="40" fillId="0" fontId="5" numFmtId="264" xfId="0">
      <alignment horizontal="center" vertical="center"/>
    </xf>
    <xf applyAlignment="true" applyBorder="false" applyFill="false" applyFont="true" applyNumberFormat="true" applyProtection="false" borderId="40" fillId="0" fontId="5" numFmtId="268" xfId="0">
      <alignment horizontal="center" vertical="center"/>
    </xf>
    <xf applyAlignment="true" applyBorder="false" applyFill="false" applyFont="true" applyNumberFormat="true" applyProtection="false" borderId="40" fillId="0" fontId="5" numFmtId="263" xfId="0">
      <alignment horizontal="center" vertical="center"/>
    </xf>
    <xf applyAlignment="true" applyBorder="false" applyFill="false" applyFont="true" applyNumberFormat="true" applyProtection="false" borderId="40" fillId="0" fontId="5" numFmtId="265" xfId="0">
      <alignment horizontal="center" vertical="center"/>
    </xf>
    <xf applyAlignment="true" applyBorder="false" applyFill="false" applyFont="true" applyNumberFormat="true" applyProtection="false" borderId="40" fillId="0" fontId="5" numFmtId="269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left" vertical="center"/>
    </xf>
    <xf applyAlignment="true" applyBorder="false" applyFill="false" applyFont="true" applyNumberFormat="true" applyProtection="false" borderId="40" fillId="0" fontId="5" numFmtId="269" xfId="0">
      <alignment horizontal="center" vertical="center" wrapText="true"/>
    </xf>
    <xf applyAlignment="true" applyBorder="false" applyFill="false" applyFont="true" applyNumberFormat="true" applyProtection="false" borderId="40" fillId="0" fontId="5" numFmtId="262" xfId="0">
      <alignment horizontal="center" vertical="center"/>
    </xf>
    <xf applyAlignment="true" applyBorder="false" applyFill="false" applyFont="true" applyNumberFormat="true" applyProtection="false" borderId="40" fillId="0" fontId="5" numFmtId="270" xfId="0">
      <alignment horizontal="center" vertical="center" wrapText="true"/>
    </xf>
    <xf applyAlignment="true" applyBorder="false" applyFill="false" applyFont="true" applyNumberFormat="true" applyProtection="false" borderId="40" fillId="0" fontId="5" numFmtId="264" xfId="0">
      <alignment horizontal="center" vertical="center" wrapText="true"/>
    </xf>
    <xf applyAlignment="true" applyBorder="false" applyFill="false" applyFont="true" applyNumberFormat="true" applyProtection="false" borderId="40" fillId="0" fontId="5" numFmtId="267" xfId="0">
      <alignment horizontal="center" vertical="center"/>
    </xf>
    <xf applyAlignment="true" applyBorder="false" applyFill="false" applyFont="true" applyNumberFormat="true" applyProtection="false" borderId="40" fillId="0" fontId="5" numFmtId="266" xfId="0">
      <alignment horizontal="center" vertical="center"/>
    </xf>
    <xf applyAlignment="true" applyBorder="false" applyFill="false" applyFont="true" applyNumberFormat="true" applyProtection="false" borderId="40" fillId="0" fontId="1" numFmtId="26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bottom"/>
    </xf>
    <xf applyAlignment="true" applyBorder="false" applyFill="false" applyFont="true" applyNumberFormat="false" applyProtection="false" borderId="0" fillId="0" fontId="6" numFmtId="0" xfId="0">
      <alignment horizontal="left" vertical="bottom"/>
    </xf>
    <xf applyAlignment="true" applyBorder="false" applyFill="false" applyFont="true" applyNumberFormat="false" applyProtection="false" borderId="40" fillId="0" fontId="7" numFmtId="0" xfId="0">
      <alignment horizontal="left" vertical="center"/>
    </xf>
    <xf applyAlignment="true" applyBorder="false" applyFill="false" applyFont="true" applyNumberFormat="true" applyProtection="false" borderId="40" fillId="0" fontId="7" numFmtId="265" xfId="0">
      <alignment horizontal="center" vertical="center"/>
    </xf>
    <xf applyAlignment="true" applyBorder="false" applyFill="false" applyFont="true" applyNumberFormat="true" applyProtection="false" borderId="40" fillId="0" fontId="7" numFmtId="263" xfId="0">
      <alignment horizontal="center" vertical="center"/>
    </xf>
    <xf applyAlignment="true" applyBorder="false" applyFill="false" applyFont="true" applyNumberFormat="false" applyProtection="false" borderId="40" fillId="0" fontId="7" numFmtId="0" xfId="0">
      <alignment horizontal="center" vertical="center"/>
    </xf>
    <xf applyAlignment="true" applyBorder="false" applyFill="false" applyFont="true" applyNumberFormat="true" applyProtection="false" borderId="40" fillId="0" fontId="7" numFmtId="262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40" fillId="0" fontId="7" numFmtId="260" xfId="0">
      <alignment horizontal="center" vertical="center"/>
    </xf>
    <xf applyAlignment="true" applyBorder="false" applyFill="true" applyFont="true" applyNumberFormat="true" applyProtection="false" borderId="45" fillId="70" fontId="8" numFmtId="259" xfId="0">
      <alignment horizontal="center" vertical="center"/>
    </xf>
    <xf applyAlignment="true" applyBorder="false" applyFill="true" applyFont="true" applyNumberFormat="false" applyProtection="false" borderId="40" fillId="70" fontId="7" numFmtId="0" xfId="0">
      <alignment horizontal="center" vertical="center"/>
    </xf>
    <xf applyAlignment="true" applyBorder="false" applyFill="true" applyFont="true" applyNumberFormat="true" applyProtection="false" borderId="40" fillId="70" fontId="7" numFmtId="260" xfId="0">
      <alignment horizontal="center" vertical="center"/>
    </xf>
    <xf applyAlignment="true" applyBorder="false" applyFill="true" applyFont="true" applyNumberFormat="true" applyProtection="false" borderId="40" fillId="70" fontId="7" numFmtId="264" xfId="0">
      <alignment horizontal="center" vertical="center"/>
    </xf>
    <xf applyAlignment="true" applyBorder="false" applyFill="true" applyFont="true" applyNumberFormat="true" applyProtection="false" borderId="40" fillId="70" fontId="7" numFmtId="263" xfId="0">
      <alignment horizontal="center" vertical="center"/>
    </xf>
    <xf applyAlignment="true" applyBorder="false" applyFill="true" applyFont="true" applyNumberFormat="true" applyProtection="false" borderId="40" fillId="70" fontId="7" numFmtId="265" xfId="0">
      <alignment horizontal="center" vertical="center"/>
    </xf>
    <xf applyAlignment="true" applyBorder="false" applyFill="true" applyFont="true" applyNumberFormat="true" applyProtection="false" borderId="40" fillId="70" fontId="7" numFmtId="269" xfId="0">
      <alignment horizontal="center" vertical="center"/>
    </xf>
    <xf applyAlignment="true" applyBorder="false" applyFill="true" applyFont="true" applyNumberFormat="true" applyProtection="false" borderId="40" fillId="70" fontId="7" numFmtId="262" xfId="0">
      <alignment horizontal="center" vertical="center"/>
    </xf>
    <xf applyAlignment="true" applyBorder="false" applyFill="true" applyFont="true" applyNumberFormat="true" applyProtection="false" borderId="40" fillId="70" fontId="7" numFmtId="270" xfId="0">
      <alignment horizontal="center" vertical="center"/>
    </xf>
    <xf applyAlignment="true" applyBorder="false" applyFill="false" applyFont="true" applyNumberFormat="true" applyProtection="false" borderId="40" fillId="0" fontId="5" numFmtId="271" xfId="0">
      <alignment horizontal="center" vertical="center"/>
    </xf>
    <xf applyAlignment="true" applyBorder="false" applyFill="true" applyFont="true" applyNumberFormat="true" applyProtection="false" borderId="40" fillId="70" fontId="7" numFmtId="266" xfId="0">
      <alignment horizontal="center" vertical="center"/>
    </xf>
    <xf applyAlignment="true" applyBorder="false" applyFill="false" applyFont="true" applyNumberFormat="false" applyProtection="false" borderId="44" fillId="0" fontId="5" numFmtId="0" xfId="0">
      <alignment horizontal="center" vertical="center"/>
    </xf>
    <xf applyAlignment="true" applyBorder="false" applyFill="true" applyFont="true" applyNumberFormat="false" applyProtection="false" borderId="40" fillId="70" fontId="7" numFmtId="0" xfId="0">
      <alignment horizontal="left" vertical="center"/>
    </xf>
    <xf applyAlignment="true" applyBorder="false" applyFill="true" applyFont="true" applyNumberFormat="false" applyProtection="false" borderId="0" fillId="70" fontId="5" numFmtId="0" xfId="0">
      <alignment horizontal="left" vertical="center"/>
    </xf>
    <xf applyAlignment="true" applyBorder="false" applyFill="true" applyFont="true" applyNumberFormat="false" applyProtection="false" borderId="46" fillId="71" fontId="15" numFmtId="0" xfId="0">
      <alignment horizontal="center" vertical="bottom" wrapText="true"/>
    </xf>
    <xf applyAlignment="true" applyBorder="false" applyFill="true" applyFont="true" applyNumberFormat="false" applyProtection="false" borderId="46" fillId="71" fontId="18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272" xfId="0">
      <alignment vertical="center"/>
    </xf>
    <xf applyAlignment="true" applyBorder="false" applyFill="false" applyFont="true" applyNumberFormat="true" applyProtection="false" borderId="0" fillId="0" fontId="5" numFmtId="273" xfId="0">
      <alignment vertical="center"/>
    </xf>
    <xf applyAlignment="true" applyBorder="false" applyFill="false" applyFont="true" applyNumberFormat="true" applyProtection="false" borderId="0" fillId="0" fontId="5" numFmtId="274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47" fillId="72" fontId="15" numFmtId="0" xfId="0">
      <alignment horizontal="center" vertical="center"/>
    </xf>
    <xf applyAlignment="true" applyBorder="false" applyFill="false" applyFont="true" applyNumberFormat="true" applyProtection="false" borderId="47" fillId="0" fontId="5" numFmtId="275" xfId="0">
      <alignment horizontal="center" vertical="center"/>
    </xf>
    <xf applyAlignment="true" applyBorder="false" applyFill="false" applyFont="true" applyNumberFormat="true" applyProtection="false" borderId="47" fillId="0" fontId="7" numFmtId="276" xfId="0">
      <alignment horizontal="center" vertical="center"/>
    </xf>
    <xf applyAlignment="true" applyBorder="false" applyFill="false" applyFont="true" applyNumberFormat="false" applyProtection="false" borderId="47" fillId="0" fontId="7" numFmtId="0" xfId="0">
      <alignment horizontal="center" vertical="center"/>
    </xf>
    <xf applyAlignment="true" applyBorder="false" applyFill="true" applyFont="true" applyNumberFormat="false" applyProtection="false" borderId="47" fillId="73" fontId="7" numFmtId="0" xfId="0">
      <alignment horizontal="center" vertical="center"/>
    </xf>
    <xf applyAlignment="true" applyBorder="false" applyFill="false" applyFont="true" applyNumberFormat="false" applyProtection="false" borderId="47" fillId="0" fontId="7" numFmtId="0" xfId="0">
      <alignment horizontal="left" vertical="center" wrapText="true"/>
    </xf>
    <xf applyAlignment="true" applyBorder="false" applyFill="false" applyFont="true" applyNumberFormat="true" applyProtection="false" borderId="47" fillId="0" fontId="7" numFmtId="277" xfId="0">
      <alignment horizontal="center" vertical="center"/>
    </xf>
    <xf applyAlignment="true" applyBorder="false" applyFill="false" applyFont="true" applyNumberFormat="true" applyProtection="false" borderId="47" fillId="0" fontId="7" numFmtId="278" xfId="0">
      <alignment horizontal="center" vertical="center"/>
    </xf>
    <xf applyAlignment="true" applyBorder="false" applyFill="false" applyFont="true" applyNumberFormat="false" applyProtection="false" borderId="47" fillId="0" fontId="7" numFmtId="0" xfId="0">
      <alignment horizontal="left" vertical="center"/>
    </xf>
    <xf applyAlignment="true" applyBorder="false" applyFill="false" applyFont="true" applyNumberFormat="false" applyProtection="false" borderId="47" fillId="0" fontId="5" numFmtId="0" xfId="0">
      <alignment vertical="center"/>
    </xf>
    <xf applyAlignment="true" applyBorder="false" applyFill="true" applyFont="true" applyNumberFormat="false" applyProtection="false" borderId="47" fillId="74" fontId="7" numFmtId="0" xfId="0">
      <alignment horizontal="center" vertical="center"/>
    </xf>
    <xf applyAlignment="true" applyBorder="false" applyFill="false" applyFont="true" applyNumberFormat="true" applyProtection="false" borderId="47" fillId="0" fontId="5" numFmtId="277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48" fillId="75" fontId="15" numFmtId="0" xfId="0">
      <alignment horizontal="center" vertical="center"/>
    </xf>
    <xf applyAlignment="true" applyBorder="false" applyFill="true" applyFont="true" applyNumberFormat="false" applyProtection="false" borderId="48" fillId="75" fontId="1" numFmtId="0" xfId="0">
      <alignment horizontal="center" vertical="center"/>
    </xf>
    <xf applyAlignment="true" applyBorder="false" applyFill="false" applyFont="true" applyNumberFormat="false" applyProtection="false" borderId="48" fillId="0" fontId="5" numFmtId="0" xfId="0">
      <alignment horizontal="center" vertical="center"/>
    </xf>
    <xf applyAlignment="true" applyBorder="false" applyFill="false" applyFont="true" applyNumberFormat="true" applyProtection="false" borderId="48" fillId="0" fontId="5" numFmtId="279" xfId="0">
      <alignment horizontal="center" vertical="center"/>
    </xf>
    <xf applyAlignment="true" applyBorder="false" applyFill="false" applyFont="true" applyNumberFormat="false" applyProtection="false" borderId="49" fillId="0" fontId="5" numFmtId="0" xfId="0">
      <alignment horizontal="center" vertical="center"/>
    </xf>
    <xf applyAlignment="true" applyBorder="false" applyFill="false" applyFont="true" applyNumberFormat="true" applyProtection="false" borderId="50" fillId="0" fontId="5" numFmtId="280" xfId="0">
      <alignment horizontal="center" vertical="center"/>
    </xf>
    <xf applyAlignment="true" applyBorder="false" applyFill="false" applyFont="true" applyNumberFormat="true" applyProtection="false" borderId="51" fillId="0" fontId="5" numFmtId="280" xfId="0">
      <alignment horizontal="center" vertical="center" wrapText="true"/>
    </xf>
    <xf applyAlignment="true" applyBorder="false" applyFill="false" applyFont="true" applyNumberFormat="true" applyProtection="false" borderId="48" fillId="0" fontId="5" numFmtId="280" xfId="0">
      <alignment horizontal="center" vertical="center"/>
    </xf>
    <xf applyAlignment="true" applyBorder="false" applyFill="false" applyFont="true" applyNumberFormat="false" applyProtection="false" borderId="48" fillId="0" fontId="32" numFmtId="0" xfId="0">
      <alignment horizontal="center" vertical="center"/>
    </xf>
    <xf applyAlignment="true" applyBorder="false" applyFill="true" applyFont="true" applyNumberFormat="false" applyProtection="false" borderId="52" fillId="76" fontId="1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52" fillId="0" fontId="7" numFmtId="0" xfId="0">
      <alignment horizontal="center" vertical="center"/>
    </xf>
    <xf applyAlignment="true" applyBorder="false" applyFill="false" applyFont="true" applyNumberFormat="true" applyProtection="false" borderId="52" fillId="0" fontId="7" numFmtId="281" xfId="0">
      <alignment horizontal="center" vertical="center"/>
    </xf>
    <xf applyAlignment="true" applyBorder="false" applyFill="false" applyFont="true" applyNumberFormat="false" applyProtection="false" borderId="52" fillId="0" fontId="7" numFmtId="0" xfId="0">
      <alignment horizontal="center" vertical="center" wrapText="true"/>
    </xf>
    <xf applyAlignment="true" applyBorder="false" applyFill="false" applyFont="true" applyNumberFormat="false" applyProtection="false" borderId="53" fillId="0" fontId="7" numFmtId="0" xfId="0">
      <alignment horizontal="center" vertical="center"/>
    </xf>
    <xf applyAlignment="true" applyBorder="false" applyFill="false" applyFont="true" applyNumberFormat="true" applyProtection="false" borderId="52" fillId="0" fontId="7" numFmtId="282" xfId="0">
      <alignment horizontal="center" vertical="center"/>
    </xf>
    <xf applyAlignment="true" applyBorder="false" applyFill="true" applyFont="true" applyNumberFormat="false" applyProtection="false" borderId="52" fillId="77" fontId="7" numFmtId="0" xfId="0">
      <alignment horizontal="center" vertical="center"/>
    </xf>
    <xf applyAlignment="true" applyBorder="false" applyFill="false" applyFont="true" applyNumberFormat="false" applyProtection="false" borderId="52" fillId="0" fontId="3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54" fillId="78" fontId="15" numFmtId="0" xfId="0">
      <alignment horizontal="center" vertical="center"/>
    </xf>
    <xf applyAlignment="true" applyBorder="false" applyFill="true" applyFont="true" applyNumberFormat="false" applyProtection="false" borderId="54" fillId="78" fontId="1" numFmtId="0" xfId="0">
      <alignment horizontal="center" vertical="center"/>
    </xf>
    <xf applyAlignment="true" applyBorder="false" applyFill="false" applyFont="true" applyNumberFormat="false" applyProtection="false" borderId="54" fillId="0" fontId="5" numFmtId="0" xfId="0">
      <alignment horizontal="center" vertical="center"/>
    </xf>
    <xf applyAlignment="true" applyBorder="false" applyFill="false" applyFont="true" applyNumberFormat="true" applyProtection="false" borderId="54" fillId="0" fontId="5" numFmtId="283" xfId="0">
      <alignment horizontal="center" vertical="center"/>
    </xf>
    <xf applyAlignment="true" applyBorder="false" applyFill="false" applyFont="true" applyNumberFormat="false" applyProtection="false" borderId="55" fillId="0" fontId="5" numFmtId="0" xfId="0">
      <alignment horizontal="center" vertical="center"/>
    </xf>
    <xf applyAlignment="true" applyBorder="false" applyFill="false" applyFont="true" applyNumberFormat="true" applyProtection="false" borderId="56" fillId="0" fontId="5" numFmtId="284" xfId="0">
      <alignment horizontal="center" vertical="center"/>
    </xf>
    <xf applyAlignment="true" applyBorder="false" applyFill="false" applyFont="true" applyNumberFormat="true" applyProtection="false" borderId="57" fillId="0" fontId="5" numFmtId="284" xfId="0">
      <alignment horizontal="center" vertical="center" wrapText="true"/>
    </xf>
    <xf applyAlignment="true" applyBorder="false" applyFill="false" applyFont="true" applyNumberFormat="true" applyProtection="false" borderId="54" fillId="0" fontId="5" numFmtId="284" xfId="0">
      <alignment horizontal="center" vertical="center"/>
    </xf>
    <xf applyAlignment="true" applyBorder="false" applyFill="false" applyFont="true" applyNumberFormat="false" applyProtection="false" borderId="54" fillId="0" fontId="32" numFmtId="0" xfId="0">
      <alignment horizontal="center" vertical="center"/>
    </xf>
    <xf applyAlignment="true" applyBorder="false" applyFill="false" applyFont="true" applyNumberFormat="false" applyProtection="false" borderId="58" fillId="0" fontId="15" numFmtId="0" xfId="0">
      <alignment vertical="bottom" wrapText="true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59" fillId="0" fontId="15" numFmtId="0" xfId="0">
      <alignment vertical="bottom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true" applyFont="true" applyNumberFormat="false" applyProtection="false" borderId="60" fillId="79" fontId="5" numFmtId="0" xfId="0">
      <alignment horizontal="center" vertical="bottom" wrapText="true"/>
    </xf>
    <xf applyAlignment="true" applyBorder="false" applyFill="true" applyFont="true" applyNumberFormat="false" applyProtection="false" borderId="61" fillId="79" fontId="5" numFmtId="0" xfId="0">
      <alignment horizontal="center" vertical="bottom"/>
    </xf>
    <xf applyAlignment="true" applyBorder="false" applyFill="true" applyFont="true" applyNumberFormat="false" applyProtection="false" borderId="61" fillId="79" fontId="5" numFmtId="0" xfId="0">
      <alignment horizontal="center" vertical="bottom" wrapText="true"/>
    </xf>
    <xf applyAlignment="true" applyBorder="false" applyFill="true" applyFont="true" applyNumberFormat="false" applyProtection="false" borderId="61" fillId="79" fontId="5" numFmtId="0" xfId="0">
      <alignment horizontal="left" vertical="bottom"/>
    </xf>
    <xf applyAlignment="true" applyBorder="false" applyFill="true" applyFont="true" applyNumberFormat="false" applyProtection="false" borderId="62" fillId="79" fontId="5" numFmtId="0" xfId="0">
      <alignment horizontal="center" vertical="bottom"/>
    </xf>
    <xf applyAlignment="true" applyBorder="false" applyFill="true" applyFont="true" applyNumberFormat="false" applyProtection="false" borderId="60" fillId="80" fontId="5" numFmtId="0" xfId="0">
      <alignment horizontal="center" vertical="bottom"/>
    </xf>
    <xf applyAlignment="true" applyBorder="false" applyFill="true" applyFont="true" applyNumberFormat="false" applyProtection="false" borderId="61" fillId="80" fontId="5" numFmtId="0" xfId="0">
      <alignment horizontal="center" vertical="bottom"/>
    </xf>
    <xf applyAlignment="true" applyBorder="false" applyFill="true" applyFont="true" applyNumberFormat="false" applyProtection="false" borderId="62" fillId="80" fontId="5" numFmtId="0" xfId="0">
      <alignment horizontal="center" vertical="bottom"/>
    </xf>
    <xf applyAlignment="true" applyBorder="false" applyFill="true" applyFont="true" applyNumberFormat="false" applyProtection="false" borderId="63" fillId="81" fontId="5" numFmtId="0" xfId="0">
      <alignment horizontal="center" vertical="bottom"/>
    </xf>
    <xf applyAlignment="true" applyBorder="false" applyFill="true" applyFont="true" applyNumberFormat="false" applyProtection="false" borderId="63" fillId="81" fontId="5" numFmtId="0" xfId="0">
      <alignment horizontal="center" vertical="bottom" wrapText="true"/>
    </xf>
    <xf applyAlignment="true" applyBorder="false" applyFill="true" applyFont="true" applyNumberFormat="true" applyProtection="false" borderId="63" fillId="81" fontId="5" numFmtId="285" xfId="0">
      <alignment horizontal="center" vertical="bottom"/>
    </xf>
    <xf applyAlignment="true" applyBorder="false" applyFill="true" applyFont="true" applyNumberFormat="false" applyProtection="false" borderId="63" fillId="82" fontId="1" numFmtId="0" xfId="0">
      <alignment horizontal="center" vertical="center" wrapText="true"/>
    </xf>
    <xf applyAlignment="true" applyBorder="false" applyFill="true" applyFont="true" applyNumberFormat="false" applyProtection="false" borderId="64" fillId="79" fontId="5" numFmtId="0" xfId="0">
      <alignment horizontal="center" vertical="center" wrapText="true"/>
    </xf>
    <xf applyAlignment="true" applyBorder="false" applyFill="true" applyFont="true" applyNumberFormat="false" applyProtection="false" borderId="64" fillId="79" fontId="36" numFmtId="0" xfId="0">
      <alignment horizontal="center" vertical="center" wrapText="true"/>
    </xf>
    <xf applyAlignment="true" applyBorder="false" applyFill="true" applyFont="true" applyNumberFormat="false" applyProtection="false" borderId="64" fillId="83" fontId="5" numFmtId="0" xfId="0">
      <alignment horizontal="center" vertical="center" wrapText="true"/>
    </xf>
    <xf applyAlignment="true" applyBorder="false" applyFill="true" applyFont="true" applyNumberFormat="false" applyProtection="false" borderId="64" fillId="80" fontId="36" numFmtId="0" xfId="0">
      <alignment horizontal="center" vertical="center" wrapText="true"/>
    </xf>
    <xf applyAlignment="true" applyBorder="false" applyFill="true" applyFont="true" applyNumberFormat="false" applyProtection="false" borderId="64" fillId="80" fontId="5" numFmtId="0" xfId="0">
      <alignment horizontal="center" vertical="center" wrapText="true"/>
    </xf>
    <xf applyAlignment="true" applyBorder="false" applyFill="true" applyFont="true" applyNumberFormat="false" applyProtection="false" borderId="64" fillId="84" fontId="5" numFmtId="0" xfId="0">
      <alignment horizontal="center" vertical="center" wrapText="true"/>
    </xf>
    <xf applyAlignment="true" applyBorder="false" applyFill="true" applyFont="true" applyNumberFormat="false" applyProtection="false" borderId="64" fillId="81" fontId="36" numFmtId="0" xfId="0">
      <alignment horizontal="center" vertical="center" wrapText="true"/>
    </xf>
    <xf applyAlignment="true" applyBorder="false" applyFill="true" applyFont="true" applyNumberFormat="false" applyProtection="false" borderId="64" fillId="81" fontId="5" numFmtId="0" xfId="0">
      <alignment horizontal="center" vertical="center" wrapText="true"/>
    </xf>
    <xf applyAlignment="true" applyBorder="false" applyFill="true" applyFont="true" applyNumberFormat="true" applyProtection="false" borderId="64" fillId="81" fontId="36" numFmtId="285" xfId="0">
      <alignment horizontal="center" vertical="center" wrapText="true"/>
    </xf>
    <xf applyAlignment="true" applyBorder="false" applyFill="true" applyFont="true" applyNumberFormat="false" applyProtection="false" borderId="64" fillId="85" fontId="36" numFmtId="0" xfId="0">
      <alignment horizontal="center" vertical="center" wrapText="true"/>
    </xf>
    <xf applyAlignment="true" applyBorder="false" applyFill="true" applyFont="true" applyNumberFormat="false" applyProtection="false" borderId="64" fillId="82" fontId="5" numFmtId="0" xfId="0">
      <alignment horizontal="center" vertical="center" wrapText="true"/>
    </xf>
    <xf applyAlignment="true" applyBorder="false" applyFill="true" applyFont="true" applyNumberFormat="true" applyProtection="false" borderId="64" fillId="86" fontId="5" numFmtId="286" xfId="0">
      <alignment horizontal="center" vertical="center" wrapText="true"/>
    </xf>
    <xf applyAlignment="true" applyBorder="false" applyFill="true" applyFont="true" applyNumberFormat="false" applyProtection="false" borderId="64" fillId="87" fontId="15" numFmtId="0" xfId="0">
      <alignment horizontal="center" vertical="center"/>
    </xf>
    <xf applyAlignment="true" applyBorder="false" applyFill="true" applyFont="true" applyNumberFormat="false" applyProtection="false" borderId="64" fillId="86" fontId="5" numFmtId="0" xfId="0">
      <alignment horizontal="center" vertical="center"/>
    </xf>
    <xf applyAlignment="true" applyBorder="false" applyFill="true" applyFont="true" applyNumberFormat="false" applyProtection="false" borderId="64" fillId="86" fontId="5" numFmtId="0" xfId="0">
      <alignment horizontal="center" vertical="center" wrapText="true"/>
    </xf>
    <xf applyAlignment="true" applyBorder="false" applyFill="true" applyFont="true" applyNumberFormat="false" applyProtection="false" borderId="64" fillId="86" fontId="5" numFmtId="0" xfId="0">
      <alignment horizontal="left" vertical="center" wrapText="true"/>
    </xf>
    <xf applyAlignment="true" applyBorder="false" applyFill="true" applyFont="true" applyNumberFormat="true" applyProtection="false" borderId="64" fillId="86" fontId="5" numFmtId="287" xfId="0">
      <alignment horizontal="center" vertical="center"/>
    </xf>
    <xf applyAlignment="true" applyBorder="false" applyFill="true" applyFont="true" applyNumberFormat="true" applyProtection="false" borderId="64" fillId="86" fontId="5" numFmtId="288" xfId="0">
      <alignment horizontal="center" vertical="center"/>
    </xf>
    <xf applyAlignment="true" applyBorder="false" applyFill="true" applyFont="true" applyNumberFormat="false" applyProtection="false" borderId="64" fillId="86" fontId="5" numFmtId="0" xfId="0">
      <alignment horizontal="left" vertical="center"/>
    </xf>
    <xf applyAlignment="true" applyBorder="false" applyFill="true" applyFont="true" applyNumberFormat="true" applyProtection="false" borderId="64" fillId="86" fontId="5" numFmtId="289" xfId="0">
      <alignment horizontal="center" vertical="center"/>
    </xf>
    <xf applyAlignment="true" applyBorder="false" applyFill="true" applyFont="true" applyNumberFormat="true" applyProtection="false" borderId="64" fillId="86" fontId="5" numFmtId="285" xfId="0">
      <alignment horizontal="center" vertical="center"/>
    </xf>
    <xf applyAlignment="true" applyBorder="false" applyFill="true" applyFont="true" applyNumberFormat="true" applyProtection="false" borderId="64" fillId="86" fontId="21" numFmtId="290" xfId="0">
      <alignment horizontal="center" vertical="center"/>
    </xf>
    <xf applyAlignment="true" applyBorder="false" applyFill="true" applyFont="true" applyNumberFormat="true" applyProtection="false" borderId="64" fillId="86" fontId="5" numFmtId="290" xfId="0">
      <alignment horizontal="center" vertical="center"/>
    </xf>
    <xf applyAlignment="true" applyBorder="false" applyFill="true" applyFont="true" applyNumberFormat="false" applyProtection="false" borderId="64" fillId="86" fontId="6" numFmtId="0" xfId="0">
      <alignment horizontal="left" vertical="center" wrapText="true"/>
    </xf>
    <xf applyAlignment="true" applyBorder="false" applyFill="true" applyFont="true" applyNumberFormat="false" applyProtection="false" borderId="64" fillId="87" fontId="1" numFmtId="0" xfId="0">
      <alignment horizontal="center" vertical="center"/>
    </xf>
    <xf applyAlignment="true" applyBorder="false" applyFill="false" applyFont="true" applyNumberFormat="false" applyProtection="false" borderId="65" fillId="0" fontId="15" numFmtId="0" xfId="0">
      <alignment horizontal="center" vertical="center"/>
    </xf>
    <xf applyAlignment="true" applyBorder="false" applyFill="false" applyFont="true" applyNumberFormat="false" applyProtection="false" borderId="65" fillId="0" fontId="15" numFmtId="0" xfId="0">
      <alignment horizontal="center" vertical="center" wrapText="true"/>
    </xf>
    <xf applyAlignment="true" applyBorder="false" applyFill="false" applyFont="true" applyNumberFormat="true" applyProtection="false" borderId="66" fillId="0" fontId="15" numFmtId="291" xfId="0">
      <alignment horizontal="center" vertical="center"/>
    </xf>
    <xf applyAlignment="true" applyBorder="false" applyFill="false" applyFont="true" applyNumberFormat="true" applyProtection="false" borderId="67" fillId="0" fontId="15" numFmtId="291" xfId="0">
      <alignment horizontal="center" vertical="center"/>
    </xf>
    <xf applyAlignment="true" applyBorder="false" applyFill="false" applyFont="true" applyNumberFormat="false" applyProtection="false" borderId="65" fillId="0" fontId="7" numFmtId="0" xfId="0">
      <alignment horizontal="center" vertical="center" wrapText="true"/>
    </xf>
    <xf applyAlignment="true" applyBorder="false" applyFill="false" applyFont="true" applyNumberFormat="false" applyProtection="false" borderId="65" fillId="0" fontId="7" numFmtId="0" xfId="0">
      <alignment horizontal="center" vertical="center"/>
    </xf>
    <xf applyAlignment="true" applyBorder="false" applyFill="true" applyFont="true" applyNumberFormat="false" applyProtection="false" borderId="65" fillId="88" fontId="15" numFmtId="0" xfId="0">
      <alignment horizontal="center" vertical="center"/>
    </xf>
    <xf applyAlignment="true" applyBorder="false" applyFill="true" applyFont="true" applyNumberFormat="false" applyProtection="false" borderId="65" fillId="89" fontId="15" numFmtId="0" xfId="0">
      <alignment horizontal="center" vertical="center"/>
    </xf>
    <xf applyAlignment="true" applyBorder="false" applyFill="false" applyFont="true" applyNumberFormat="false" applyProtection="false" borderId="65" fillId="0" fontId="7" numFmtId="0" xfId="0">
      <alignment horizontal="left" vertical="center"/>
    </xf>
    <xf applyAlignment="true" applyBorder="false" applyFill="false" applyFont="true" applyNumberFormat="true" applyProtection="false" borderId="65" fillId="0" fontId="7" numFmtId="291" xfId="0">
      <alignment horizontal="center" vertical="center"/>
    </xf>
    <xf applyAlignment="true" applyBorder="false" applyFill="false" applyFont="true" applyNumberFormat="false" applyProtection="false" borderId="65" fillId="0" fontId="5" numFmtId="0" xfId="0">
      <alignment horizontal="center" vertical="center"/>
    </xf>
    <xf applyAlignment="true" applyBorder="false" applyFill="false" applyFont="true" applyNumberFormat="false" applyProtection="false" borderId="65" fillId="0" fontId="7" numFmtId="0" xfId="0">
      <alignment vertical="bottom"/>
    </xf>
    <xf applyAlignment="true" applyBorder="false" applyFill="false" applyFont="true" applyNumberFormat="false" applyProtection="false" borderId="65" fillId="0" fontId="7" numFmtId="0" xfId="0">
      <alignment vertical="center"/>
    </xf>
    <xf applyAlignment="true" applyBorder="false" applyFill="true" applyFont="true" applyNumberFormat="false" applyProtection="false" borderId="68" fillId="90" fontId="18" numFmtId="0" xfId="0">
      <alignment horizontal="center" vertical="bottom" wrapText="true"/>
    </xf>
    <xf applyAlignment="true" applyBorder="false" applyFill="true" applyFont="true" applyNumberFormat="false" applyProtection="false" borderId="68" fillId="90" fontId="15" numFmtId="0" xfId="0">
      <alignment horizontal="center" vertical="bottom" wrapText="true"/>
    </xf>
    <xf applyAlignment="true" applyBorder="false" applyFill="false" applyFont="true" applyNumberFormat="false" applyProtection="false" borderId="69" fillId="0" fontId="15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7" numFmtId="292" xfId="0">
      <alignment vertical="bottom"/>
    </xf>
    <xf applyAlignment="true" applyBorder="false" applyFill="false" applyFont="true" applyNumberFormat="false" applyProtection="false" borderId="0" fillId="0" fontId="35" numFmtId="0" xfId="0">
      <alignment vertical="bottom"/>
    </xf>
    <xf applyAlignment="true" applyBorder="false" applyFill="true" applyFont="true" applyNumberFormat="false" applyProtection="false" borderId="70" fillId="91" fontId="18" numFmtId="0" xfId="0">
      <alignment horizontal="center" vertical="bottom" wrapText="true"/>
    </xf>
    <xf applyAlignment="true" applyBorder="false" applyFill="true" applyFont="true" applyNumberFormat="false" applyProtection="false" borderId="70" fillId="91" fontId="15" numFmtId="0" xfId="0">
      <alignment horizontal="center" vertical="bottom" wrapText="true"/>
    </xf>
    <xf applyAlignment="true" applyBorder="false" applyFill="false" applyFont="true" applyNumberFormat="false" applyProtection="false" borderId="71" fillId="0" fontId="15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293" xfId="0">
      <alignment vertical="center"/>
    </xf>
    <xf applyAlignment="true" applyBorder="false" applyFill="true" applyFont="true" applyNumberFormat="false" applyProtection="false" borderId="72" fillId="92" fontId="18" numFmtId="0" xfId="0">
      <alignment horizontal="center" vertical="bottom" wrapText="true"/>
    </xf>
    <xf applyAlignment="true" applyBorder="false" applyFill="true" applyFont="true" applyNumberFormat="false" applyProtection="false" borderId="72" fillId="92" fontId="15" numFmtId="0" xfId="0">
      <alignment horizontal="center" vertical="bottom" wrapText="true"/>
    </xf>
    <xf applyAlignment="true" applyBorder="false" applyFill="false" applyFont="true" applyNumberFormat="false" applyProtection="false" borderId="73" fillId="0" fontId="15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294" xfId="0">
      <alignment vertical="center" wrapText="true"/>
    </xf>
    <xf applyAlignment="true" applyBorder="false" applyFill="true" applyFont="true" applyNumberFormat="false" applyProtection="false" borderId="74" fillId="93" fontId="18" numFmtId="0" xfId="0">
      <alignment horizontal="center" vertical="bottom" wrapText="true"/>
    </xf>
    <xf applyAlignment="true" applyBorder="false" applyFill="true" applyFont="true" applyNumberFormat="false" applyProtection="false" borderId="74" fillId="93" fontId="15" numFmtId="0" xfId="0">
      <alignment horizontal="center" vertical="bottom" wrapText="true"/>
    </xf>
    <xf applyAlignment="true" applyBorder="false" applyFill="false" applyFont="true" applyNumberFormat="false" applyProtection="false" borderId="75" fillId="0" fontId="15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295" xfId="0">
      <alignment vertical="center" wrapText="true"/>
    </xf>
    <xf applyAlignment="true" applyBorder="false" applyFill="false" applyFont="true" applyNumberFormat="true" applyProtection="false" borderId="0" fillId="0" fontId="7" numFmtId="295" xfId="0">
      <alignment vertical="bottom"/>
    </xf>
    <xf applyAlignment="true" applyBorder="false" applyFill="true" applyFont="true" applyNumberFormat="false" applyProtection="false" borderId="76" fillId="94" fontId="16" numFmtId="0" xfId="0">
      <alignment horizontal="center" vertical="center" wrapText="true"/>
    </xf>
    <xf applyAlignment="true" applyBorder="false" applyFill="true" applyFont="true" applyNumberFormat="false" applyProtection="false" borderId="76" fillId="94" fontId="16" numFmtId="0" xfId="0">
      <alignment horizontal="center" vertical="center"/>
    </xf>
    <xf applyAlignment="true" applyBorder="false" applyFill="true" applyFont="true" applyNumberFormat="true" applyProtection="false" borderId="76" fillId="94" fontId="15" numFmtId="296" xfId="0">
      <alignment horizontal="center" vertical="center" wrapText="true"/>
    </xf>
    <xf applyAlignment="true" applyBorder="false" applyFill="true" applyFont="true" applyNumberFormat="true" applyProtection="false" borderId="76" fillId="95" fontId="15" numFmtId="297" xfId="0">
      <alignment horizontal="center" vertical="center" wrapText="true"/>
    </xf>
    <xf applyAlignment="true" applyBorder="false" applyFill="true" applyFont="true" applyNumberFormat="true" applyProtection="false" borderId="76" fillId="94" fontId="16" numFmtId="296" xfId="0">
      <alignment horizontal="center" vertical="center" wrapText="true"/>
    </xf>
    <xf applyAlignment="true" applyBorder="false" applyFill="true" applyFont="true" applyNumberFormat="true" applyProtection="false" borderId="76" fillId="94" fontId="16" numFmtId="298" xfId="0">
      <alignment horizontal="center" vertical="center" wrapText="true"/>
    </xf>
    <xf applyAlignment="true" applyBorder="false" applyFill="true" applyFont="true" applyNumberFormat="true" applyProtection="false" borderId="76" fillId="94" fontId="16" numFmtId="297" xfId="0">
      <alignment horizontal="center" vertical="center" wrapText="true"/>
    </xf>
    <xf applyAlignment="true" applyBorder="false" applyFill="true" applyFont="true" applyNumberFormat="true" applyProtection="false" borderId="76" fillId="94" fontId="16" numFmtId="299" xfId="0">
      <alignment horizontal="center" vertical="center" wrapText="true"/>
    </xf>
    <xf applyAlignment="true" applyBorder="false" applyFill="true" applyFont="true" applyNumberFormat="true" applyProtection="false" borderId="76" fillId="95" fontId="16" numFmtId="300" xfId="0">
      <alignment horizontal="center" vertical="center" wrapText="true"/>
    </xf>
    <xf applyAlignment="true" applyBorder="false" applyFill="true" applyFont="true" applyNumberFormat="true" applyProtection="false" borderId="76" fillId="95" fontId="16" numFmtId="296" xfId="0">
      <alignment horizontal="center" vertical="center" wrapText="true"/>
    </xf>
    <xf applyAlignment="true" applyBorder="false" applyFill="true" applyFont="true" applyNumberFormat="false" applyProtection="false" borderId="76" fillId="95" fontId="16" numFmtId="0" xfId="0">
      <alignment horizontal="center" vertical="center" wrapText="true"/>
    </xf>
    <xf applyAlignment="true" applyBorder="false" applyFill="true" applyFont="true" applyNumberFormat="true" applyProtection="false" borderId="76" fillId="95" fontId="15" numFmtId="299" xfId="0">
      <alignment horizontal="center" vertical="center" wrapText="true"/>
    </xf>
    <xf applyAlignment="true" applyBorder="false" applyFill="true" applyFont="true" applyNumberFormat="true" applyProtection="false" borderId="76" fillId="94" fontId="15" numFmtId="299" xfId="0">
      <alignment horizontal="center" vertical="center" wrapText="true"/>
    </xf>
    <xf applyAlignment="true" applyBorder="false" applyFill="true" applyFont="true" applyNumberFormat="true" applyProtection="false" borderId="76" fillId="94" fontId="15" numFmtId="301" xfId="0">
      <alignment horizontal="center" vertical="center" wrapText="true"/>
    </xf>
    <xf applyAlignment="true" applyBorder="false" applyFill="true" applyFont="true" applyNumberFormat="true" applyProtection="false" borderId="76" fillId="95" fontId="16" numFmtId="297" xfId="0">
      <alignment horizontal="center" vertical="center" wrapText="true"/>
    </xf>
    <xf applyAlignment="true" applyBorder="false" applyFill="true" applyFont="true" applyNumberFormat="false" applyProtection="false" borderId="76" fillId="94" fontId="16" numFmtId="0" xfId="0">
      <alignment horizontal="left" vertical="center" wrapText="true"/>
    </xf>
    <xf applyAlignment="true" applyBorder="false" applyFill="true" applyFont="true" applyNumberFormat="false" applyProtection="false" borderId="76" fillId="94" fontId="15" numFmtId="0" xfId="0">
      <alignment horizontal="center" vertical="center" wrapText="true"/>
    </xf>
    <xf applyAlignment="true" applyBorder="false" applyFill="true" applyFont="true" applyNumberFormat="false" applyProtection="false" borderId="76" fillId="94" fontId="7" numFmtId="0" xfId="0">
      <alignment horizontal="center" vertical="center"/>
    </xf>
    <xf applyAlignment="true" applyBorder="false" applyFill="false" applyFont="true" applyNumberFormat="false" applyProtection="false" borderId="76" fillId="0" fontId="7" numFmtId="0" xfId="0">
      <alignment horizontal="center" vertical="center"/>
    </xf>
    <xf applyAlignment="true" applyBorder="false" applyFill="true" applyFont="true" applyNumberFormat="false" applyProtection="false" borderId="76" fillId="96" fontId="7" numFmtId="0" xfId="0">
      <alignment horizontal="left" vertical="bottom" wrapText="true"/>
    </xf>
    <xf applyAlignment="true" applyBorder="false" applyFill="false" applyFont="true" applyNumberFormat="false" applyProtection="false" borderId="77" fillId="0" fontId="7" numFmtId="0" xfId="0">
      <alignment horizontal="center" vertical="bottom"/>
    </xf>
    <xf applyAlignment="true" applyBorder="false" applyFill="false" applyFont="true" applyNumberFormat="true" applyProtection="false" borderId="76" fillId="0" fontId="7" numFmtId="296" xfId="0">
      <alignment horizontal="center" vertical="center"/>
    </xf>
    <xf applyAlignment="true" applyBorder="false" applyFill="false" applyFont="true" applyNumberFormat="true" applyProtection="false" borderId="76" fillId="0" fontId="7" numFmtId="298" xfId="0">
      <alignment horizontal="center" vertical="center"/>
    </xf>
    <xf applyAlignment="true" applyBorder="false" applyFill="false" applyFont="true" applyNumberFormat="true" applyProtection="false" borderId="76" fillId="0" fontId="7" numFmtId="297" xfId="0">
      <alignment horizontal="center" vertical="center"/>
    </xf>
    <xf applyAlignment="true" applyBorder="false" applyFill="true" applyFont="true" applyNumberFormat="true" applyProtection="false" borderId="76" fillId="95" fontId="7" numFmtId="299" xfId="0">
      <alignment horizontal="center" vertical="center"/>
    </xf>
    <xf applyAlignment="true" applyBorder="false" applyFill="false" applyFont="true" applyNumberFormat="true" applyProtection="false" borderId="76" fillId="0" fontId="7" numFmtId="302" xfId="0">
      <alignment horizontal="center" vertical="center"/>
    </xf>
    <xf applyAlignment="true" applyBorder="false" applyFill="false" applyFont="true" applyNumberFormat="true" applyProtection="false" borderId="76" fillId="0" fontId="7" numFmtId="301" xfId="0">
      <alignment horizontal="center" vertical="center"/>
    </xf>
    <xf applyAlignment="true" applyBorder="false" applyFill="false" applyFont="true" applyNumberFormat="true" applyProtection="false" borderId="76" fillId="0" fontId="7" numFmtId="299" xfId="0">
      <alignment horizontal="center" vertical="center"/>
    </xf>
    <xf applyAlignment="true" applyBorder="false" applyFill="false" applyFont="true" applyNumberFormat="true" applyProtection="false" borderId="76" fillId="0" fontId="17" numFmtId="303" xfId="0">
      <alignment horizontal="center" vertical="center" wrapText="true"/>
    </xf>
    <xf applyAlignment="true" applyBorder="false" applyFill="false" applyFont="true" applyNumberFormat="true" applyProtection="false" borderId="76" fillId="0" fontId="7" numFmtId="304" xfId="0">
      <alignment horizontal="center" vertical="center"/>
    </xf>
    <xf applyAlignment="true" applyBorder="false" applyFill="false" applyFont="true" applyNumberFormat="false" applyProtection="false" borderId="76" fillId="0" fontId="15" numFmtId="0" xfId="0">
      <alignment horizontal="center" vertical="center"/>
    </xf>
    <xf applyAlignment="true" applyBorder="false" applyFill="false" applyFont="true" applyNumberFormat="false" applyProtection="false" borderId="76" fillId="0" fontId="7" numFmtId="0" xfId="0">
      <alignment vertical="bottom"/>
    </xf>
    <xf applyAlignment="true" applyBorder="false" applyFill="false" applyFont="true" applyNumberFormat="false" applyProtection="false" borderId="76" fillId="0" fontId="7" numFmtId="0" xfId="0">
      <alignment horizontal="left" vertical="bottom" wrapText="true"/>
    </xf>
    <xf applyAlignment="true" applyBorder="false" applyFill="false" applyFont="true" applyNumberFormat="true" applyProtection="false" borderId="77" fillId="0" fontId="7" numFmtId="304" xfId="0">
      <alignment horizontal="center" vertical="bottom"/>
    </xf>
    <xf applyAlignment="true" applyBorder="false" applyFill="true" applyFont="true" applyNumberFormat="true" applyProtection="false" borderId="76" fillId="97" fontId="7" numFmtId="296" xfId="0">
      <alignment horizontal="center" vertical="center"/>
    </xf>
    <xf applyAlignment="true" applyBorder="false" applyFill="false" applyFont="true" applyNumberFormat="true" applyProtection="false" borderId="76" fillId="0" fontId="7" numFmtId="297" xfId="0">
      <alignment horizontal="center" vertical="center" wrapText="true"/>
    </xf>
    <xf applyAlignment="true" applyBorder="false" applyFill="false" applyFont="true" applyNumberFormat="true" applyProtection="false" borderId="76" fillId="0" fontId="7" numFmtId="30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15" numFmtId="0" xfId="0">
      <alignment vertical="bottom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0" fillId="0" fontId="15" numFmtId="306" xfId="0">
      <alignment horizontal="center" vertical="center"/>
    </xf>
    <xf applyAlignment="true" applyBorder="false" applyFill="false" applyFont="true" applyNumberFormat="true" applyProtection="false" borderId="0" fillId="0" fontId="15" numFmtId="307" xfId="0">
      <alignment horizontal="center" vertical="center"/>
    </xf>
    <xf applyAlignment="true" applyBorder="false" applyFill="false" applyFont="true" applyNumberFormat="true" applyProtection="false" borderId="0" fillId="0" fontId="15" numFmtId="308" xfId="0">
      <alignment horizontal="center" vertical="center"/>
    </xf>
    <xf applyAlignment="true" applyBorder="false" applyFill="true" applyFont="true" applyNumberFormat="true" applyProtection="false" borderId="0" fillId="98" fontId="15" numFmtId="306" xfId="0">
      <alignment horizontal="center" vertical="center"/>
    </xf>
    <xf applyAlignment="true" applyBorder="false" applyFill="false" applyFont="true" applyNumberFormat="true" applyProtection="false" borderId="0" fillId="0" fontId="15" numFmtId="309" xfId="0">
      <alignment horizontal="center" vertical="center"/>
    </xf>
    <xf applyAlignment="true" applyBorder="false" applyFill="true" applyFont="true" applyNumberFormat="false" applyProtection="false" borderId="0" fillId="99" fontId="15" numFmtId="0" xfId="0">
      <alignment horizontal="center" vertical="center"/>
    </xf>
    <xf applyAlignment="true" applyBorder="false" applyFill="false" applyFont="true" applyNumberFormat="true" applyProtection="false" borderId="0" fillId="0" fontId="15" numFmtId="31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306" xfId="0">
      <alignment horizontal="center" vertical="center"/>
    </xf>
    <xf applyAlignment="true" applyBorder="false" applyFill="true" applyFont="true" applyNumberFormat="false" applyProtection="false" borderId="0" fillId="99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311" xfId="0">
      <alignment horizontal="center" vertical="center"/>
    </xf>
    <xf applyAlignment="true" applyBorder="false" applyFill="false" applyFont="true" applyNumberFormat="true" applyProtection="false" borderId="0" fillId="0" fontId="5" numFmtId="307" xfId="0">
      <alignment horizontal="center" vertical="center"/>
    </xf>
    <xf applyAlignment="true" applyBorder="false" applyFill="false" applyFont="true" applyNumberFormat="true" applyProtection="false" borderId="0" fillId="0" fontId="5" numFmtId="308" xfId="0">
      <alignment horizontal="center" vertical="center"/>
    </xf>
    <xf applyAlignment="true" applyBorder="false" applyFill="true" applyFont="true" applyNumberFormat="true" applyProtection="false" borderId="0" fillId="98" fontId="5" numFmtId="306" xfId="0">
      <alignment horizontal="center" vertical="center"/>
    </xf>
    <xf applyAlignment="true" applyBorder="false" applyFill="false" applyFont="true" applyNumberFormat="true" applyProtection="false" borderId="0" fillId="0" fontId="5" numFmtId="309" xfId="0">
      <alignment horizontal="center" vertical="center"/>
    </xf>
    <xf applyAlignment="true" applyBorder="false" applyFill="false" applyFont="true" applyNumberFormat="true" applyProtection="false" borderId="0" fillId="0" fontId="5" numFmtId="310" xfId="0">
      <alignment horizontal="center" vertical="center"/>
    </xf>
    <xf applyAlignment="true" applyBorder="false" applyFill="true" applyFont="true" applyNumberFormat="false" applyProtection="false" borderId="0" fillId="100" fontId="5" numFmtId="0" xfId="0">
      <alignment vertical="bottom"/>
    </xf>
    <xf applyAlignment="true" applyBorder="false" applyFill="true" applyFont="true" applyNumberFormat="true" applyProtection="false" borderId="0" fillId="99" fontId="5" numFmtId="312" xfId="0">
      <alignment horizontal="center" vertical="center"/>
    </xf>
    <xf applyAlignment="true" applyBorder="false" applyFill="false" applyFont="true" applyNumberFormat="true" applyProtection="false" borderId="0" fillId="0" fontId="5" numFmtId="312" xfId="0">
      <alignment horizontal="center" vertical="center"/>
    </xf>
    <xf applyAlignment="true" applyBorder="false" applyFill="true" applyFont="true" applyNumberFormat="false" applyProtection="false" borderId="0" fillId="98" fontId="5" numFmtId="0" xfId="0">
      <alignment vertical="bottom"/>
    </xf>
    <xf applyAlignment="true" applyBorder="false" applyFill="true" applyFont="true" applyNumberFormat="false" applyProtection="false" borderId="0" fillId="101" fontId="18" numFmtId="0" xfId="0">
      <alignment horizontal="center" vertical="center"/>
    </xf>
    <xf applyAlignment="true" applyBorder="false" applyFill="true" applyFont="true" applyNumberFormat="true" applyProtection="false" borderId="0" fillId="101" fontId="18" numFmtId="313" xfId="0">
      <alignment horizontal="center" vertical="center"/>
    </xf>
  </cellXfs>
  <cellStyles count="1">
    <cellStyle builtinId="0" name="Normal" xfId="0"/>
  </cellStyles>
  <dxfs count="285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Relationship Id="rId30" Target="worksheets/sheet27.xml" Type="http://schemas.openxmlformats.org/officeDocument/2006/relationships/worksheet"></Relationship><Relationship Id="rId31" Target="worksheets/sheet28.xml" Type="http://schemas.openxmlformats.org/officeDocument/2006/relationships/worksheet"></Relationship><Relationship Id="rId32" Target="worksheets/sheet29.xml" Type="http://schemas.openxmlformats.org/officeDocument/2006/relationships/worksheet"></Relationship><Relationship Id="rId33" Target="worksheets/sheet30.xml" Type="http://schemas.openxmlformats.org/officeDocument/2006/relationships/worksheet"></Relationship><Relationship Id="rId34" Target="worksheets/sheet31.xml" Type="http://schemas.openxmlformats.org/officeDocument/2006/relationships/worksheet"></Relationship><Relationship Id="rId35" Target="worksheets/sheet3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15</xdr:col>
      <xdr:colOff>1057275</xdr:colOff>
      <xdr:row>19</xdr:row>
      <xdr:rowOff>47625</xdr:rowOff>
    </xdr:from>
    <xdr:to>
      <xdr:col>24</xdr:col>
      <xdr:colOff>809625</xdr:colOff>
      <xdr:row>25</xdr:row>
      <xdr:rowOff>323850</xdr:rowOff>
    </xdr:to>
    <xdr:pic>
      <xdr:nvPicPr>
        <xdr:cNvPr id="2" name="Picture 2" descr="ORIrs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857250</xdr:colOff>
      <xdr:row>29</xdr:row>
      <xdr:rowOff>161925</xdr:rowOff>
    </xdr:from>
    <xdr:to>
      <xdr:col>35</xdr:col>
      <xdr:colOff>0</xdr:colOff>
      <xdr:row>53</xdr:row>
      <xdr:rowOff>133350</xdr:rowOff>
    </xdr:to>
    <xdr:pic>
      <xdr:nvPicPr>
        <xdr:cNvPr id="3" name="Picture 3" descr="TEjWY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409575</xdr:colOff>
      <xdr:row>26</xdr:row>
      <xdr:rowOff>9525</xdr:rowOff>
    </xdr:from>
    <xdr:to>
      <xdr:col>25</xdr:col>
      <xdr:colOff>752475</xdr:colOff>
      <xdr:row>28</xdr:row>
      <xdr:rowOff>76200</xdr:rowOff>
    </xdr:to>
    <xdr:pic>
      <xdr:nvPicPr>
        <xdr:cNvPr id="4" name="Picture 4" descr="MDBkK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18</xdr:row>
      <xdr:rowOff>104775</xdr:rowOff>
    </xdr:from>
    <xdr:to>
      <xdr:col>30</xdr:col>
      <xdr:colOff>371475</xdr:colOff>
      <xdr:row>46</xdr:row>
      <xdr:rowOff>66675</xdr:rowOff>
    </xdr:to>
    <xdr:pic>
      <xdr:nvPicPr>
        <xdr:cNvPr id="2" name="Picture 2" descr="VrEuC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drawings/drawing1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https://www.amazon.de/-/en/gp/customer-reviews/R2TXX03FE6F4KN/ref=cm_cr_arp_d_rvw_ttl?ie=UTF8&amp;ASIN=B0F1F7J8V3" Type="http://schemas.openxmlformats.org/officeDocument/2006/relationships/hyperlink" TargetMode="External"></Relationship></Relationships>
</file>

<file path=xl/worksheets/_rels/sheet7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/Relationships>
</file>

<file path=xl/worksheets/_rels/sheet8.xml.rels><?xml version="1.0" encoding="UTF-8" standalone="yes"?>
<Relationships xmlns="http://schemas.openxmlformats.org/package/2006/relationships"><Relationship Id="rId1" Target="../drawings/vmlDrawing4.vml" Type="http://schemas.openxmlformats.org/officeDocument/2006/relationships/vmlDrawing"></Relationship><Relationship Id="rId2" Target="../comments4.xml" Type="http://schemas.openxmlformats.org/officeDocument/2006/relationships/comments"></Relationship></Relationships>
</file>

<file path=xl/worksheets/_rels/sheet14.xml.rels><?xml version="1.0" encoding="UTF-8" standalone="yes"?>
<Relationships xmlns="http://schemas.openxmlformats.org/package/2006/relationships"><Relationship Id="rId1" Target="../drawings/vmlDrawing5.vml" Type="http://schemas.openxmlformats.org/officeDocument/2006/relationships/vmlDrawing"></Relationship><Relationship Id="rId2" Target="../comments5.xml" Type="http://schemas.openxmlformats.org/officeDocument/2006/relationships/comments"></Relationship></Relationships>
</file>

<file path=xl/worksheets/_rels/sheet17.xml.rels><?xml version="1.0" encoding="UTF-8" standalone="yes"?>
<Relationships xmlns="http://schemas.openxmlformats.org/package/2006/relationships"><Relationship Id="rId1" Target="../drawings/vmlDrawing6.vml" Type="http://schemas.openxmlformats.org/officeDocument/2006/relationships/vmlDrawing"></Relationship><Relationship Id="rId2" Target="../comments6.xml" Type="http://schemas.openxmlformats.org/officeDocument/2006/relationships/comments"></Relationship></Relationships>
</file>

<file path=xl/worksheets/_rels/sheet2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26.xml.rels><?xml version="1.0" encoding="UTF-8" standalone="yes"?>
<Relationships xmlns="http://schemas.openxmlformats.org/package/2006/relationships"><Relationship Id="rId1" Target="../drawings/vmlDrawing7.vml" Type="http://schemas.openxmlformats.org/officeDocument/2006/relationships/vmlDrawing"></Relationship><Relationship Id="rId2" Target="../comments7.xml" Type="http://schemas.openxmlformats.org/officeDocument/2006/relationships/comments"></Relationship></Relationships>
</file>

<file path=xl/worksheets/_rels/sheet27.xml.rels><?xml version="1.0" encoding="UTF-8" standalone="yes"?>
<Relationships xmlns="http://schemas.openxmlformats.org/package/2006/relationships"><Relationship Id="rId1" Target="../drawings/vmlDrawing8.vml" Type="http://schemas.openxmlformats.org/officeDocument/2006/relationships/vmlDrawing"></Relationship><Relationship Id="rId2" Target="../comments8.xml" Type="http://schemas.openxmlformats.org/officeDocument/2006/relationships/comments"></Relationship></Relationships>
</file>

<file path=xl/worksheets/_rels/sheet28.xml.rels><?xml version="1.0" encoding="UTF-8" standalone="yes"?>
<Relationships xmlns="http://schemas.openxmlformats.org/package/2006/relationships"><Relationship Id="rId1" Target="../drawings/vmlDrawing9.vml" Type="http://schemas.openxmlformats.org/officeDocument/2006/relationships/vmlDrawing"></Relationship><Relationship Id="rId2" Target="../comments9.xml" Type="http://schemas.openxmlformats.org/officeDocument/2006/relationships/comments"></Relationship></Relationships>
</file>

<file path=xl/worksheets/_rels/sheet29.xml.rels><?xml version="1.0" encoding="UTF-8" standalone="yes"?>
<Relationships xmlns="http://schemas.openxmlformats.org/package/2006/relationships"><Relationship Id="rId1" Target="../drawings/vmlDrawing10.vml" Type="http://schemas.openxmlformats.org/officeDocument/2006/relationships/vmlDrawing"></Relationship><Relationship Id="rId2" Target="../comments10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tabSelected="true" workbookViewId="0">
      <pane state="frozen" topLeftCell="E3" xSplit="4" ySplit="2"/>
    </sheetView>
  </sheetViews>
  <sheetFormatPr defaultRowHeight="16"/>
  <cols>
    <col collapsed="false" customWidth="true" hidden="false" max="46" min="46" style="0" width="12.333333333333334"/>
    <col collapsed="false" customWidth="true" hidden="false" max="62" min="62" style="0" width="12.333333333333334"/>
    <col collapsed="false" customWidth="true" hidden="false" max="13" min="13" style="0" width="9"/>
    <col collapsed="false" customWidth="true" hidden="false" max="30" min="30" style="0" width="10.733333333333333"/>
    <col collapsed="false" customWidth="true" hidden="false" max="35" min="35" style="0" width="10.733333333333333"/>
    <col collapsed="false" customWidth="true" hidden="false" max="51" min="51" style="0" width="14.066666666666666"/>
    <col collapsed="false" customWidth="true" hidden="false" max="14" min="14" style="0" width="12.333333333333334"/>
    <col collapsed="false" customWidth="true" hidden="false" max="19" min="19" style="0" width="12.333333333333334"/>
    <col collapsed="false" customWidth="true" hidden="false" max="36" min="36" style="0" width="10.733333333333333"/>
    <col collapsed="false" customWidth="true" hidden="false" max="52" min="52" style="0" width="14.066666666666666"/>
    <col collapsed="false" customWidth="true" hidden="false" max="67" min="67" style="0" width="12.333333333333334"/>
    <col collapsed="false" customWidth="true" hidden="false" max="3" min="3" style="0" width="23.4"/>
    <col collapsed="false" customWidth="true" hidden="false" max="20" min="20" style="0" width="12.333333333333334"/>
    <col collapsed="false" customWidth="true" hidden="false" max="33" min="33" style="0" width="10.733333333333333"/>
    <col collapsed="false" customWidth="true" hidden="false" max="49" min="49" style="0" width="12.333333333333334"/>
    <col collapsed="false" customWidth="true" hidden="false" max="68" min="68" style="0" width="12.333333333333334"/>
    <col collapsed="false" customWidth="true" hidden="false" max="4" min="4" style="0" width="12.333333333333334"/>
    <col collapsed="false" customWidth="true" hidden="false" max="17" min="17" style="0" width="12.333333333333334"/>
    <col collapsed="false" customWidth="true" hidden="false" max="34" min="34" style="0" width="10.733333333333333"/>
    <col collapsed="false" customWidth="true" hidden="false" max="50" min="50" style="0" width="12.333333333333334"/>
    <col collapsed="false" customWidth="true" hidden="false" max="65" min="65" style="0" width="12.333333333333334"/>
    <col collapsed="false" customWidth="true" hidden="false" max="1" min="1" style="0" width="14.066666666666666"/>
    <col collapsed="false" customWidth="true" hidden="false" max="18" min="18" style="0" width="12.333333333333334"/>
    <col collapsed="false" customWidth="true" hidden="false" max="23" min="23" style="0" width="10.733333333333333"/>
    <col collapsed="false" customWidth="true" hidden="false" max="39" min="39" style="0" width="10.733333333333333"/>
    <col collapsed="false" customWidth="true" hidden="false" max="55" min="55" style="0" width="15.8"/>
    <col collapsed="false" customWidth="true" hidden="false" max="66" min="66" style="0" width="15.8"/>
    <col collapsed="false" customWidth="true" hidden="false" max="2" min="2" style="0" width="10.733333333333333"/>
    <col collapsed="false" customWidth="true" hidden="false" max="7" min="7" style="0" width="9"/>
    <col collapsed="false" customWidth="true" hidden="false" max="40" min="40" style="0" width="10.733333333333333"/>
    <col collapsed="false" customWidth="true" hidden="false" max="56" min="56" style="0" width="12.333333333333334"/>
    <col collapsed="false" customWidth="true" hidden="false" max="8" min="8" style="0" width="12.333333333333334"/>
    <col collapsed="false" customWidth="true" hidden="false" max="24" min="24" style="0" width="14.066666666666666"/>
    <col collapsed="false" customWidth="true" hidden="false" max="37" min="37" style="0" width="10.733333333333333"/>
    <col collapsed="false" customWidth="true" hidden="false" max="53" min="53" style="0" width="15.8"/>
    <col collapsed="false" customWidth="true" hidden="false" max="5" min="5" style="0" width="3.1979797979797997"/>
    <col collapsed="false" customWidth="true" hidden="false" max="21" min="21" style="0" width="9"/>
    <col collapsed="false" customWidth="true" hidden="false" max="38" min="38" style="0" width="10.733333333333333"/>
    <col collapsed="false" customWidth="true" hidden="false" max="54" min="54" style="0" width="15.8"/>
    <col collapsed="false" customWidth="true" hidden="false" max="69" min="69" style="0" width="83.26666666666667"/>
    <col collapsed="false" customWidth="true" hidden="false" max="6" min="6" style="0" width="9"/>
    <col collapsed="false" customWidth="true" hidden="false" max="22" min="22" style="0" width="10.733333333333333"/>
    <col collapsed="false" customWidth="true" hidden="false" max="59" min="59" style="0" width="12.333333333333334"/>
    <col collapsed="false" customWidth="true" hidden="false" max="27" min="27" style="0" width="10.733333333333333"/>
    <col collapsed="false" customWidth="true" hidden="false" max="43" min="43" style="0" width="10.733333333333333"/>
    <col collapsed="false" customWidth="true" hidden="false" max="44" min="44" style="0" width="10.733333333333333"/>
    <col collapsed="false" customWidth="true" hidden="false" max="60" min="60" style="0" width="12.333333333333334"/>
    <col collapsed="false" customWidth="true" hidden="false" max="11" min="11" style="0" width="9"/>
    <col collapsed="false" customWidth="true" hidden="false" max="28" min="28" style="0" width="10.733333333333333"/>
    <col collapsed="false" customWidth="true" hidden="false" max="41" min="41" style="0" width="10.733333333333333"/>
    <col collapsed="false" customWidth="true" hidden="false" max="57" min="57" style="0" width="15.8"/>
    <col collapsed="false" customWidth="true" hidden="false" max="12" min="12" style="0" width="9"/>
    <col collapsed="false" customWidth="true" hidden="false" max="25" min="25" style="0" width="10.733333333333333"/>
    <col collapsed="false" customWidth="true" hidden="false" max="42" min="42" style="0" width="10.733333333333333"/>
    <col collapsed="false" customWidth="true" hidden="false" max="58" min="58" style="0" width="14.066666666666666"/>
    <col collapsed="false" customWidth="true" hidden="false" max="9" min="9" style="0" width="1.1535353535353654"/>
    <col collapsed="false" customWidth="true" hidden="false" max="26" min="26" style="0" width="10.733333333333333"/>
    <col collapsed="false" customWidth="true" hidden="false" max="47" min="47" style="0" width="12.333333333333334"/>
    <col collapsed="false" customWidth="true" hidden="false" max="63" min="63" style="0" width="12.333333333333334"/>
    <col collapsed="false" customWidth="true" hidden="false" max="10" min="10" style="0" width="1.0646464646464817"/>
    <col collapsed="false" customWidth="true" hidden="false" max="31" min="31" style="0" width="10.733333333333333"/>
    <col collapsed="false" customWidth="true" hidden="false" max="48" min="48" style="0" width="12.333333333333334"/>
    <col collapsed="false" customWidth="true" hidden="false" max="64" min="64" style="0" width="12.333333333333334"/>
    <col collapsed="false" customWidth="true" hidden="false" max="15" min="15" style="0" width="12.333333333333334"/>
    <col collapsed="false" customWidth="true" hidden="false" max="32" min="32" style="0" width="10.733333333333333"/>
    <col collapsed="false" customWidth="true" hidden="false" max="45" min="45" style="0" width="12.333333333333334"/>
    <col collapsed="false" customWidth="true" hidden="false" max="61" min="61" style="0" width="12.333333333333334"/>
    <col collapsed="false" customWidth="true" hidden="false" max="16" min="16" style="0" width="10.733333333333333"/>
    <col collapsed="false" customWidth="true" hidden="false" max="29" min="29" style="0" width="10.733333333333333"/>
  </cols>
  <sheetData>
    <row customHeight="true" ht="22.22222222222222" r="1">
      <c r="A1" s="1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5" t="s">
        <v>6</v>
      </c>
      <c r="G1" s="4" t="s">
        <v>7</v>
      </c>
      <c r="H1" s="6" t="s">
        <v>8</v>
      </c>
      <c r="I1" s="7" t="s">
        <v>9</v>
      </c>
      <c r="J1" s="8" t="s">
        <v>10</v>
      </c>
      <c r="K1" s="9" t="s">
        <v>11</v>
      </c>
      <c r="L1" s="9" t="s">
        <v>12</v>
      </c>
      <c r="M1" s="9" t="s">
        <v>13</v>
      </c>
      <c r="N1" s="10" t="s">
        <v>14</v>
      </c>
      <c r="O1" s="11" t="s">
        <v>15</v>
      </c>
      <c r="P1" s="11" t="s">
        <v>16</v>
      </c>
      <c r="Q1" s="9" t="s">
        <v>17</v>
      </c>
      <c r="R1" s="4" t="s">
        <v>18</v>
      </c>
      <c r="S1" s="4" t="s">
        <v>19</v>
      </c>
      <c r="T1" s="12" t="s">
        <v>20</v>
      </c>
      <c r="U1" s="12" t="s">
        <v>21</v>
      </c>
      <c r="V1" s="13" t="s">
        <v>22</v>
      </c>
      <c r="W1" s="14" t="s">
        <v>23</v>
      </c>
      <c r="X1" s="15" t="s">
        <v>24</v>
      </c>
      <c r="Y1" s="4" t="s">
        <v>25</v>
      </c>
      <c r="Z1" s="4"/>
      <c r="AA1" s="4"/>
      <c r="AB1" s="4"/>
      <c r="AC1" s="4"/>
      <c r="AD1" s="4"/>
      <c r="AE1" s="4"/>
      <c r="AF1" s="4"/>
      <c r="AG1" s="9" t="s">
        <v>26</v>
      </c>
      <c r="AH1" s="16" t="s">
        <v>27</v>
      </c>
      <c r="AI1" s="17" t="s">
        <v>28</v>
      </c>
      <c r="AJ1" s="16" t="s">
        <v>29</v>
      </c>
      <c r="AK1" s="16" t="s">
        <v>30</v>
      </c>
      <c r="AL1" s="18" t="s">
        <v>31</v>
      </c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9"/>
      <c r="AY1" s="20"/>
      <c r="AZ1" s="21" t="s">
        <v>32</v>
      </c>
      <c r="BA1" s="21"/>
      <c r="BB1" s="21"/>
      <c r="BC1" s="21"/>
      <c r="BD1" s="21"/>
      <c r="BE1" s="21"/>
      <c r="BF1" s="21"/>
      <c r="BG1" s="22" t="s">
        <v>33</v>
      </c>
      <c r="BH1" s="22"/>
      <c r="BI1" s="22"/>
      <c r="BJ1" s="22"/>
      <c r="BK1" s="22"/>
      <c r="BL1" s="23"/>
      <c r="BM1" s="24" t="s">
        <v>34</v>
      </c>
      <c r="BN1" s="25"/>
      <c r="BO1" s="24"/>
      <c r="BP1" s="24"/>
      <c r="BQ1" s="25"/>
    </row>
    <row customHeight="true" ht="32.59259259259259" r="2">
      <c r="A2" s="1"/>
      <c r="B2" s="2"/>
      <c r="C2" s="3"/>
      <c r="D2" s="4"/>
      <c r="E2" s="5"/>
      <c r="F2" s="5"/>
      <c r="G2" s="4"/>
      <c r="H2" s="6"/>
      <c r="I2" s="7"/>
      <c r="J2" s="8"/>
      <c r="K2" s="9"/>
      <c r="L2" s="9"/>
      <c r="M2" s="9"/>
      <c r="N2" s="10"/>
      <c r="O2" s="11"/>
      <c r="P2" s="11"/>
      <c r="Q2" s="9"/>
      <c r="R2" s="4"/>
      <c r="S2" s="4"/>
      <c r="T2" s="12"/>
      <c r="U2" s="12"/>
      <c r="V2" s="13"/>
      <c r="W2" s="14"/>
      <c r="X2" s="15"/>
      <c r="Y2" s="4" t="s">
        <v>35</v>
      </c>
      <c r="Z2" s="4"/>
      <c r="AA2" s="4" t="s">
        <v>36</v>
      </c>
      <c r="AB2" s="4"/>
      <c r="AC2" s="4" t="s">
        <v>37</v>
      </c>
      <c r="AD2" s="4"/>
      <c r="AE2" s="4" t="s">
        <v>38</v>
      </c>
      <c r="AF2" s="4"/>
      <c r="AG2" s="9"/>
      <c r="AH2" s="16"/>
      <c r="AI2" s="17"/>
      <c r="AJ2" s="16"/>
      <c r="AK2" s="16"/>
      <c r="AL2" s="26" t="s">
        <v>39</v>
      </c>
      <c r="AM2" s="26" t="s">
        <v>40</v>
      </c>
      <c r="AN2" s="27" t="s">
        <v>41</v>
      </c>
      <c r="AO2" s="26" t="s">
        <v>42</v>
      </c>
      <c r="AP2" s="28" t="s">
        <v>43</v>
      </c>
      <c r="AQ2" s="27" t="s">
        <v>44</v>
      </c>
      <c r="AR2" s="29" t="s">
        <v>45</v>
      </c>
      <c r="AS2" s="29" t="s">
        <v>46</v>
      </c>
      <c r="AT2" s="26" t="s">
        <v>47</v>
      </c>
      <c r="AU2" s="29" t="s">
        <v>48</v>
      </c>
      <c r="AV2" s="30" t="s">
        <v>49</v>
      </c>
      <c r="AW2" s="31" t="s">
        <v>50</v>
      </c>
      <c r="AX2" s="32" t="s">
        <v>51</v>
      </c>
      <c r="AY2" s="33" t="s">
        <v>52</v>
      </c>
      <c r="AZ2" s="34" t="s">
        <v>53</v>
      </c>
      <c r="BA2" s="35" t="s">
        <v>54</v>
      </c>
      <c r="BB2" s="36" t="s">
        <v>55</v>
      </c>
      <c r="BC2" s="37" t="s">
        <v>56</v>
      </c>
      <c r="BD2" s="38" t="s">
        <v>57</v>
      </c>
      <c r="BE2" s="39" t="s">
        <v>58</v>
      </c>
      <c r="BF2" s="40" t="s">
        <v>59</v>
      </c>
      <c r="BG2" s="41" t="s">
        <v>60</v>
      </c>
      <c r="BH2" s="42" t="s">
        <v>61</v>
      </c>
      <c r="BI2" s="43" t="s">
        <v>62</v>
      </c>
      <c r="BJ2" s="44" t="s">
        <v>63</v>
      </c>
      <c r="BK2" s="45" t="s">
        <v>64</v>
      </c>
      <c r="BL2" s="46" t="s">
        <v>65</v>
      </c>
      <c r="BM2" s="47" t="s">
        <v>66</v>
      </c>
      <c r="BN2" s="48" t="s">
        <v>67</v>
      </c>
      <c r="BO2" s="49" t="s">
        <v>68</v>
      </c>
      <c r="BP2" s="49" t="s">
        <v>69</v>
      </c>
      <c r="BQ2" s="48" t="s">
        <v>70</v>
      </c>
    </row>
    <row customHeight="true" ht="13.333333333333332" r="3">
      <c r="A3" s="50">
        <v>45992</v>
      </c>
      <c r="B3" s="51" t="s">
        <v>71</v>
      </c>
      <c r="C3" s="52" t="s">
        <v>72</v>
      </c>
      <c r="D3" s="51">
        <v>54.99</v>
      </c>
      <c r="E3" s="53"/>
      <c r="F3" s="53">
        <v>0</v>
      </c>
      <c r="G3" s="53">
        <v>0</v>
      </c>
      <c r="H3" s="54">
        <v>33.43</v>
      </c>
      <c r="I3" s="53" t="s">
        <v>73</v>
      </c>
      <c r="J3" s="55" t="s">
        <v>73</v>
      </c>
      <c r="K3" s="51">
        <f>'德国ERP数据'!BC2</f>
      </c>
      <c r="L3" s="51">
        <f>'德国ERP数据'!BA2</f>
      </c>
      <c r="M3" s="51">
        <f t="shared" ref="M3:M77" si="2">K3+L3</f>
      </c>
      <c r="N3" s="53">
        <f t="shared" ref="N3:N77" si="4">IFERROR(Q3/M3,0)</f>
      </c>
      <c r="O3" s="56">
        <f t="shared" ref="O3:O77" si="6">P3-AO3</f>
      </c>
      <c r="P3" s="56">
        <f t="shared" ref="P3:P77" si="8">Q3-U3-BH3</f>
      </c>
      <c r="Q3" s="51">
        <f>'德国ERP数据'!R2</f>
      </c>
      <c r="R3" s="4"/>
      <c r="S3" s="4"/>
      <c r="T3" s="51">
        <v>0</v>
      </c>
      <c r="U3" s="51">
        <v>0</v>
      </c>
      <c r="V3" s="53">
        <v>0</v>
      </c>
      <c r="W3" s="51">
        <v>0</v>
      </c>
      <c r="X3" s="57">
        <f>'德国ERP数据'!Q2</f>
      </c>
      <c r="Y3" s="51" t="s">
        <v>74</v>
      </c>
      <c r="Z3" s="51"/>
      <c r="AA3" s="51" t="s">
        <v>74</v>
      </c>
      <c r="AB3" s="51"/>
      <c r="AC3" s="51" t="s">
        <v>74</v>
      </c>
      <c r="AD3" s="51"/>
      <c r="AE3" s="51">
        <v>32</v>
      </c>
      <c r="AF3" s="51"/>
      <c r="AG3" s="51">
        <v>0</v>
      </c>
      <c r="AH3" s="58">
        <v>0</v>
      </c>
      <c r="AI3" s="52">
        <v>0</v>
      </c>
      <c r="AJ3" s="51">
        <v>0</v>
      </c>
      <c r="AK3" s="51">
        <v>5</v>
      </c>
      <c r="AL3" s="59">
        <v>0</v>
      </c>
      <c r="AM3" s="51">
        <v>0</v>
      </c>
      <c r="AN3" s="55">
        <f t="shared" ref="AN3:AN69" si="0">IFERROR(AM3/AL3,0)</f>
      </c>
      <c r="AO3" s="51">
        <v>0</v>
      </c>
      <c r="AP3" s="60">
        <f t="shared" ref="AP3:AP69" si="1">IFERROR(AT3/AM3,0)</f>
      </c>
      <c r="AQ3" s="61">
        <f t="shared" ref="AQ3:AQ69" si="3">IFERROR(AT3/AW3,0)</f>
      </c>
      <c r="AR3" s="53">
        <f t="shared" ref="AR3:AR69" si="5">IFERROR(AO3/AM3,0)</f>
      </c>
      <c r="AS3" s="62">
        <f t="shared" ref="AS3:AS69" si="7">IFERROR(AO3/Q3,0)</f>
      </c>
      <c r="AT3" s="60">
        <v>0</v>
      </c>
      <c r="AU3" s="53">
        <f t="shared" ref="AU3:AU69" si="9">IFERROR(AT3/X3,0)</f>
      </c>
      <c r="AV3" s="56">
        <f t="shared" ref="AV3:AV69" si="10">IFERROR(AT3/AO3,0)</f>
      </c>
      <c r="AW3" s="56">
        <v>0</v>
      </c>
      <c r="AX3" s="62">
        <f t="shared" ref="AX3:AX69" si="11">IFERROR(AW3/X3,0)</f>
      </c>
      <c r="AY3" s="55"/>
      <c r="AZ3" s="63"/>
      <c r="BA3" s="63"/>
      <c r="BB3" s="64"/>
      <c r="BC3" s="55"/>
      <c r="BD3" s="56"/>
      <c r="BE3" s="56"/>
      <c r="BF3" s="56"/>
      <c r="BG3" s="57"/>
      <c r="BH3" s="65"/>
      <c r="BI3" s="51"/>
      <c r="BJ3" s="55"/>
      <c r="BK3" s="51"/>
      <c r="BL3" s="62"/>
      <c r="BM3" s="51"/>
      <c r="BN3" s="52"/>
      <c r="BO3" s="51"/>
      <c r="BP3" s="66"/>
      <c r="BQ3" s="67"/>
    </row>
    <row customHeight="true" ht="13.333333333333332" r="4">
      <c r="A4" s="50">
        <v>45993</v>
      </c>
      <c r="B4" s="51" t="s">
        <v>75</v>
      </c>
      <c r="C4" s="52"/>
      <c r="D4" s="51">
        <v>54.99</v>
      </c>
      <c r="E4" s="53"/>
      <c r="F4" s="53">
        <v>0</v>
      </c>
      <c r="G4" s="53">
        <v>0</v>
      </c>
      <c r="H4" s="54">
        <v>33.43</v>
      </c>
      <c r="I4" s="53" t="s">
        <v>73</v>
      </c>
      <c r="J4" s="55" t="s">
        <v>73</v>
      </c>
      <c r="K4" s="51">
        <f>'德国ERP数据'!BC3</f>
      </c>
      <c r="L4" s="51">
        <f>'德国ERP数据'!BA3</f>
      </c>
      <c r="M4" s="51">
        <f t="shared" si="2"/>
      </c>
      <c r="N4" s="53">
        <f t="shared" si="4"/>
      </c>
      <c r="O4" s="56">
        <f t="shared" si="6"/>
      </c>
      <c r="P4" s="56">
        <f t="shared" si="8"/>
      </c>
      <c r="Q4" s="51">
        <f>'德国ERP数据'!R3</f>
      </c>
      <c r="R4" s="51" t="s">
        <v>73</v>
      </c>
      <c r="S4" s="51">
        <f>'德国ERP数据'!Z3</f>
      </c>
      <c r="T4" s="51">
        <v>0</v>
      </c>
      <c r="U4" s="51">
        <v>0</v>
      </c>
      <c r="V4" s="53">
        <v>0</v>
      </c>
      <c r="W4" s="51">
        <v>0</v>
      </c>
      <c r="X4" s="57">
        <f>'德国ERP数据'!Q3</f>
      </c>
      <c r="Y4" s="51" t="s">
        <v>74</v>
      </c>
      <c r="Z4" s="51"/>
      <c r="AA4" s="51" t="s">
        <v>74</v>
      </c>
      <c r="AB4" s="51"/>
      <c r="AC4" s="51" t="s">
        <v>74</v>
      </c>
      <c r="AD4" s="51"/>
      <c r="AE4" s="51">
        <v>32</v>
      </c>
      <c r="AF4" s="51"/>
      <c r="AG4" s="51">
        <v>0</v>
      </c>
      <c r="AH4" s="58">
        <v>0</v>
      </c>
      <c r="AI4" s="52">
        <v>0</v>
      </c>
      <c r="AJ4" s="51">
        <v>0</v>
      </c>
      <c r="AK4" s="51">
        <v>5</v>
      </c>
      <c r="AL4" s="59">
        <v>0</v>
      </c>
      <c r="AM4" s="51">
        <v>0</v>
      </c>
      <c r="AN4" s="55">
        <f t="shared" si="0"/>
      </c>
      <c r="AO4" s="51">
        <v>0</v>
      </c>
      <c r="AP4" s="60">
        <f t="shared" si="1"/>
      </c>
      <c r="AQ4" s="61">
        <f t="shared" si="3"/>
      </c>
      <c r="AR4" s="53">
        <f t="shared" si="5"/>
      </c>
      <c r="AS4" s="62">
        <f t="shared" si="7"/>
      </c>
      <c r="AT4" s="60">
        <v>0</v>
      </c>
      <c r="AU4" s="53">
        <f t="shared" si="9"/>
      </c>
      <c r="AV4" s="56">
        <f t="shared" si="10"/>
      </c>
      <c r="AW4" s="56">
        <v>0</v>
      </c>
      <c r="AX4" s="62">
        <f t="shared" si="11"/>
      </c>
      <c r="AY4" s="55"/>
      <c r="AZ4" s="63"/>
      <c r="BA4" s="63"/>
      <c r="BB4" s="64"/>
      <c r="BC4" s="55"/>
      <c r="BD4" s="56"/>
      <c r="BE4" s="56"/>
      <c r="BF4" s="56"/>
      <c r="BG4" s="57"/>
      <c r="BH4" s="65"/>
      <c r="BI4" s="51"/>
      <c r="BJ4" s="55"/>
      <c r="BK4" s="51"/>
      <c r="BL4" s="62"/>
      <c r="BM4" s="51"/>
      <c r="BN4" s="52"/>
      <c r="BO4" s="51"/>
      <c r="BP4" s="66"/>
      <c r="BQ4" s="67"/>
    </row>
    <row customHeight="true" ht="13.333333333333332" r="5">
      <c r="A5" s="50">
        <v>45994</v>
      </c>
      <c r="B5" s="51" t="s">
        <v>76</v>
      </c>
      <c r="C5" s="52"/>
      <c r="D5" s="51">
        <v>54.99</v>
      </c>
      <c r="E5" s="53"/>
      <c r="F5" s="53">
        <v>0</v>
      </c>
      <c r="G5" s="53">
        <v>0</v>
      </c>
      <c r="H5" s="54">
        <v>33.43</v>
      </c>
      <c r="I5" s="53" t="s">
        <v>73</v>
      </c>
      <c r="J5" s="55" t="s">
        <v>73</v>
      </c>
      <c r="K5" s="51">
        <f>'德国ERP数据'!BC4</f>
      </c>
      <c r="L5" s="51">
        <f>'德国ERP数据'!BA4</f>
      </c>
      <c r="M5" s="51">
        <f t="shared" si="2"/>
      </c>
      <c r="N5" s="53">
        <f t="shared" si="4"/>
      </c>
      <c r="O5" s="56">
        <f t="shared" si="6"/>
      </c>
      <c r="P5" s="56">
        <f t="shared" si="8"/>
      </c>
      <c r="Q5" s="51">
        <f>'德国ERP数据'!R4</f>
      </c>
      <c r="R5" s="51" t="s">
        <v>73</v>
      </c>
      <c r="S5" s="51">
        <f>'德国ERP数据'!Z4</f>
      </c>
      <c r="T5" s="51">
        <v>0</v>
      </c>
      <c r="U5" s="51">
        <v>0</v>
      </c>
      <c r="V5" s="53">
        <v>0</v>
      </c>
      <c r="W5" s="51">
        <v>0</v>
      </c>
      <c r="X5" s="57">
        <f>'德国ERP数据'!Q4</f>
      </c>
      <c r="Y5" s="51" t="s">
        <v>74</v>
      </c>
      <c r="Z5" s="51"/>
      <c r="AA5" s="51" t="s">
        <v>74</v>
      </c>
      <c r="AB5" s="51"/>
      <c r="AC5" s="51" t="s">
        <v>74</v>
      </c>
      <c r="AD5" s="51"/>
      <c r="AE5" s="51">
        <v>32</v>
      </c>
      <c r="AF5" s="51"/>
      <c r="AG5" s="51">
        <v>0</v>
      </c>
      <c r="AH5" s="58">
        <v>0</v>
      </c>
      <c r="AI5" s="52">
        <v>0</v>
      </c>
      <c r="AJ5" s="51">
        <v>0</v>
      </c>
      <c r="AK5" s="51">
        <v>5</v>
      </c>
      <c r="AL5" s="59">
        <v>0</v>
      </c>
      <c r="AM5" s="51">
        <v>0</v>
      </c>
      <c r="AN5" s="55">
        <f t="shared" si="0"/>
      </c>
      <c r="AO5" s="51">
        <v>0</v>
      </c>
      <c r="AP5" s="60">
        <f t="shared" si="1"/>
      </c>
      <c r="AQ5" s="61">
        <f t="shared" si="3"/>
      </c>
      <c r="AR5" s="53">
        <f t="shared" si="5"/>
      </c>
      <c r="AS5" s="62">
        <f t="shared" si="7"/>
      </c>
      <c r="AT5" s="60">
        <v>0</v>
      </c>
      <c r="AU5" s="53">
        <f t="shared" si="9"/>
      </c>
      <c r="AV5" s="56">
        <f t="shared" si="10"/>
      </c>
      <c r="AW5" s="56">
        <v>0</v>
      </c>
      <c r="AX5" s="62">
        <f t="shared" si="11"/>
      </c>
      <c r="AY5" s="55"/>
      <c r="AZ5" s="63"/>
      <c r="BA5" s="63"/>
      <c r="BB5" s="64"/>
      <c r="BC5" s="55"/>
      <c r="BD5" s="56"/>
      <c r="BE5" s="56"/>
      <c r="BF5" s="56"/>
      <c r="BG5" s="57"/>
      <c r="BH5" s="65"/>
      <c r="BI5" s="51"/>
      <c r="BJ5" s="55"/>
      <c r="BK5" s="51"/>
      <c r="BL5" s="62"/>
      <c r="BM5" s="51"/>
      <c r="BN5" s="52"/>
      <c r="BO5" s="51"/>
      <c r="BP5" s="66"/>
      <c r="BQ5" s="67"/>
    </row>
    <row customHeight="true" ht="13.333333333333332" r="6">
      <c r="A6" s="50">
        <v>45995</v>
      </c>
      <c r="B6" s="51" t="s">
        <v>77</v>
      </c>
      <c r="C6" s="52"/>
      <c r="D6" s="51">
        <v>54.99</v>
      </c>
      <c r="E6" s="53"/>
      <c r="F6" s="53">
        <v>0</v>
      </c>
      <c r="G6" s="53">
        <v>0</v>
      </c>
      <c r="H6" s="54">
        <v>33.43</v>
      </c>
      <c r="I6" s="53" t="s">
        <v>73</v>
      </c>
      <c r="J6" s="55" t="s">
        <v>73</v>
      </c>
      <c r="K6" s="51">
        <f>'德国ERP数据'!BC5</f>
      </c>
      <c r="L6" s="51">
        <f>'德国ERP数据'!BA5</f>
      </c>
      <c r="M6" s="51">
        <f t="shared" si="2"/>
      </c>
      <c r="N6" s="53">
        <f t="shared" si="4"/>
      </c>
      <c r="O6" s="56">
        <f t="shared" si="6"/>
      </c>
      <c r="P6" s="56">
        <f t="shared" si="8"/>
      </c>
      <c r="Q6" s="51">
        <f>'德国ERP数据'!R5</f>
      </c>
      <c r="R6" s="51" t="s">
        <v>73</v>
      </c>
      <c r="S6" s="51">
        <f>'德国ERP数据'!Z5</f>
      </c>
      <c r="T6" s="51">
        <v>0</v>
      </c>
      <c r="U6" s="51">
        <v>0</v>
      </c>
      <c r="V6" s="53">
        <v>0</v>
      </c>
      <c r="W6" s="51">
        <v>0</v>
      </c>
      <c r="X6" s="57">
        <f>'德国ERP数据'!Q5</f>
      </c>
      <c r="Y6" s="51" t="s">
        <v>74</v>
      </c>
      <c r="Z6" s="51"/>
      <c r="AA6" s="51" t="s">
        <v>74</v>
      </c>
      <c r="AB6" s="51"/>
      <c r="AC6" s="51" t="s">
        <v>74</v>
      </c>
      <c r="AD6" s="51"/>
      <c r="AE6" s="51">
        <v>32</v>
      </c>
      <c r="AF6" s="51"/>
      <c r="AG6" s="51">
        <v>0</v>
      </c>
      <c r="AH6" s="58">
        <v>0</v>
      </c>
      <c r="AI6" s="52">
        <v>0</v>
      </c>
      <c r="AJ6" s="51">
        <v>0</v>
      </c>
      <c r="AK6" s="51">
        <v>5</v>
      </c>
      <c r="AL6" s="59">
        <v>0</v>
      </c>
      <c r="AM6" s="51">
        <v>0</v>
      </c>
      <c r="AN6" s="55">
        <f t="shared" si="0"/>
      </c>
      <c r="AO6" s="51">
        <v>0</v>
      </c>
      <c r="AP6" s="60">
        <f t="shared" si="1"/>
      </c>
      <c r="AQ6" s="61">
        <f t="shared" si="3"/>
      </c>
      <c r="AR6" s="53">
        <f t="shared" si="5"/>
      </c>
      <c r="AS6" s="62">
        <f t="shared" si="7"/>
      </c>
      <c r="AT6" s="60">
        <v>0</v>
      </c>
      <c r="AU6" s="53">
        <f t="shared" si="9"/>
      </c>
      <c r="AV6" s="56">
        <f t="shared" si="10"/>
      </c>
      <c r="AW6" s="56">
        <v>0</v>
      </c>
      <c r="AX6" s="62">
        <f t="shared" si="11"/>
      </c>
      <c r="AY6" s="55"/>
      <c r="AZ6" s="63"/>
      <c r="BA6" s="63"/>
      <c r="BB6" s="64"/>
      <c r="BC6" s="55"/>
      <c r="BD6" s="56"/>
      <c r="BE6" s="56"/>
      <c r="BF6" s="56"/>
      <c r="BG6" s="57"/>
      <c r="BH6" s="65"/>
      <c r="BI6" s="51"/>
      <c r="BJ6" s="55"/>
      <c r="BK6" s="51"/>
      <c r="BL6" s="62"/>
      <c r="BM6" s="51"/>
      <c r="BN6" s="52"/>
      <c r="BO6" s="51"/>
      <c r="BP6" s="66"/>
      <c r="BQ6" s="67"/>
    </row>
    <row customHeight="true" ht="13.333333333333332" r="7">
      <c r="A7" s="50">
        <v>45996</v>
      </c>
      <c r="B7" s="51" t="s">
        <v>78</v>
      </c>
      <c r="C7" s="52"/>
      <c r="D7" s="51">
        <v>54.99</v>
      </c>
      <c r="E7" s="53"/>
      <c r="F7" s="53">
        <v>0</v>
      </c>
      <c r="G7" s="53">
        <v>0</v>
      </c>
      <c r="H7" s="54">
        <v>33.43</v>
      </c>
      <c r="I7" s="53" t="s">
        <v>73</v>
      </c>
      <c r="J7" s="55" t="s">
        <v>73</v>
      </c>
      <c r="K7" s="51">
        <f>'德国ERP数据'!BC6</f>
      </c>
      <c r="L7" s="51">
        <f>'德国ERP数据'!BA6</f>
      </c>
      <c r="M7" s="51">
        <f t="shared" si="2"/>
      </c>
      <c r="N7" s="53">
        <f t="shared" si="4"/>
      </c>
      <c r="O7" s="56">
        <f t="shared" si="6"/>
      </c>
      <c r="P7" s="56">
        <f t="shared" si="8"/>
      </c>
      <c r="Q7" s="51">
        <f>'德国ERP数据'!R6</f>
      </c>
      <c r="R7" s="51" t="s">
        <v>73</v>
      </c>
      <c r="S7" s="51">
        <f>'德国ERP数据'!Z6</f>
      </c>
      <c r="T7" s="51">
        <v>0</v>
      </c>
      <c r="U7" s="51">
        <v>0</v>
      </c>
      <c r="V7" s="53">
        <v>0</v>
      </c>
      <c r="W7" s="51">
        <v>0</v>
      </c>
      <c r="X7" s="57">
        <f>'德国ERP数据'!Q6</f>
      </c>
      <c r="Y7" s="51" t="s">
        <v>74</v>
      </c>
      <c r="Z7" s="51"/>
      <c r="AA7" s="51" t="s">
        <v>74</v>
      </c>
      <c r="AB7" s="51"/>
      <c r="AC7" s="51" t="s">
        <v>74</v>
      </c>
      <c r="AD7" s="51"/>
      <c r="AE7" s="51">
        <v>32</v>
      </c>
      <c r="AF7" s="51"/>
      <c r="AG7" s="51">
        <v>0</v>
      </c>
      <c r="AH7" s="58">
        <v>0</v>
      </c>
      <c r="AI7" s="52">
        <v>0</v>
      </c>
      <c r="AJ7" s="51">
        <v>0</v>
      </c>
      <c r="AK7" s="51">
        <v>5</v>
      </c>
      <c r="AL7" s="59">
        <v>0</v>
      </c>
      <c r="AM7" s="51">
        <v>0</v>
      </c>
      <c r="AN7" s="55">
        <f t="shared" si="0"/>
      </c>
      <c r="AO7" s="51">
        <v>0</v>
      </c>
      <c r="AP7" s="60">
        <f t="shared" si="1"/>
      </c>
      <c r="AQ7" s="61">
        <f t="shared" si="3"/>
      </c>
      <c r="AR7" s="53">
        <f t="shared" si="5"/>
      </c>
      <c r="AS7" s="62">
        <f t="shared" si="7"/>
      </c>
      <c r="AT7" s="60">
        <v>0</v>
      </c>
      <c r="AU7" s="53">
        <f t="shared" si="9"/>
      </c>
      <c r="AV7" s="56">
        <f t="shared" si="10"/>
      </c>
      <c r="AW7" s="56">
        <v>0</v>
      </c>
      <c r="AX7" s="62">
        <f t="shared" si="11"/>
      </c>
      <c r="AY7" s="55"/>
      <c r="AZ7" s="63"/>
      <c r="BA7" s="63"/>
      <c r="BB7" s="64"/>
      <c r="BC7" s="55"/>
      <c r="BD7" s="56"/>
      <c r="BE7" s="56"/>
      <c r="BF7" s="56"/>
      <c r="BG7" s="57"/>
      <c r="BH7" s="65"/>
      <c r="BI7" s="51"/>
      <c r="BJ7" s="55"/>
      <c r="BK7" s="51"/>
      <c r="BL7" s="62"/>
      <c r="BM7" s="51"/>
      <c r="BN7" s="52"/>
      <c r="BO7" s="51"/>
      <c r="BP7" s="66"/>
      <c r="BQ7" s="67"/>
    </row>
    <row customHeight="true" ht="13.333333333333332" r="8">
      <c r="A8" s="50">
        <v>45997</v>
      </c>
      <c r="B8" s="51" t="s">
        <v>79</v>
      </c>
      <c r="C8" s="52"/>
      <c r="D8" s="51">
        <v>54.99</v>
      </c>
      <c r="E8" s="53"/>
      <c r="F8" s="53">
        <v>0</v>
      </c>
      <c r="G8" s="53">
        <v>0</v>
      </c>
      <c r="H8" s="54">
        <v>33.43</v>
      </c>
      <c r="I8" s="53" t="s">
        <v>73</v>
      </c>
      <c r="J8" s="55" t="s">
        <v>73</v>
      </c>
      <c r="K8" s="51">
        <f>'德国ERP数据'!BC7</f>
      </c>
      <c r="L8" s="51">
        <f>'德国ERP数据'!BA7</f>
      </c>
      <c r="M8" s="51">
        <f t="shared" si="2"/>
      </c>
      <c r="N8" s="53">
        <f t="shared" si="4"/>
      </c>
      <c r="O8" s="56">
        <f t="shared" si="6"/>
      </c>
      <c r="P8" s="56">
        <f t="shared" si="8"/>
      </c>
      <c r="Q8" s="51">
        <f>'德国ERP数据'!R7</f>
      </c>
      <c r="R8" s="51" t="s">
        <v>73</v>
      </c>
      <c r="S8" s="51">
        <f>'德国ERP数据'!Z7</f>
      </c>
      <c r="T8" s="51">
        <v>0</v>
      </c>
      <c r="U8" s="51">
        <v>0</v>
      </c>
      <c r="V8" s="53">
        <v>0</v>
      </c>
      <c r="W8" s="51">
        <v>0</v>
      </c>
      <c r="X8" s="57">
        <f>'德国ERP数据'!Q7</f>
      </c>
      <c r="Y8" s="51" t="s">
        <v>74</v>
      </c>
      <c r="Z8" s="51"/>
      <c r="AA8" s="51" t="s">
        <v>74</v>
      </c>
      <c r="AB8" s="51"/>
      <c r="AC8" s="51" t="s">
        <v>74</v>
      </c>
      <c r="AD8" s="51"/>
      <c r="AE8" s="51">
        <v>32</v>
      </c>
      <c r="AF8" s="51"/>
      <c r="AG8" s="51">
        <v>0</v>
      </c>
      <c r="AH8" s="58">
        <v>0</v>
      </c>
      <c r="AI8" s="52">
        <v>0</v>
      </c>
      <c r="AJ8" s="51">
        <v>0</v>
      </c>
      <c r="AK8" s="51">
        <v>5</v>
      </c>
      <c r="AL8" s="59">
        <v>0</v>
      </c>
      <c r="AM8" s="51">
        <v>0</v>
      </c>
      <c r="AN8" s="55">
        <f t="shared" si="0"/>
      </c>
      <c r="AO8" s="51">
        <v>0</v>
      </c>
      <c r="AP8" s="60">
        <f t="shared" si="1"/>
      </c>
      <c r="AQ8" s="61">
        <f t="shared" si="3"/>
      </c>
      <c r="AR8" s="53">
        <f t="shared" si="5"/>
      </c>
      <c r="AS8" s="62">
        <f t="shared" si="7"/>
      </c>
      <c r="AT8" s="60">
        <v>0</v>
      </c>
      <c r="AU8" s="53">
        <f t="shared" si="9"/>
      </c>
      <c r="AV8" s="56">
        <f t="shared" si="10"/>
      </c>
      <c r="AW8" s="56">
        <v>0</v>
      </c>
      <c r="AX8" s="62">
        <f t="shared" si="11"/>
      </c>
      <c r="AY8" s="55"/>
      <c r="AZ8" s="63"/>
      <c r="BA8" s="63"/>
      <c r="BB8" s="64"/>
      <c r="BC8" s="55"/>
      <c r="BD8" s="56"/>
      <c r="BE8" s="56"/>
      <c r="BF8" s="56"/>
      <c r="BG8" s="57"/>
      <c r="BH8" s="65"/>
      <c r="BI8" s="51"/>
      <c r="BJ8" s="55"/>
      <c r="BK8" s="51"/>
      <c r="BL8" s="62"/>
      <c r="BM8" s="51"/>
      <c r="BN8" s="52"/>
      <c r="BO8" s="51"/>
      <c r="BP8" s="66"/>
      <c r="BQ8" s="67"/>
    </row>
    <row customHeight="true" ht="13.333333333333332" r="9">
      <c r="A9" s="50">
        <v>45998</v>
      </c>
      <c r="B9" s="51" t="s">
        <v>80</v>
      </c>
      <c r="C9" s="52"/>
      <c r="D9" s="51">
        <v>54.99</v>
      </c>
      <c r="E9" s="53"/>
      <c r="F9" s="53">
        <v>0</v>
      </c>
      <c r="G9" s="53">
        <v>0</v>
      </c>
      <c r="H9" s="54">
        <v>33.43</v>
      </c>
      <c r="I9" s="53" t="s">
        <v>73</v>
      </c>
      <c r="J9" s="55" t="s">
        <v>73</v>
      </c>
      <c r="K9" s="51">
        <f>'德国ERP数据'!BC8</f>
      </c>
      <c r="L9" s="51">
        <f>'德国ERP数据'!BA8</f>
      </c>
      <c r="M9" s="51">
        <f t="shared" si="2"/>
      </c>
      <c r="N9" s="53">
        <f t="shared" si="4"/>
      </c>
      <c r="O9" s="56">
        <f t="shared" si="6"/>
      </c>
      <c r="P9" s="56">
        <f t="shared" si="8"/>
      </c>
      <c r="Q9" s="51">
        <f>'德国ERP数据'!R8</f>
      </c>
      <c r="R9" s="51" t="s">
        <v>73</v>
      </c>
      <c r="S9" s="51">
        <f>'德国ERP数据'!Z8</f>
      </c>
      <c r="T9" s="51">
        <v>0</v>
      </c>
      <c r="U9" s="51">
        <v>0</v>
      </c>
      <c r="V9" s="53">
        <v>0</v>
      </c>
      <c r="W9" s="51">
        <v>0</v>
      </c>
      <c r="X9" s="57">
        <f>'德国ERP数据'!Q8</f>
      </c>
      <c r="Y9" s="51" t="s">
        <v>74</v>
      </c>
      <c r="Z9" s="51"/>
      <c r="AA9" s="51" t="s">
        <v>74</v>
      </c>
      <c r="AB9" s="51"/>
      <c r="AC9" s="51" t="s">
        <v>74</v>
      </c>
      <c r="AD9" s="51"/>
      <c r="AE9" s="51">
        <v>32</v>
      </c>
      <c r="AF9" s="51"/>
      <c r="AG9" s="51">
        <v>0</v>
      </c>
      <c r="AH9" s="58">
        <v>0</v>
      </c>
      <c r="AI9" s="52">
        <v>0</v>
      </c>
      <c r="AJ9" s="51">
        <v>0</v>
      </c>
      <c r="AK9" s="51">
        <v>5</v>
      </c>
      <c r="AL9" s="59">
        <v>0</v>
      </c>
      <c r="AM9" s="51">
        <v>0</v>
      </c>
      <c r="AN9" s="55">
        <f t="shared" si="0"/>
      </c>
      <c r="AO9" s="51">
        <v>0</v>
      </c>
      <c r="AP9" s="60">
        <f t="shared" si="1"/>
      </c>
      <c r="AQ9" s="61">
        <f t="shared" si="3"/>
      </c>
      <c r="AR9" s="53">
        <f t="shared" si="5"/>
      </c>
      <c r="AS9" s="62">
        <f t="shared" si="7"/>
      </c>
      <c r="AT9" s="60">
        <v>0</v>
      </c>
      <c r="AU9" s="53">
        <f t="shared" si="9"/>
      </c>
      <c r="AV9" s="56">
        <f t="shared" si="10"/>
      </c>
      <c r="AW9" s="56">
        <v>0</v>
      </c>
      <c r="AX9" s="62">
        <f t="shared" si="11"/>
      </c>
      <c r="AY9" s="55"/>
      <c r="AZ9" s="63"/>
      <c r="BA9" s="63"/>
      <c r="BB9" s="64"/>
      <c r="BC9" s="55"/>
      <c r="BD9" s="56"/>
      <c r="BE9" s="56"/>
      <c r="BF9" s="56"/>
      <c r="BG9" s="57"/>
      <c r="BH9" s="65"/>
      <c r="BI9" s="51"/>
      <c r="BJ9" s="55"/>
      <c r="BK9" s="51"/>
      <c r="BL9" s="62"/>
      <c r="BM9" s="51"/>
      <c r="BN9" s="52"/>
      <c r="BO9" s="51"/>
      <c r="BP9" s="66"/>
      <c r="BQ9" s="67"/>
    </row>
    <row customHeight="true" ht="13.333333333333332" r="10">
      <c r="A10" s="50">
        <v>45999</v>
      </c>
      <c r="B10" s="51" t="s">
        <v>71</v>
      </c>
      <c r="C10" s="52"/>
      <c r="D10" s="51">
        <v>54.99</v>
      </c>
      <c r="E10" s="53"/>
      <c r="F10" s="53">
        <v>0</v>
      </c>
      <c r="G10" s="53">
        <v>0</v>
      </c>
      <c r="H10" s="54">
        <v>33.43</v>
      </c>
      <c r="I10" s="53" t="s">
        <v>73</v>
      </c>
      <c r="J10" s="55" t="s">
        <v>73</v>
      </c>
      <c r="K10" s="51">
        <f>'德国ERP数据'!BC9</f>
      </c>
      <c r="L10" s="51">
        <f>'德国ERP数据'!BA9</f>
      </c>
      <c r="M10" s="51">
        <f t="shared" si="2"/>
      </c>
      <c r="N10" s="53">
        <f t="shared" si="4"/>
      </c>
      <c r="O10" s="56">
        <f t="shared" si="6"/>
      </c>
      <c r="P10" s="56">
        <f t="shared" si="8"/>
      </c>
      <c r="Q10" s="51">
        <f>'德国ERP数据'!R9</f>
      </c>
      <c r="R10" s="51" t="s">
        <v>73</v>
      </c>
      <c r="S10" s="51">
        <f>'德国ERP数据'!Z9</f>
      </c>
      <c r="T10" s="51">
        <v>0</v>
      </c>
      <c r="U10" s="51">
        <v>0</v>
      </c>
      <c r="V10" s="53">
        <v>0</v>
      </c>
      <c r="W10" s="51">
        <v>0</v>
      </c>
      <c r="X10" s="57">
        <f>'德国ERP数据'!Q9</f>
      </c>
      <c r="Y10" s="51" t="s">
        <v>74</v>
      </c>
      <c r="Z10" s="51"/>
      <c r="AA10" s="51" t="s">
        <v>74</v>
      </c>
      <c r="AB10" s="51"/>
      <c r="AC10" s="51" t="s">
        <v>74</v>
      </c>
      <c r="AD10" s="51"/>
      <c r="AE10" s="51">
        <v>32</v>
      </c>
      <c r="AF10" s="51"/>
      <c r="AG10" s="51">
        <v>0</v>
      </c>
      <c r="AH10" s="58">
        <v>0</v>
      </c>
      <c r="AI10" s="52">
        <v>0</v>
      </c>
      <c r="AJ10" s="51">
        <v>0</v>
      </c>
      <c r="AK10" s="51">
        <v>5</v>
      </c>
      <c r="AL10" s="59">
        <v>0</v>
      </c>
      <c r="AM10" s="51">
        <v>0</v>
      </c>
      <c r="AN10" s="55">
        <f t="shared" si="0"/>
      </c>
      <c r="AO10" s="51">
        <v>0</v>
      </c>
      <c r="AP10" s="60">
        <f t="shared" si="1"/>
      </c>
      <c r="AQ10" s="61">
        <f t="shared" si="3"/>
      </c>
      <c r="AR10" s="53">
        <f t="shared" si="5"/>
      </c>
      <c r="AS10" s="62">
        <f t="shared" si="7"/>
      </c>
      <c r="AT10" s="60">
        <v>0</v>
      </c>
      <c r="AU10" s="53">
        <f t="shared" si="9"/>
      </c>
      <c r="AV10" s="56">
        <f t="shared" si="10"/>
      </c>
      <c r="AW10" s="56">
        <v>0</v>
      </c>
      <c r="AX10" s="62">
        <f t="shared" si="11"/>
      </c>
      <c r="AY10" s="55"/>
      <c r="AZ10" s="63"/>
      <c r="BA10" s="63"/>
      <c r="BB10" s="64"/>
      <c r="BC10" s="55"/>
      <c r="BD10" s="56"/>
      <c r="BE10" s="56"/>
      <c r="BF10" s="56"/>
      <c r="BG10" s="57"/>
      <c r="BH10" s="65"/>
      <c r="BI10" s="51"/>
      <c r="BJ10" s="55"/>
      <c r="BK10" s="51"/>
      <c r="BL10" s="62"/>
      <c r="BM10" s="51"/>
      <c r="BN10" s="52"/>
      <c r="BO10" s="51"/>
      <c r="BP10" s="66"/>
      <c r="BQ10" s="67"/>
    </row>
    <row customHeight="true" ht="13.333333333333332" r="11">
      <c r="A11" s="50">
        <v>46000</v>
      </c>
      <c r="B11" s="51" t="s">
        <v>75</v>
      </c>
      <c r="C11" s="52"/>
      <c r="D11" s="51">
        <v>54.99</v>
      </c>
      <c r="E11" s="53"/>
      <c r="F11" s="53">
        <v>0</v>
      </c>
      <c r="G11" s="53">
        <v>0</v>
      </c>
      <c r="H11" s="54">
        <v>33.43</v>
      </c>
      <c r="I11" s="53" t="s">
        <v>73</v>
      </c>
      <c r="J11" s="55" t="s">
        <v>73</v>
      </c>
      <c r="K11" s="51">
        <f>'德国ERP数据'!BC10</f>
      </c>
      <c r="L11" s="51">
        <f>'德国ERP数据'!BA10</f>
      </c>
      <c r="M11" s="51">
        <f t="shared" si="2"/>
      </c>
      <c r="N11" s="53">
        <f t="shared" si="4"/>
      </c>
      <c r="O11" s="56">
        <f t="shared" si="6"/>
      </c>
      <c r="P11" s="56">
        <f t="shared" si="8"/>
      </c>
      <c r="Q11" s="51">
        <f>'德国ERP数据'!R10</f>
      </c>
      <c r="R11" s="51" t="s">
        <v>73</v>
      </c>
      <c r="S11" s="51">
        <f>'德国ERP数据'!Z10</f>
      </c>
      <c r="T11" s="51">
        <v>0</v>
      </c>
      <c r="U11" s="51">
        <v>0</v>
      </c>
      <c r="V11" s="53">
        <v>0</v>
      </c>
      <c r="W11" s="51">
        <v>0</v>
      </c>
      <c r="X11" s="57">
        <f>'德国ERP数据'!Q10</f>
      </c>
      <c r="Y11" s="51" t="s">
        <v>74</v>
      </c>
      <c r="Z11" s="51"/>
      <c r="AA11" s="51" t="s">
        <v>74</v>
      </c>
      <c r="AB11" s="51"/>
      <c r="AC11" s="51" t="s">
        <v>74</v>
      </c>
      <c r="AD11" s="51"/>
      <c r="AE11" s="51">
        <v>32</v>
      </c>
      <c r="AF11" s="51"/>
      <c r="AG11" s="51">
        <v>0</v>
      </c>
      <c r="AH11" s="58">
        <v>0</v>
      </c>
      <c r="AI11" s="52">
        <v>0</v>
      </c>
      <c r="AJ11" s="51">
        <v>0</v>
      </c>
      <c r="AK11" s="51">
        <v>5</v>
      </c>
      <c r="AL11" s="59">
        <v>0</v>
      </c>
      <c r="AM11" s="51">
        <v>0</v>
      </c>
      <c r="AN11" s="55">
        <f t="shared" si="0"/>
      </c>
      <c r="AO11" s="51">
        <v>0</v>
      </c>
      <c r="AP11" s="60">
        <f t="shared" si="1"/>
      </c>
      <c r="AQ11" s="61">
        <f t="shared" si="3"/>
      </c>
      <c r="AR11" s="53">
        <f t="shared" si="5"/>
      </c>
      <c r="AS11" s="62">
        <f t="shared" si="7"/>
      </c>
      <c r="AT11" s="60">
        <v>0</v>
      </c>
      <c r="AU11" s="53">
        <f t="shared" si="9"/>
      </c>
      <c r="AV11" s="56">
        <f t="shared" si="10"/>
      </c>
      <c r="AW11" s="56">
        <v>0</v>
      </c>
      <c r="AX11" s="62">
        <f t="shared" si="11"/>
      </c>
      <c r="AY11" s="55"/>
      <c r="AZ11" s="63"/>
      <c r="BA11" s="63"/>
      <c r="BB11" s="64"/>
      <c r="BC11" s="55"/>
      <c r="BD11" s="56"/>
      <c r="BE11" s="56"/>
      <c r="BF11" s="56"/>
      <c r="BG11" s="57"/>
      <c r="BH11" s="65"/>
      <c r="BI11" s="51"/>
      <c r="BJ11" s="55"/>
      <c r="BK11" s="51"/>
      <c r="BL11" s="62"/>
      <c r="BM11" s="51"/>
      <c r="BN11" s="52"/>
      <c r="BO11" s="51"/>
      <c r="BP11" s="66"/>
      <c r="BQ11" s="67"/>
    </row>
    <row customHeight="true" ht="13.333333333333332" r="12">
      <c r="A12" s="50">
        <v>46001</v>
      </c>
      <c r="B12" s="51" t="s">
        <v>76</v>
      </c>
      <c r="C12" s="52"/>
      <c r="D12" s="51">
        <v>54.99</v>
      </c>
      <c r="E12" s="53"/>
      <c r="F12" s="53">
        <v>0</v>
      </c>
      <c r="G12" s="53">
        <v>0</v>
      </c>
      <c r="H12" s="54">
        <v>33.43</v>
      </c>
      <c r="I12" s="53" t="s">
        <v>73</v>
      </c>
      <c r="J12" s="55" t="s">
        <v>73</v>
      </c>
      <c r="K12" s="51">
        <f>'德国ERP数据'!BC11</f>
      </c>
      <c r="L12" s="51">
        <f>'德国ERP数据'!BA11</f>
      </c>
      <c r="M12" s="51">
        <f t="shared" si="2"/>
      </c>
      <c r="N12" s="53">
        <f t="shared" si="4"/>
      </c>
      <c r="O12" s="56">
        <f t="shared" si="6"/>
      </c>
      <c r="P12" s="56">
        <f t="shared" si="8"/>
      </c>
      <c r="Q12" s="51">
        <f>'德国ERP数据'!R11</f>
      </c>
      <c r="R12" s="51" t="s">
        <v>73</v>
      </c>
      <c r="S12" s="51">
        <f>'德国ERP数据'!Z11</f>
      </c>
      <c r="T12" s="51">
        <v>0</v>
      </c>
      <c r="U12" s="51">
        <v>0</v>
      </c>
      <c r="V12" s="53">
        <v>0</v>
      </c>
      <c r="W12" s="51">
        <v>0</v>
      </c>
      <c r="X12" s="57">
        <f>'德国ERP数据'!Q11</f>
      </c>
      <c r="Y12" s="51" t="s">
        <v>74</v>
      </c>
      <c r="Z12" s="51"/>
      <c r="AA12" s="51" t="s">
        <v>74</v>
      </c>
      <c r="AB12" s="51"/>
      <c r="AC12" s="51" t="s">
        <v>74</v>
      </c>
      <c r="AD12" s="51"/>
      <c r="AE12" s="51">
        <v>32</v>
      </c>
      <c r="AF12" s="51"/>
      <c r="AG12" s="51">
        <v>0</v>
      </c>
      <c r="AH12" s="58">
        <v>0</v>
      </c>
      <c r="AI12" s="52">
        <v>0</v>
      </c>
      <c r="AJ12" s="51">
        <v>0</v>
      </c>
      <c r="AK12" s="51">
        <v>5</v>
      </c>
      <c r="AL12" s="59">
        <v>0</v>
      </c>
      <c r="AM12" s="51">
        <v>0</v>
      </c>
      <c r="AN12" s="55">
        <f t="shared" si="0"/>
      </c>
      <c r="AO12" s="51">
        <v>0</v>
      </c>
      <c r="AP12" s="60">
        <f t="shared" si="1"/>
      </c>
      <c r="AQ12" s="61">
        <f t="shared" si="3"/>
      </c>
      <c r="AR12" s="53">
        <f t="shared" si="5"/>
      </c>
      <c r="AS12" s="62">
        <f t="shared" si="7"/>
      </c>
      <c r="AT12" s="60">
        <v>0</v>
      </c>
      <c r="AU12" s="53">
        <f t="shared" si="9"/>
      </c>
      <c r="AV12" s="56">
        <f t="shared" si="10"/>
      </c>
      <c r="AW12" s="56">
        <v>0</v>
      </c>
      <c r="AX12" s="62">
        <f t="shared" si="11"/>
      </c>
      <c r="AY12" s="55"/>
      <c r="AZ12" s="63"/>
      <c r="BA12" s="63"/>
      <c r="BB12" s="64"/>
      <c r="BC12" s="55"/>
      <c r="BD12" s="56"/>
      <c r="BE12" s="56"/>
      <c r="BF12" s="56"/>
      <c r="BG12" s="57"/>
      <c r="BH12" s="65"/>
      <c r="BI12" s="51"/>
      <c r="BJ12" s="55"/>
      <c r="BK12" s="51"/>
      <c r="BL12" s="62"/>
      <c r="BM12" s="51"/>
      <c r="BN12" s="52"/>
      <c r="BO12" s="51"/>
      <c r="BP12" s="66"/>
      <c r="BQ12" s="67"/>
    </row>
    <row customHeight="true" ht="13.333333333333332" r="13">
      <c r="A13" s="50">
        <v>46002</v>
      </c>
      <c r="B13" s="51" t="s">
        <v>77</v>
      </c>
      <c r="C13" s="52"/>
      <c r="D13" s="51">
        <v>54.99</v>
      </c>
      <c r="E13" s="53"/>
      <c r="F13" s="53">
        <v>0</v>
      </c>
      <c r="G13" s="53">
        <v>0</v>
      </c>
      <c r="H13" s="54">
        <v>33.43</v>
      </c>
      <c r="I13" s="53" t="s">
        <v>73</v>
      </c>
      <c r="J13" s="55" t="s">
        <v>73</v>
      </c>
      <c r="K13" s="51">
        <f>'德国ERP数据'!BC12</f>
      </c>
      <c r="L13" s="51">
        <f>'德国ERP数据'!BA12</f>
      </c>
      <c r="M13" s="51">
        <f t="shared" si="2"/>
      </c>
      <c r="N13" s="53">
        <f t="shared" si="4"/>
      </c>
      <c r="O13" s="56">
        <f t="shared" si="6"/>
      </c>
      <c r="P13" s="56">
        <f t="shared" si="8"/>
      </c>
      <c r="Q13" s="51">
        <f>'德国ERP数据'!R12</f>
      </c>
      <c r="R13" s="51" t="s">
        <v>73</v>
      </c>
      <c r="S13" s="51">
        <f>'德国ERP数据'!Z12</f>
      </c>
      <c r="T13" s="51">
        <v>0</v>
      </c>
      <c r="U13" s="51">
        <v>0</v>
      </c>
      <c r="V13" s="53">
        <v>0</v>
      </c>
      <c r="W13" s="51">
        <v>0</v>
      </c>
      <c r="X13" s="57">
        <f>'德国ERP数据'!Q12</f>
      </c>
      <c r="Y13" s="51" t="s">
        <v>74</v>
      </c>
      <c r="Z13" s="51"/>
      <c r="AA13" s="51" t="s">
        <v>74</v>
      </c>
      <c r="AB13" s="51"/>
      <c r="AC13" s="51" t="s">
        <v>74</v>
      </c>
      <c r="AD13" s="51"/>
      <c r="AE13" s="51">
        <v>32</v>
      </c>
      <c r="AF13" s="51"/>
      <c r="AG13" s="51">
        <v>0</v>
      </c>
      <c r="AH13" s="58">
        <v>0</v>
      </c>
      <c r="AI13" s="52">
        <v>0</v>
      </c>
      <c r="AJ13" s="51">
        <v>0</v>
      </c>
      <c r="AK13" s="51">
        <v>5</v>
      </c>
      <c r="AL13" s="59">
        <v>0</v>
      </c>
      <c r="AM13" s="51">
        <v>0</v>
      </c>
      <c r="AN13" s="55">
        <f t="shared" si="0"/>
      </c>
      <c r="AO13" s="51">
        <v>0</v>
      </c>
      <c r="AP13" s="60">
        <f t="shared" si="1"/>
      </c>
      <c r="AQ13" s="61">
        <f t="shared" si="3"/>
      </c>
      <c r="AR13" s="53">
        <f t="shared" si="5"/>
      </c>
      <c r="AS13" s="62">
        <f t="shared" si="7"/>
      </c>
      <c r="AT13" s="60">
        <v>0</v>
      </c>
      <c r="AU13" s="53">
        <f t="shared" si="9"/>
      </c>
      <c r="AV13" s="56">
        <f t="shared" si="10"/>
      </c>
      <c r="AW13" s="56">
        <v>0</v>
      </c>
      <c r="AX13" s="62">
        <f t="shared" si="11"/>
      </c>
      <c r="AY13" s="55"/>
      <c r="AZ13" s="63"/>
      <c r="BA13" s="63"/>
      <c r="BB13" s="64"/>
      <c r="BC13" s="55"/>
      <c r="BD13" s="56"/>
      <c r="BE13" s="56"/>
      <c r="BF13" s="56"/>
      <c r="BG13" s="57"/>
      <c r="BH13" s="65"/>
      <c r="BI13" s="51"/>
      <c r="BJ13" s="55"/>
      <c r="BK13" s="51"/>
      <c r="BL13" s="62"/>
      <c r="BM13" s="51"/>
      <c r="BN13" s="52"/>
      <c r="BO13" s="51"/>
      <c r="BP13" s="66"/>
      <c r="BQ13" s="67"/>
    </row>
    <row customHeight="true" ht="13.333333333333332" r="14">
      <c r="A14" s="50">
        <v>46003</v>
      </c>
      <c r="B14" s="51" t="s">
        <v>78</v>
      </c>
      <c r="C14" s="52"/>
      <c r="D14" s="51">
        <v>54.99</v>
      </c>
      <c r="E14" s="53"/>
      <c r="F14" s="53">
        <v>0</v>
      </c>
      <c r="G14" s="53">
        <v>0</v>
      </c>
      <c r="H14" s="54">
        <v>33.43</v>
      </c>
      <c r="I14" s="53" t="s">
        <v>73</v>
      </c>
      <c r="J14" s="55" t="s">
        <v>73</v>
      </c>
      <c r="K14" s="51">
        <f>'德国ERP数据'!BC13</f>
      </c>
      <c r="L14" s="51">
        <f>'德国ERP数据'!BA13</f>
      </c>
      <c r="M14" s="51">
        <f t="shared" si="2"/>
      </c>
      <c r="N14" s="53">
        <f t="shared" si="4"/>
      </c>
      <c r="O14" s="56">
        <f t="shared" si="6"/>
      </c>
      <c r="P14" s="56">
        <f t="shared" si="8"/>
      </c>
      <c r="Q14" s="51">
        <f>'德国ERP数据'!R13</f>
      </c>
      <c r="R14" s="51" t="s">
        <v>73</v>
      </c>
      <c r="S14" s="51">
        <f>'德国ERP数据'!Z13</f>
      </c>
      <c r="T14" s="51">
        <v>0</v>
      </c>
      <c r="U14" s="51">
        <v>0</v>
      </c>
      <c r="V14" s="53">
        <v>0</v>
      </c>
      <c r="W14" s="51">
        <v>0</v>
      </c>
      <c r="X14" s="57">
        <f>'德国ERP数据'!Q13</f>
      </c>
      <c r="Y14" s="51" t="s">
        <v>74</v>
      </c>
      <c r="Z14" s="51"/>
      <c r="AA14" s="51" t="s">
        <v>74</v>
      </c>
      <c r="AB14" s="51"/>
      <c r="AC14" s="51" t="s">
        <v>74</v>
      </c>
      <c r="AD14" s="51"/>
      <c r="AE14" s="51">
        <v>32</v>
      </c>
      <c r="AF14" s="51"/>
      <c r="AG14" s="51">
        <v>0</v>
      </c>
      <c r="AH14" s="58">
        <v>0</v>
      </c>
      <c r="AI14" s="52">
        <v>0</v>
      </c>
      <c r="AJ14" s="51">
        <v>0</v>
      </c>
      <c r="AK14" s="51">
        <v>5</v>
      </c>
      <c r="AL14" s="59">
        <v>0</v>
      </c>
      <c r="AM14" s="51">
        <v>0</v>
      </c>
      <c r="AN14" s="55">
        <f t="shared" si="0"/>
      </c>
      <c r="AO14" s="51">
        <v>0</v>
      </c>
      <c r="AP14" s="60">
        <f t="shared" si="1"/>
      </c>
      <c r="AQ14" s="61">
        <f t="shared" si="3"/>
      </c>
      <c r="AR14" s="53">
        <f t="shared" si="5"/>
      </c>
      <c r="AS14" s="62">
        <f t="shared" si="7"/>
      </c>
      <c r="AT14" s="60">
        <v>0</v>
      </c>
      <c r="AU14" s="53">
        <f t="shared" si="9"/>
      </c>
      <c r="AV14" s="56">
        <f t="shared" si="10"/>
      </c>
      <c r="AW14" s="56">
        <v>0</v>
      </c>
      <c r="AX14" s="62">
        <f t="shared" si="11"/>
      </c>
      <c r="AY14" s="55"/>
      <c r="AZ14" s="63"/>
      <c r="BA14" s="63"/>
      <c r="BB14" s="64"/>
      <c r="BC14" s="55"/>
      <c r="BD14" s="56"/>
      <c r="BE14" s="56"/>
      <c r="BF14" s="56"/>
      <c r="BG14" s="57"/>
      <c r="BH14" s="65"/>
      <c r="BI14" s="51"/>
      <c r="BJ14" s="55"/>
      <c r="BK14" s="51"/>
      <c r="BL14" s="62"/>
      <c r="BM14" s="51"/>
      <c r="BN14" s="52"/>
      <c r="BO14" s="51"/>
      <c r="BP14" s="66"/>
      <c r="BQ14" s="67"/>
    </row>
    <row customHeight="true" ht="13.333333333333332" r="15">
      <c r="A15" s="50">
        <v>46004</v>
      </c>
      <c r="B15" s="51" t="s">
        <v>79</v>
      </c>
      <c r="C15" s="52"/>
      <c r="D15" s="51">
        <v>54.99</v>
      </c>
      <c r="E15" s="53"/>
      <c r="F15" s="53">
        <v>0</v>
      </c>
      <c r="G15" s="53">
        <v>0</v>
      </c>
      <c r="H15" s="54">
        <v>33.43</v>
      </c>
      <c r="I15" s="53" t="s">
        <v>73</v>
      </c>
      <c r="J15" s="55" t="s">
        <v>73</v>
      </c>
      <c r="K15" s="51">
        <f>'德国ERP数据'!BC14</f>
      </c>
      <c r="L15" s="51">
        <f>'德国ERP数据'!BA14</f>
      </c>
      <c r="M15" s="51">
        <f t="shared" si="2"/>
      </c>
      <c r="N15" s="53">
        <f t="shared" si="4"/>
      </c>
      <c r="O15" s="56">
        <f t="shared" si="6"/>
      </c>
      <c r="P15" s="56">
        <f t="shared" si="8"/>
      </c>
      <c r="Q15" s="51">
        <f>'德国ERP数据'!R14</f>
      </c>
      <c r="R15" s="51" t="s">
        <v>73</v>
      </c>
      <c r="S15" s="51">
        <f>'德国ERP数据'!Z14</f>
      </c>
      <c r="T15" s="51">
        <v>0</v>
      </c>
      <c r="U15" s="51">
        <v>0</v>
      </c>
      <c r="V15" s="53">
        <v>0</v>
      </c>
      <c r="W15" s="51">
        <v>0</v>
      </c>
      <c r="X15" s="57">
        <f>'德国ERP数据'!Q14</f>
      </c>
      <c r="Y15" s="51" t="s">
        <v>74</v>
      </c>
      <c r="Z15" s="51"/>
      <c r="AA15" s="51" t="s">
        <v>74</v>
      </c>
      <c r="AB15" s="51"/>
      <c r="AC15" s="51" t="s">
        <v>74</v>
      </c>
      <c r="AD15" s="51"/>
      <c r="AE15" s="51">
        <v>32</v>
      </c>
      <c r="AF15" s="51"/>
      <c r="AG15" s="51">
        <v>0</v>
      </c>
      <c r="AH15" s="58">
        <v>0</v>
      </c>
      <c r="AI15" s="52">
        <v>0</v>
      </c>
      <c r="AJ15" s="51">
        <v>0</v>
      </c>
      <c r="AK15" s="51">
        <v>5</v>
      </c>
      <c r="AL15" s="59">
        <v>0</v>
      </c>
      <c r="AM15" s="51">
        <v>0</v>
      </c>
      <c r="AN15" s="55">
        <f t="shared" si="0"/>
      </c>
      <c r="AO15" s="51">
        <v>0</v>
      </c>
      <c r="AP15" s="60">
        <f t="shared" si="1"/>
      </c>
      <c r="AQ15" s="61">
        <f t="shared" si="3"/>
      </c>
      <c r="AR15" s="53">
        <f t="shared" si="5"/>
      </c>
      <c r="AS15" s="62">
        <f t="shared" si="7"/>
      </c>
      <c r="AT15" s="60">
        <v>0</v>
      </c>
      <c r="AU15" s="53">
        <f t="shared" si="9"/>
      </c>
      <c r="AV15" s="56">
        <f t="shared" si="10"/>
      </c>
      <c r="AW15" s="56">
        <v>0</v>
      </c>
      <c r="AX15" s="62">
        <f t="shared" si="11"/>
      </c>
      <c r="AY15" s="55"/>
      <c r="AZ15" s="63"/>
      <c r="BA15" s="63"/>
      <c r="BB15" s="64"/>
      <c r="BC15" s="55"/>
      <c r="BD15" s="56"/>
      <c r="BE15" s="56"/>
      <c r="BF15" s="56"/>
      <c r="BG15" s="57"/>
      <c r="BH15" s="65"/>
      <c r="BI15" s="51"/>
      <c r="BJ15" s="55"/>
      <c r="BK15" s="51"/>
      <c r="BL15" s="62"/>
      <c r="BM15" s="51"/>
      <c r="BN15" s="52"/>
      <c r="BO15" s="51"/>
      <c r="BP15" s="66"/>
      <c r="BQ15" s="67"/>
    </row>
    <row customHeight="true" ht="13.333333333333332" r="16">
      <c r="A16" s="50">
        <v>46005</v>
      </c>
      <c r="B16" s="51" t="s">
        <v>80</v>
      </c>
      <c r="C16" s="52"/>
      <c r="D16" s="51">
        <v>54.99</v>
      </c>
      <c r="E16" s="53"/>
      <c r="F16" s="53">
        <v>0</v>
      </c>
      <c r="G16" s="53">
        <v>0</v>
      </c>
      <c r="H16" s="54">
        <v>33.43</v>
      </c>
      <c r="I16" s="53" t="s">
        <v>73</v>
      </c>
      <c r="J16" s="55" t="s">
        <v>73</v>
      </c>
      <c r="K16" s="51">
        <f>'德国ERP数据'!BC15</f>
      </c>
      <c r="L16" s="51">
        <f>'德国ERP数据'!BA15</f>
      </c>
      <c r="M16" s="51">
        <f t="shared" si="2"/>
      </c>
      <c r="N16" s="53">
        <f t="shared" si="4"/>
      </c>
      <c r="O16" s="56">
        <f t="shared" si="6"/>
      </c>
      <c r="P16" s="56">
        <f t="shared" si="8"/>
      </c>
      <c r="Q16" s="51">
        <f>'德国ERP数据'!R15</f>
      </c>
      <c r="R16" s="51" t="s">
        <v>73</v>
      </c>
      <c r="S16" s="51">
        <f>'德国ERP数据'!Z15</f>
      </c>
      <c r="T16" s="51">
        <v>0</v>
      </c>
      <c r="U16" s="51">
        <v>0</v>
      </c>
      <c r="V16" s="53">
        <v>0</v>
      </c>
      <c r="W16" s="51">
        <v>0</v>
      </c>
      <c r="X16" s="57">
        <f>'德国ERP数据'!Q15</f>
      </c>
      <c r="Y16" s="51" t="s">
        <v>74</v>
      </c>
      <c r="Z16" s="51"/>
      <c r="AA16" s="51" t="s">
        <v>74</v>
      </c>
      <c r="AB16" s="51"/>
      <c r="AC16" s="51" t="s">
        <v>74</v>
      </c>
      <c r="AD16" s="51"/>
      <c r="AE16" s="51">
        <v>32</v>
      </c>
      <c r="AF16" s="51"/>
      <c r="AG16" s="51">
        <v>0</v>
      </c>
      <c r="AH16" s="58">
        <v>0</v>
      </c>
      <c r="AI16" s="52">
        <v>0</v>
      </c>
      <c r="AJ16" s="51">
        <v>0</v>
      </c>
      <c r="AK16" s="51">
        <v>5</v>
      </c>
      <c r="AL16" s="59">
        <v>0</v>
      </c>
      <c r="AM16" s="51">
        <v>0</v>
      </c>
      <c r="AN16" s="55">
        <f t="shared" si="0"/>
      </c>
      <c r="AO16" s="51">
        <v>0</v>
      </c>
      <c r="AP16" s="60">
        <f t="shared" si="1"/>
      </c>
      <c r="AQ16" s="61">
        <f t="shared" si="3"/>
      </c>
      <c r="AR16" s="53">
        <f t="shared" si="5"/>
      </c>
      <c r="AS16" s="62">
        <f t="shared" si="7"/>
      </c>
      <c r="AT16" s="60">
        <v>0</v>
      </c>
      <c r="AU16" s="53">
        <f t="shared" si="9"/>
      </c>
      <c r="AV16" s="56">
        <f t="shared" si="10"/>
      </c>
      <c r="AW16" s="56">
        <v>0</v>
      </c>
      <c r="AX16" s="62">
        <f t="shared" si="11"/>
      </c>
      <c r="AY16" s="55"/>
      <c r="AZ16" s="63"/>
      <c r="BA16" s="63"/>
      <c r="BB16" s="64"/>
      <c r="BC16" s="55"/>
      <c r="BD16" s="56"/>
      <c r="BE16" s="56"/>
      <c r="BF16" s="56"/>
      <c r="BG16" s="57"/>
      <c r="BH16" s="65"/>
      <c r="BI16" s="51"/>
      <c r="BJ16" s="55"/>
      <c r="BK16" s="51"/>
      <c r="BL16" s="62"/>
      <c r="BM16" s="51"/>
      <c r="BN16" s="52"/>
      <c r="BO16" s="51"/>
      <c r="BP16" s="66"/>
      <c r="BQ16" s="67"/>
    </row>
    <row customHeight="true" ht="13.333333333333332" r="17">
      <c r="A17" s="50">
        <v>46006</v>
      </c>
      <c r="B17" s="51" t="s">
        <v>71</v>
      </c>
      <c r="C17" s="52"/>
      <c r="D17" s="51">
        <v>54.99</v>
      </c>
      <c r="E17" s="53"/>
      <c r="F17" s="53">
        <v>0</v>
      </c>
      <c r="G17" s="53">
        <v>0</v>
      </c>
      <c r="H17" s="54">
        <v>33.43</v>
      </c>
      <c r="I17" s="53" t="s">
        <v>73</v>
      </c>
      <c r="J17" s="55" t="s">
        <v>73</v>
      </c>
      <c r="K17" s="51">
        <f>'德国ERP数据'!BC16</f>
      </c>
      <c r="L17" s="51">
        <f>'德国ERP数据'!BA16</f>
      </c>
      <c r="M17" s="51">
        <f t="shared" si="2"/>
      </c>
      <c r="N17" s="53">
        <f t="shared" si="4"/>
      </c>
      <c r="O17" s="56">
        <f t="shared" si="6"/>
      </c>
      <c r="P17" s="56">
        <f t="shared" si="8"/>
      </c>
      <c r="Q17" s="51">
        <f>'德国ERP数据'!R16</f>
      </c>
      <c r="R17" s="51" t="s">
        <v>73</v>
      </c>
      <c r="S17" s="51">
        <f>'德国ERP数据'!Z16</f>
      </c>
      <c r="T17" s="51">
        <v>0</v>
      </c>
      <c r="U17" s="51">
        <v>0</v>
      </c>
      <c r="V17" s="53">
        <v>0</v>
      </c>
      <c r="W17" s="51">
        <v>0</v>
      </c>
      <c r="X17" s="57">
        <f>'德国ERP数据'!Q16</f>
      </c>
      <c r="Y17" s="51" t="s">
        <v>74</v>
      </c>
      <c r="Z17" s="51"/>
      <c r="AA17" s="51" t="s">
        <v>74</v>
      </c>
      <c r="AB17" s="51"/>
      <c r="AC17" s="51" t="s">
        <v>74</v>
      </c>
      <c r="AD17" s="51"/>
      <c r="AE17" s="51">
        <v>32</v>
      </c>
      <c r="AF17" s="51"/>
      <c r="AG17" s="51">
        <v>0</v>
      </c>
      <c r="AH17" s="58">
        <v>0</v>
      </c>
      <c r="AI17" s="52">
        <v>0</v>
      </c>
      <c r="AJ17" s="51">
        <v>0</v>
      </c>
      <c r="AK17" s="51">
        <v>5</v>
      </c>
      <c r="AL17" s="59">
        <v>0</v>
      </c>
      <c r="AM17" s="51">
        <v>0</v>
      </c>
      <c r="AN17" s="55">
        <f t="shared" si="0"/>
      </c>
      <c r="AO17" s="51">
        <v>0</v>
      </c>
      <c r="AP17" s="60">
        <f t="shared" si="1"/>
      </c>
      <c r="AQ17" s="61">
        <f t="shared" si="3"/>
      </c>
      <c r="AR17" s="53">
        <f t="shared" si="5"/>
      </c>
      <c r="AS17" s="62">
        <f t="shared" si="7"/>
      </c>
      <c r="AT17" s="60">
        <v>0</v>
      </c>
      <c r="AU17" s="53">
        <f t="shared" si="9"/>
      </c>
      <c r="AV17" s="56">
        <f t="shared" si="10"/>
      </c>
      <c r="AW17" s="56">
        <v>0</v>
      </c>
      <c r="AX17" s="62">
        <f t="shared" si="11"/>
      </c>
      <c r="AY17" s="55"/>
      <c r="AZ17" s="63"/>
      <c r="BA17" s="63"/>
      <c r="BB17" s="64"/>
      <c r="BC17" s="55"/>
      <c r="BD17" s="56"/>
      <c r="BE17" s="56"/>
      <c r="BF17" s="56"/>
      <c r="BG17" s="57"/>
      <c r="BH17" s="65"/>
      <c r="BI17" s="51"/>
      <c r="BJ17" s="55"/>
      <c r="BK17" s="51"/>
      <c r="BL17" s="62"/>
      <c r="BM17" s="51"/>
      <c r="BN17" s="52"/>
      <c r="BO17" s="51"/>
      <c r="BP17" s="66"/>
      <c r="BQ17" s="67"/>
    </row>
    <row customHeight="true" ht="13.333333333333332" r="18">
      <c r="A18" s="50">
        <v>46007</v>
      </c>
      <c r="B18" s="51" t="s">
        <v>75</v>
      </c>
      <c r="C18" s="52"/>
      <c r="D18" s="51">
        <v>54.99</v>
      </c>
      <c r="E18" s="53"/>
      <c r="F18" s="53">
        <v>0</v>
      </c>
      <c r="G18" s="53">
        <v>0</v>
      </c>
      <c r="H18" s="54">
        <v>33.43</v>
      </c>
      <c r="I18" s="53" t="s">
        <v>73</v>
      </c>
      <c r="J18" s="55" t="s">
        <v>73</v>
      </c>
      <c r="K18" s="51">
        <f>'德国ERP数据'!BC17</f>
      </c>
      <c r="L18" s="51">
        <f>'德国ERP数据'!BA17</f>
      </c>
      <c r="M18" s="51">
        <f t="shared" si="2"/>
      </c>
      <c r="N18" s="53">
        <f t="shared" si="4"/>
      </c>
      <c r="O18" s="56">
        <f t="shared" si="6"/>
      </c>
      <c r="P18" s="56">
        <f t="shared" si="8"/>
      </c>
      <c r="Q18" s="51">
        <f>'德国ERP数据'!R17</f>
      </c>
      <c r="R18" s="51" t="s">
        <v>73</v>
      </c>
      <c r="S18" s="51">
        <f>'德国ERP数据'!Z17</f>
      </c>
      <c r="T18" s="51">
        <v>0</v>
      </c>
      <c r="U18" s="51">
        <v>0</v>
      </c>
      <c r="V18" s="53">
        <v>0</v>
      </c>
      <c r="W18" s="51">
        <v>0</v>
      </c>
      <c r="X18" s="57">
        <f>'德国ERP数据'!Q17</f>
      </c>
      <c r="Y18" s="51" t="s">
        <v>74</v>
      </c>
      <c r="Z18" s="51"/>
      <c r="AA18" s="51" t="s">
        <v>74</v>
      </c>
      <c r="AB18" s="51"/>
      <c r="AC18" s="51" t="s">
        <v>74</v>
      </c>
      <c r="AD18" s="51"/>
      <c r="AE18" s="51">
        <v>32</v>
      </c>
      <c r="AF18" s="51"/>
      <c r="AG18" s="51">
        <v>0</v>
      </c>
      <c r="AH18" s="58">
        <v>0</v>
      </c>
      <c r="AI18" s="52">
        <v>0</v>
      </c>
      <c r="AJ18" s="51">
        <v>0</v>
      </c>
      <c r="AK18" s="51">
        <v>5</v>
      </c>
      <c r="AL18" s="59">
        <v>0</v>
      </c>
      <c r="AM18" s="51">
        <v>0</v>
      </c>
      <c r="AN18" s="55">
        <f t="shared" si="0"/>
      </c>
      <c r="AO18" s="51">
        <v>0</v>
      </c>
      <c r="AP18" s="60">
        <f t="shared" si="1"/>
      </c>
      <c r="AQ18" s="61">
        <f t="shared" si="3"/>
      </c>
      <c r="AR18" s="53">
        <f t="shared" si="5"/>
      </c>
      <c r="AS18" s="62">
        <f t="shared" si="7"/>
      </c>
      <c r="AT18" s="60">
        <v>0</v>
      </c>
      <c r="AU18" s="53">
        <f t="shared" si="9"/>
      </c>
      <c r="AV18" s="56">
        <f t="shared" si="10"/>
      </c>
      <c r="AW18" s="56">
        <v>0</v>
      </c>
      <c r="AX18" s="62">
        <f t="shared" si="11"/>
      </c>
      <c r="AY18" s="55"/>
      <c r="AZ18" s="63"/>
      <c r="BA18" s="63"/>
      <c r="BB18" s="64"/>
      <c r="BC18" s="55"/>
      <c r="BD18" s="56"/>
      <c r="BE18" s="56"/>
      <c r="BF18" s="56"/>
      <c r="BG18" s="57"/>
      <c r="BH18" s="65"/>
      <c r="BI18" s="51"/>
      <c r="BJ18" s="55"/>
      <c r="BK18" s="51"/>
      <c r="BL18" s="62"/>
      <c r="BM18" s="51"/>
      <c r="BN18" s="52"/>
      <c r="BO18" s="51"/>
      <c r="BP18" s="66"/>
      <c r="BQ18" s="67"/>
    </row>
    <row customHeight="true" ht="13.333333333333332" r="19">
      <c r="A19" s="50">
        <v>46008</v>
      </c>
      <c r="B19" s="51" t="s">
        <v>76</v>
      </c>
      <c r="C19" s="52"/>
      <c r="D19" s="51">
        <v>54.99</v>
      </c>
      <c r="E19" s="53"/>
      <c r="F19" s="53">
        <v>0</v>
      </c>
      <c r="G19" s="53">
        <v>0</v>
      </c>
      <c r="H19" s="54">
        <v>33.43</v>
      </c>
      <c r="I19" s="53" t="s">
        <v>73</v>
      </c>
      <c r="J19" s="55" t="s">
        <v>73</v>
      </c>
      <c r="K19" s="51">
        <f>'德国ERP数据'!BC18</f>
      </c>
      <c r="L19" s="51">
        <f>'德国ERP数据'!BA18</f>
      </c>
      <c r="M19" s="51">
        <f t="shared" si="2"/>
      </c>
      <c r="N19" s="53">
        <f t="shared" si="4"/>
      </c>
      <c r="O19" s="56">
        <f t="shared" si="6"/>
      </c>
      <c r="P19" s="56">
        <f t="shared" si="8"/>
      </c>
      <c r="Q19" s="51">
        <f>'德国ERP数据'!R18</f>
      </c>
      <c r="R19" s="51" t="s">
        <v>73</v>
      </c>
      <c r="S19" s="51">
        <f>'德国ERP数据'!Z18</f>
      </c>
      <c r="T19" s="51">
        <v>0</v>
      </c>
      <c r="U19" s="51">
        <v>0</v>
      </c>
      <c r="V19" s="53">
        <v>0</v>
      </c>
      <c r="W19" s="51">
        <v>0</v>
      </c>
      <c r="X19" s="57">
        <f>'德国ERP数据'!Q18</f>
      </c>
      <c r="Y19" s="51" t="s">
        <v>74</v>
      </c>
      <c r="Z19" s="51"/>
      <c r="AA19" s="51" t="s">
        <v>74</v>
      </c>
      <c r="AB19" s="51"/>
      <c r="AC19" s="51" t="s">
        <v>74</v>
      </c>
      <c r="AD19" s="51"/>
      <c r="AE19" s="51">
        <v>32</v>
      </c>
      <c r="AF19" s="51"/>
      <c r="AG19" s="51">
        <v>0</v>
      </c>
      <c r="AH19" s="58">
        <v>0</v>
      </c>
      <c r="AI19" s="52">
        <v>0</v>
      </c>
      <c r="AJ19" s="51">
        <v>0</v>
      </c>
      <c r="AK19" s="51">
        <v>5</v>
      </c>
      <c r="AL19" s="59">
        <v>0</v>
      </c>
      <c r="AM19" s="51">
        <v>0</v>
      </c>
      <c r="AN19" s="55">
        <f t="shared" si="0"/>
      </c>
      <c r="AO19" s="51">
        <v>0</v>
      </c>
      <c r="AP19" s="60">
        <f t="shared" si="1"/>
      </c>
      <c r="AQ19" s="61">
        <f t="shared" si="3"/>
      </c>
      <c r="AR19" s="53">
        <f t="shared" si="5"/>
      </c>
      <c r="AS19" s="62">
        <f t="shared" si="7"/>
      </c>
      <c r="AT19" s="60">
        <v>0</v>
      </c>
      <c r="AU19" s="53">
        <f t="shared" si="9"/>
      </c>
      <c r="AV19" s="56">
        <f t="shared" si="10"/>
      </c>
      <c r="AW19" s="56">
        <v>0</v>
      </c>
      <c r="AX19" s="62">
        <f t="shared" si="11"/>
      </c>
      <c r="AY19" s="55"/>
      <c r="AZ19" s="63"/>
      <c r="BA19" s="63"/>
      <c r="BB19" s="64"/>
      <c r="BC19" s="55"/>
      <c r="BD19" s="56"/>
      <c r="BE19" s="56"/>
      <c r="BF19" s="56"/>
      <c r="BG19" s="57"/>
      <c r="BH19" s="65"/>
      <c r="BI19" s="51"/>
      <c r="BJ19" s="55"/>
      <c r="BK19" s="51"/>
      <c r="BL19" s="62"/>
      <c r="BM19" s="51"/>
      <c r="BN19" s="52"/>
      <c r="BO19" s="51"/>
      <c r="BP19" s="66"/>
      <c r="BQ19" s="67"/>
    </row>
    <row customHeight="true" ht="13.333333333333332" r="20">
      <c r="A20" s="50">
        <v>46009</v>
      </c>
      <c r="B20" s="51" t="s">
        <v>77</v>
      </c>
      <c r="C20" s="52"/>
      <c r="D20" s="51">
        <v>54.99</v>
      </c>
      <c r="E20" s="53"/>
      <c r="F20" s="53">
        <v>0</v>
      </c>
      <c r="G20" s="53">
        <v>0</v>
      </c>
      <c r="H20" s="54">
        <v>33.43</v>
      </c>
      <c r="I20" s="53" t="s">
        <v>73</v>
      </c>
      <c r="J20" s="55" t="s">
        <v>73</v>
      </c>
      <c r="K20" s="51">
        <f>'德国ERP数据'!BC19</f>
      </c>
      <c r="L20" s="51">
        <f>'德国ERP数据'!BA19</f>
      </c>
      <c r="M20" s="51">
        <f t="shared" si="2"/>
      </c>
      <c r="N20" s="53">
        <f t="shared" si="4"/>
      </c>
      <c r="O20" s="56">
        <f t="shared" si="6"/>
      </c>
      <c r="P20" s="56">
        <f t="shared" si="8"/>
      </c>
      <c r="Q20" s="51">
        <f>'德国ERP数据'!R19</f>
      </c>
      <c r="R20" s="51" t="s">
        <v>73</v>
      </c>
      <c r="S20" s="51">
        <f>'德国ERP数据'!Z19</f>
      </c>
      <c r="T20" s="51">
        <v>0</v>
      </c>
      <c r="U20" s="51">
        <v>0</v>
      </c>
      <c r="V20" s="53">
        <v>0</v>
      </c>
      <c r="W20" s="51">
        <v>0</v>
      </c>
      <c r="X20" s="57">
        <f>'德国ERP数据'!Q19</f>
      </c>
      <c r="Y20" s="51" t="s">
        <v>74</v>
      </c>
      <c r="Z20" s="51"/>
      <c r="AA20" s="51" t="s">
        <v>74</v>
      </c>
      <c r="AB20" s="51"/>
      <c r="AC20" s="51" t="s">
        <v>74</v>
      </c>
      <c r="AD20" s="51"/>
      <c r="AE20" s="51">
        <v>32</v>
      </c>
      <c r="AF20" s="51"/>
      <c r="AG20" s="51">
        <v>0</v>
      </c>
      <c r="AH20" s="58">
        <v>0</v>
      </c>
      <c r="AI20" s="52">
        <v>0</v>
      </c>
      <c r="AJ20" s="51">
        <v>0</v>
      </c>
      <c r="AK20" s="51">
        <v>5</v>
      </c>
      <c r="AL20" s="59">
        <v>0</v>
      </c>
      <c r="AM20" s="51">
        <v>0</v>
      </c>
      <c r="AN20" s="55">
        <f t="shared" si="0"/>
      </c>
      <c r="AO20" s="51">
        <v>0</v>
      </c>
      <c r="AP20" s="60">
        <f t="shared" si="1"/>
      </c>
      <c r="AQ20" s="61">
        <f t="shared" si="3"/>
      </c>
      <c r="AR20" s="53">
        <f t="shared" si="5"/>
      </c>
      <c r="AS20" s="62">
        <f t="shared" si="7"/>
      </c>
      <c r="AT20" s="60">
        <v>0</v>
      </c>
      <c r="AU20" s="53">
        <f t="shared" si="9"/>
      </c>
      <c r="AV20" s="56">
        <f t="shared" si="10"/>
      </c>
      <c r="AW20" s="56">
        <v>0</v>
      </c>
      <c r="AX20" s="62">
        <f t="shared" si="11"/>
      </c>
      <c r="AY20" s="55"/>
      <c r="AZ20" s="63"/>
      <c r="BA20" s="63"/>
      <c r="BB20" s="64"/>
      <c r="BC20" s="55"/>
      <c r="BD20" s="56"/>
      <c r="BE20" s="56"/>
      <c r="BF20" s="56"/>
      <c r="BG20" s="57"/>
      <c r="BH20" s="65"/>
      <c r="BI20" s="51"/>
      <c r="BJ20" s="55"/>
      <c r="BK20" s="51"/>
      <c r="BL20" s="62"/>
      <c r="BM20" s="51"/>
      <c r="BN20" s="52"/>
      <c r="BO20" s="51"/>
      <c r="BP20" s="66"/>
      <c r="BQ20" s="67"/>
    </row>
    <row customHeight="true" ht="13.333333333333332" r="21">
      <c r="A21" s="50">
        <v>46010</v>
      </c>
      <c r="B21" s="51" t="s">
        <v>78</v>
      </c>
      <c r="C21" s="52"/>
      <c r="D21" s="51">
        <v>54.99</v>
      </c>
      <c r="E21" s="53"/>
      <c r="F21" s="53">
        <v>0</v>
      </c>
      <c r="G21" s="53">
        <v>0</v>
      </c>
      <c r="H21" s="54">
        <v>33.43</v>
      </c>
      <c r="I21" s="53" t="s">
        <v>73</v>
      </c>
      <c r="J21" s="55" t="s">
        <v>73</v>
      </c>
      <c r="K21" s="51">
        <f>'德国ERP数据'!BC20</f>
      </c>
      <c r="L21" s="51">
        <f>'德国ERP数据'!BA20</f>
      </c>
      <c r="M21" s="51">
        <f t="shared" si="2"/>
      </c>
      <c r="N21" s="53">
        <f t="shared" si="4"/>
      </c>
      <c r="O21" s="56">
        <f t="shared" si="6"/>
      </c>
      <c r="P21" s="56">
        <f t="shared" si="8"/>
      </c>
      <c r="Q21" s="51">
        <f>'德国ERP数据'!R20</f>
      </c>
      <c r="R21" s="51" t="s">
        <v>73</v>
      </c>
      <c r="S21" s="51">
        <f>'德国ERP数据'!Z20</f>
      </c>
      <c r="T21" s="51">
        <v>0</v>
      </c>
      <c r="U21" s="51">
        <v>0</v>
      </c>
      <c r="V21" s="53">
        <v>0</v>
      </c>
      <c r="W21" s="51">
        <v>0</v>
      </c>
      <c r="X21" s="57">
        <f>'德国ERP数据'!Q20</f>
      </c>
      <c r="Y21" s="51" t="s">
        <v>74</v>
      </c>
      <c r="Z21" s="51"/>
      <c r="AA21" s="51" t="s">
        <v>74</v>
      </c>
      <c r="AB21" s="51"/>
      <c r="AC21" s="51" t="s">
        <v>74</v>
      </c>
      <c r="AD21" s="51"/>
      <c r="AE21" s="51">
        <v>32</v>
      </c>
      <c r="AF21" s="51"/>
      <c r="AG21" s="51">
        <v>0</v>
      </c>
      <c r="AH21" s="58">
        <v>0</v>
      </c>
      <c r="AI21" s="52">
        <v>0</v>
      </c>
      <c r="AJ21" s="51">
        <v>0</v>
      </c>
      <c r="AK21" s="51">
        <v>5</v>
      </c>
      <c r="AL21" s="59">
        <v>0</v>
      </c>
      <c r="AM21" s="51">
        <v>0</v>
      </c>
      <c r="AN21" s="55">
        <f t="shared" si="0"/>
      </c>
      <c r="AO21" s="51">
        <v>0</v>
      </c>
      <c r="AP21" s="60">
        <f t="shared" si="1"/>
      </c>
      <c r="AQ21" s="61">
        <f t="shared" si="3"/>
      </c>
      <c r="AR21" s="53">
        <f t="shared" si="5"/>
      </c>
      <c r="AS21" s="62">
        <f t="shared" si="7"/>
      </c>
      <c r="AT21" s="60">
        <v>0</v>
      </c>
      <c r="AU21" s="53">
        <f t="shared" si="9"/>
      </c>
      <c r="AV21" s="56">
        <f t="shared" si="10"/>
      </c>
      <c r="AW21" s="56">
        <v>0</v>
      </c>
      <c r="AX21" s="62">
        <f t="shared" si="11"/>
      </c>
      <c r="AY21" s="55"/>
      <c r="AZ21" s="63"/>
      <c r="BA21" s="63"/>
      <c r="BB21" s="64"/>
      <c r="BC21" s="55"/>
      <c r="BD21" s="56"/>
      <c r="BE21" s="56"/>
      <c r="BF21" s="56"/>
      <c r="BG21" s="57"/>
      <c r="BH21" s="65"/>
      <c r="BI21" s="51"/>
      <c r="BJ21" s="55"/>
      <c r="BK21" s="51"/>
      <c r="BL21" s="62"/>
      <c r="BM21" s="51"/>
      <c r="BN21" s="52"/>
      <c r="BO21" s="51"/>
      <c r="BP21" s="66"/>
      <c r="BQ21" s="67"/>
    </row>
    <row customHeight="true" ht="13.333333333333332" r="22">
      <c r="A22" s="50">
        <v>46011</v>
      </c>
      <c r="B22" s="51" t="s">
        <v>79</v>
      </c>
      <c r="C22" s="52"/>
      <c r="D22" s="51">
        <v>54.99</v>
      </c>
      <c r="E22" s="53"/>
      <c r="F22" s="53">
        <v>0</v>
      </c>
      <c r="G22" s="53">
        <v>0</v>
      </c>
      <c r="H22" s="54">
        <v>33.43</v>
      </c>
      <c r="I22" s="53" t="s">
        <v>73</v>
      </c>
      <c r="J22" s="55" t="s">
        <v>73</v>
      </c>
      <c r="K22" s="51">
        <f>'德国ERP数据'!BC21</f>
      </c>
      <c r="L22" s="51">
        <f>'德国ERP数据'!BA21</f>
      </c>
      <c r="M22" s="51">
        <f t="shared" si="2"/>
      </c>
      <c r="N22" s="53">
        <f t="shared" si="4"/>
      </c>
      <c r="O22" s="56">
        <f t="shared" si="6"/>
      </c>
      <c r="P22" s="56">
        <f t="shared" si="8"/>
      </c>
      <c r="Q22" s="51">
        <f>'德国ERP数据'!R21</f>
      </c>
      <c r="R22" s="51" t="s">
        <v>73</v>
      </c>
      <c r="S22" s="51">
        <f>'德国ERP数据'!Z21</f>
      </c>
      <c r="T22" s="51">
        <v>0</v>
      </c>
      <c r="U22" s="51">
        <v>0</v>
      </c>
      <c r="V22" s="53">
        <v>0</v>
      </c>
      <c r="W22" s="51">
        <v>0</v>
      </c>
      <c r="X22" s="57">
        <f>'德国ERP数据'!Q21</f>
      </c>
      <c r="Y22" s="51" t="s">
        <v>74</v>
      </c>
      <c r="Z22" s="51"/>
      <c r="AA22" s="51" t="s">
        <v>74</v>
      </c>
      <c r="AB22" s="51"/>
      <c r="AC22" s="51" t="s">
        <v>74</v>
      </c>
      <c r="AD22" s="51"/>
      <c r="AE22" s="51">
        <v>32</v>
      </c>
      <c r="AF22" s="51"/>
      <c r="AG22" s="51">
        <v>0</v>
      </c>
      <c r="AH22" s="58">
        <v>0</v>
      </c>
      <c r="AI22" s="52">
        <v>0</v>
      </c>
      <c r="AJ22" s="51">
        <v>0</v>
      </c>
      <c r="AK22" s="51">
        <v>5</v>
      </c>
      <c r="AL22" s="59">
        <v>0</v>
      </c>
      <c r="AM22" s="51">
        <v>0</v>
      </c>
      <c r="AN22" s="55">
        <f t="shared" si="0"/>
      </c>
      <c r="AO22" s="51">
        <v>0</v>
      </c>
      <c r="AP22" s="60">
        <f t="shared" si="1"/>
      </c>
      <c r="AQ22" s="61">
        <f t="shared" si="3"/>
      </c>
      <c r="AR22" s="53">
        <f t="shared" si="5"/>
      </c>
      <c r="AS22" s="62">
        <f t="shared" si="7"/>
      </c>
      <c r="AT22" s="60">
        <v>0</v>
      </c>
      <c r="AU22" s="53">
        <f t="shared" si="9"/>
      </c>
      <c r="AV22" s="56">
        <f t="shared" si="10"/>
      </c>
      <c r="AW22" s="56">
        <v>0</v>
      </c>
      <c r="AX22" s="62">
        <f t="shared" si="11"/>
      </c>
      <c r="AY22" s="55"/>
      <c r="AZ22" s="63"/>
      <c r="BA22" s="63"/>
      <c r="BB22" s="64"/>
      <c r="BC22" s="55"/>
      <c r="BD22" s="56"/>
      <c r="BE22" s="56"/>
      <c r="BF22" s="56"/>
      <c r="BG22" s="57"/>
      <c r="BH22" s="65"/>
      <c r="BI22" s="51"/>
      <c r="BJ22" s="55"/>
      <c r="BK22" s="51"/>
      <c r="BL22" s="62"/>
      <c r="BM22" s="51"/>
      <c r="BN22" s="52"/>
      <c r="BO22" s="51"/>
      <c r="BP22" s="66"/>
      <c r="BQ22" s="67"/>
    </row>
    <row customHeight="true" ht="13.333333333333332" r="23">
      <c r="A23" s="50">
        <v>46012</v>
      </c>
      <c r="B23" s="51" t="s">
        <v>80</v>
      </c>
      <c r="C23" s="52"/>
      <c r="D23" s="51">
        <v>54.99</v>
      </c>
      <c r="E23" s="53"/>
      <c r="F23" s="53">
        <v>0</v>
      </c>
      <c r="G23" s="53">
        <v>0</v>
      </c>
      <c r="H23" s="54">
        <v>33.43</v>
      </c>
      <c r="I23" s="53" t="s">
        <v>73</v>
      </c>
      <c r="J23" s="55" t="s">
        <v>73</v>
      </c>
      <c r="K23" s="51">
        <f>'德国ERP数据'!BC22</f>
      </c>
      <c r="L23" s="51">
        <f>'德国ERP数据'!BA22</f>
      </c>
      <c r="M23" s="51">
        <f t="shared" si="2"/>
      </c>
      <c r="N23" s="53">
        <f t="shared" si="4"/>
      </c>
      <c r="O23" s="56">
        <f t="shared" si="6"/>
      </c>
      <c r="P23" s="56">
        <f t="shared" si="8"/>
      </c>
      <c r="Q23" s="51">
        <f>'德国ERP数据'!R22</f>
      </c>
      <c r="R23" s="51" t="s">
        <v>73</v>
      </c>
      <c r="S23" s="51">
        <f>'德国ERP数据'!Z22</f>
      </c>
      <c r="T23" s="51">
        <v>0</v>
      </c>
      <c r="U23" s="51">
        <v>0</v>
      </c>
      <c r="V23" s="53">
        <v>0</v>
      </c>
      <c r="W23" s="51">
        <v>0</v>
      </c>
      <c r="X23" s="57">
        <f>'德国ERP数据'!Q22</f>
      </c>
      <c r="Y23" s="51" t="s">
        <v>74</v>
      </c>
      <c r="Z23" s="51"/>
      <c r="AA23" s="51" t="s">
        <v>74</v>
      </c>
      <c r="AB23" s="51"/>
      <c r="AC23" s="51" t="s">
        <v>74</v>
      </c>
      <c r="AD23" s="51"/>
      <c r="AE23" s="51">
        <v>32</v>
      </c>
      <c r="AF23" s="51"/>
      <c r="AG23" s="51">
        <v>0</v>
      </c>
      <c r="AH23" s="58">
        <v>0</v>
      </c>
      <c r="AI23" s="52">
        <v>0</v>
      </c>
      <c r="AJ23" s="51">
        <v>0</v>
      </c>
      <c r="AK23" s="51">
        <v>5</v>
      </c>
      <c r="AL23" s="59">
        <v>0</v>
      </c>
      <c r="AM23" s="51">
        <v>0</v>
      </c>
      <c r="AN23" s="55">
        <f t="shared" si="0"/>
      </c>
      <c r="AO23" s="51">
        <v>0</v>
      </c>
      <c r="AP23" s="60">
        <f t="shared" si="1"/>
      </c>
      <c r="AQ23" s="61">
        <f t="shared" si="3"/>
      </c>
      <c r="AR23" s="53">
        <f t="shared" si="5"/>
      </c>
      <c r="AS23" s="62">
        <f t="shared" si="7"/>
      </c>
      <c r="AT23" s="60">
        <v>0</v>
      </c>
      <c r="AU23" s="53">
        <f t="shared" si="9"/>
      </c>
      <c r="AV23" s="56">
        <f t="shared" si="10"/>
      </c>
      <c r="AW23" s="56">
        <v>0</v>
      </c>
      <c r="AX23" s="62">
        <f t="shared" si="11"/>
      </c>
      <c r="AY23" s="55"/>
      <c r="AZ23" s="63"/>
      <c r="BA23" s="63"/>
      <c r="BB23" s="64"/>
      <c r="BC23" s="55"/>
      <c r="BD23" s="56"/>
      <c r="BE23" s="56"/>
      <c r="BF23" s="56"/>
      <c r="BG23" s="57"/>
      <c r="BH23" s="65"/>
      <c r="BI23" s="51"/>
      <c r="BJ23" s="55"/>
      <c r="BK23" s="51"/>
      <c r="BL23" s="62"/>
      <c r="BM23" s="51"/>
      <c r="BN23" s="52"/>
      <c r="BO23" s="51"/>
      <c r="BP23" s="66"/>
      <c r="BQ23" s="67"/>
    </row>
    <row customHeight="true" ht="13.333333333333332" r="24">
      <c r="A24" s="50">
        <v>46013</v>
      </c>
      <c r="B24" s="51" t="s">
        <v>71</v>
      </c>
      <c r="C24" s="52"/>
      <c r="D24" s="51">
        <v>54.99</v>
      </c>
      <c r="E24" s="53"/>
      <c r="F24" s="53">
        <v>0</v>
      </c>
      <c r="G24" s="53">
        <v>0</v>
      </c>
      <c r="H24" s="54">
        <v>33.43</v>
      </c>
      <c r="I24" s="53" t="s">
        <v>73</v>
      </c>
      <c r="J24" s="55" t="s">
        <v>73</v>
      </c>
      <c r="K24" s="51">
        <f>'德国ERP数据'!BC23</f>
      </c>
      <c r="L24" s="51">
        <f>'德国ERP数据'!BA23</f>
      </c>
      <c r="M24" s="51">
        <f t="shared" si="2"/>
      </c>
      <c r="N24" s="53">
        <f t="shared" si="4"/>
      </c>
      <c r="O24" s="56">
        <f t="shared" si="6"/>
      </c>
      <c r="P24" s="56">
        <f t="shared" si="8"/>
      </c>
      <c r="Q24" s="51">
        <f>'德国ERP数据'!R23</f>
      </c>
      <c r="R24" s="51" t="s">
        <v>73</v>
      </c>
      <c r="S24" s="51">
        <f>'德国ERP数据'!Z23</f>
      </c>
      <c r="T24" s="51">
        <v>0</v>
      </c>
      <c r="U24" s="51">
        <v>0</v>
      </c>
      <c r="V24" s="53">
        <v>0</v>
      </c>
      <c r="W24" s="51">
        <v>0</v>
      </c>
      <c r="X24" s="57">
        <f>'德国ERP数据'!Q23</f>
      </c>
      <c r="Y24" s="51" t="s">
        <v>74</v>
      </c>
      <c r="Z24" s="51"/>
      <c r="AA24" s="51" t="s">
        <v>74</v>
      </c>
      <c r="AB24" s="51"/>
      <c r="AC24" s="51" t="s">
        <v>74</v>
      </c>
      <c r="AD24" s="51"/>
      <c r="AE24" s="51">
        <v>32</v>
      </c>
      <c r="AF24" s="51"/>
      <c r="AG24" s="51">
        <v>0</v>
      </c>
      <c r="AH24" s="58">
        <v>0</v>
      </c>
      <c r="AI24" s="52">
        <v>0</v>
      </c>
      <c r="AJ24" s="51">
        <v>0</v>
      </c>
      <c r="AK24" s="51">
        <v>5</v>
      </c>
      <c r="AL24" s="59">
        <v>0</v>
      </c>
      <c r="AM24" s="51">
        <v>0</v>
      </c>
      <c r="AN24" s="55">
        <f t="shared" si="0"/>
      </c>
      <c r="AO24" s="51">
        <v>0</v>
      </c>
      <c r="AP24" s="60">
        <f t="shared" si="1"/>
      </c>
      <c r="AQ24" s="61">
        <f t="shared" si="3"/>
      </c>
      <c r="AR24" s="53">
        <f t="shared" si="5"/>
      </c>
      <c r="AS24" s="62">
        <f t="shared" si="7"/>
      </c>
      <c r="AT24" s="60">
        <v>0</v>
      </c>
      <c r="AU24" s="53">
        <f t="shared" si="9"/>
      </c>
      <c r="AV24" s="56">
        <f t="shared" si="10"/>
      </c>
      <c r="AW24" s="56">
        <v>0</v>
      </c>
      <c r="AX24" s="62">
        <f t="shared" si="11"/>
      </c>
      <c r="AY24" s="55"/>
      <c r="AZ24" s="63"/>
      <c r="BA24" s="63"/>
      <c r="BB24" s="64"/>
      <c r="BC24" s="55"/>
      <c r="BD24" s="56"/>
      <c r="BE24" s="56"/>
      <c r="BF24" s="56"/>
      <c r="BG24" s="57"/>
      <c r="BH24" s="65"/>
      <c r="BI24" s="51"/>
      <c r="BJ24" s="55"/>
      <c r="BK24" s="51"/>
      <c r="BL24" s="62"/>
      <c r="BM24" s="51"/>
      <c r="BN24" s="52"/>
      <c r="BO24" s="51"/>
      <c r="BP24" s="66"/>
      <c r="BQ24" s="67"/>
    </row>
    <row customHeight="true" ht="13.333333333333332" r="25">
      <c r="A25" s="50">
        <v>46014</v>
      </c>
      <c r="B25" s="51" t="s">
        <v>75</v>
      </c>
      <c r="C25" s="52"/>
      <c r="D25" s="51">
        <v>54.99</v>
      </c>
      <c r="E25" s="53"/>
      <c r="F25" s="53">
        <v>0</v>
      </c>
      <c r="G25" s="53">
        <v>0</v>
      </c>
      <c r="H25" s="54">
        <v>33.43</v>
      </c>
      <c r="I25" s="53" t="s">
        <v>73</v>
      </c>
      <c r="J25" s="55" t="s">
        <v>73</v>
      </c>
      <c r="K25" s="51">
        <f>'德国ERP数据'!BC24</f>
      </c>
      <c r="L25" s="51">
        <f>'德国ERP数据'!BA24</f>
      </c>
      <c r="M25" s="51">
        <f t="shared" si="2"/>
      </c>
      <c r="N25" s="53">
        <f t="shared" si="4"/>
      </c>
      <c r="O25" s="56">
        <f t="shared" si="6"/>
      </c>
      <c r="P25" s="56">
        <f t="shared" si="8"/>
      </c>
      <c r="Q25" s="51">
        <f>'德国ERP数据'!R24</f>
      </c>
      <c r="R25" s="51" t="s">
        <v>73</v>
      </c>
      <c r="S25" s="51">
        <f>'德国ERP数据'!Z24</f>
      </c>
      <c r="T25" s="51">
        <v>0</v>
      </c>
      <c r="U25" s="51">
        <v>0</v>
      </c>
      <c r="V25" s="53">
        <v>0</v>
      </c>
      <c r="W25" s="51">
        <v>0</v>
      </c>
      <c r="X25" s="57">
        <f>'德国ERP数据'!Q24</f>
      </c>
      <c r="Y25" s="51" t="s">
        <v>74</v>
      </c>
      <c r="Z25" s="51"/>
      <c r="AA25" s="51" t="s">
        <v>74</v>
      </c>
      <c r="AB25" s="51"/>
      <c r="AC25" s="51" t="s">
        <v>74</v>
      </c>
      <c r="AD25" s="51"/>
      <c r="AE25" s="51">
        <v>32</v>
      </c>
      <c r="AF25" s="51"/>
      <c r="AG25" s="51">
        <v>0</v>
      </c>
      <c r="AH25" s="58">
        <v>0</v>
      </c>
      <c r="AI25" s="52">
        <v>0</v>
      </c>
      <c r="AJ25" s="51">
        <v>0</v>
      </c>
      <c r="AK25" s="51">
        <v>5</v>
      </c>
      <c r="AL25" s="59">
        <v>0</v>
      </c>
      <c r="AM25" s="51">
        <v>0</v>
      </c>
      <c r="AN25" s="55">
        <f t="shared" si="0"/>
      </c>
      <c r="AO25" s="51">
        <v>0</v>
      </c>
      <c r="AP25" s="60">
        <f t="shared" si="1"/>
      </c>
      <c r="AQ25" s="61">
        <f t="shared" si="3"/>
      </c>
      <c r="AR25" s="53">
        <f t="shared" si="5"/>
      </c>
      <c r="AS25" s="62">
        <f t="shared" si="7"/>
      </c>
      <c r="AT25" s="60">
        <v>0</v>
      </c>
      <c r="AU25" s="53">
        <f t="shared" si="9"/>
      </c>
      <c r="AV25" s="56">
        <f t="shared" si="10"/>
      </c>
      <c r="AW25" s="56">
        <v>0</v>
      </c>
      <c r="AX25" s="62">
        <f t="shared" si="11"/>
      </c>
      <c r="AY25" s="55"/>
      <c r="AZ25" s="63"/>
      <c r="BA25" s="63"/>
      <c r="BB25" s="64"/>
      <c r="BC25" s="55"/>
      <c r="BD25" s="56"/>
      <c r="BE25" s="56"/>
      <c r="BF25" s="56"/>
      <c r="BG25" s="57"/>
      <c r="BH25" s="65"/>
      <c r="BI25" s="51"/>
      <c r="BJ25" s="55"/>
      <c r="BK25" s="51"/>
      <c r="BL25" s="62"/>
      <c r="BM25" s="51"/>
      <c r="BN25" s="52"/>
      <c r="BO25" s="51"/>
      <c r="BP25" s="66"/>
      <c r="BQ25" s="67"/>
    </row>
    <row customHeight="true" ht="13.333333333333332" r="26">
      <c r="A26" s="50">
        <v>46015</v>
      </c>
      <c r="B26" s="51" t="s">
        <v>76</v>
      </c>
      <c r="C26" s="52"/>
      <c r="D26" s="51">
        <v>54.99</v>
      </c>
      <c r="E26" s="53"/>
      <c r="F26" s="53">
        <v>0</v>
      </c>
      <c r="G26" s="53">
        <v>0</v>
      </c>
      <c r="H26" s="54">
        <v>33.43</v>
      </c>
      <c r="I26" s="53" t="s">
        <v>73</v>
      </c>
      <c r="J26" s="55" t="s">
        <v>73</v>
      </c>
      <c r="K26" s="51">
        <f>'德国ERP数据'!BC25</f>
      </c>
      <c r="L26" s="51">
        <f>'德国ERP数据'!BA25</f>
      </c>
      <c r="M26" s="51">
        <f t="shared" si="2"/>
      </c>
      <c r="N26" s="53">
        <f t="shared" si="4"/>
      </c>
      <c r="O26" s="56">
        <f t="shared" si="6"/>
      </c>
      <c r="P26" s="56">
        <f t="shared" si="8"/>
      </c>
      <c r="Q26" s="51">
        <f>'德国ERP数据'!R25</f>
      </c>
      <c r="R26" s="51" t="s">
        <v>73</v>
      </c>
      <c r="S26" s="51">
        <f>'德国ERP数据'!Z25</f>
      </c>
      <c r="T26" s="51">
        <v>0</v>
      </c>
      <c r="U26" s="51">
        <v>0</v>
      </c>
      <c r="V26" s="53">
        <v>0</v>
      </c>
      <c r="W26" s="51">
        <v>0</v>
      </c>
      <c r="X26" s="57">
        <f>'德国ERP数据'!Q25</f>
      </c>
      <c r="Y26" s="51" t="s">
        <v>74</v>
      </c>
      <c r="Z26" s="51"/>
      <c r="AA26" s="51" t="s">
        <v>74</v>
      </c>
      <c r="AB26" s="51"/>
      <c r="AC26" s="51" t="s">
        <v>74</v>
      </c>
      <c r="AD26" s="51"/>
      <c r="AE26" s="51">
        <v>32</v>
      </c>
      <c r="AF26" s="51"/>
      <c r="AG26" s="51">
        <v>0</v>
      </c>
      <c r="AH26" s="58">
        <v>0</v>
      </c>
      <c r="AI26" s="52">
        <v>0</v>
      </c>
      <c r="AJ26" s="51">
        <v>0</v>
      </c>
      <c r="AK26" s="51">
        <v>5</v>
      </c>
      <c r="AL26" s="59">
        <v>0</v>
      </c>
      <c r="AM26" s="51">
        <v>0</v>
      </c>
      <c r="AN26" s="55">
        <f t="shared" si="0"/>
      </c>
      <c r="AO26" s="51">
        <v>0</v>
      </c>
      <c r="AP26" s="60">
        <f t="shared" si="1"/>
      </c>
      <c r="AQ26" s="61">
        <f t="shared" si="3"/>
      </c>
      <c r="AR26" s="53">
        <f t="shared" si="5"/>
      </c>
      <c r="AS26" s="62">
        <f t="shared" si="7"/>
      </c>
      <c r="AT26" s="60">
        <v>0</v>
      </c>
      <c r="AU26" s="53">
        <f t="shared" si="9"/>
      </c>
      <c r="AV26" s="56">
        <f t="shared" si="10"/>
      </c>
      <c r="AW26" s="56">
        <v>0</v>
      </c>
      <c r="AX26" s="62">
        <f t="shared" si="11"/>
      </c>
      <c r="AY26" s="55"/>
      <c r="AZ26" s="63"/>
      <c r="BA26" s="63"/>
      <c r="BB26" s="64"/>
      <c r="BC26" s="55"/>
      <c r="BD26" s="56"/>
      <c r="BE26" s="56"/>
      <c r="BF26" s="56"/>
      <c r="BG26" s="57"/>
      <c r="BH26" s="65"/>
      <c r="BI26" s="51"/>
      <c r="BJ26" s="55"/>
      <c r="BK26" s="51"/>
      <c r="BL26" s="62"/>
      <c r="BM26" s="51"/>
      <c r="BN26" s="52"/>
      <c r="BO26" s="51"/>
      <c r="BP26" s="66"/>
      <c r="BQ26" s="67"/>
    </row>
    <row customHeight="true" ht="13.333333333333332" r="27">
      <c r="A27" s="50">
        <v>46016</v>
      </c>
      <c r="B27" s="51" t="s">
        <v>77</v>
      </c>
      <c r="C27" s="52"/>
      <c r="D27" s="51">
        <v>54.99</v>
      </c>
      <c r="E27" s="53"/>
      <c r="F27" s="53">
        <v>0</v>
      </c>
      <c r="G27" s="53">
        <v>0</v>
      </c>
      <c r="H27" s="54">
        <v>33.43</v>
      </c>
      <c r="I27" s="53" t="s">
        <v>73</v>
      </c>
      <c r="J27" s="55" t="s">
        <v>73</v>
      </c>
      <c r="K27" s="51">
        <f>'德国ERP数据'!BC226</f>
      </c>
      <c r="L27" s="51">
        <f>'德国ERP数据'!BA226</f>
      </c>
      <c r="M27" s="51">
        <f t="shared" si="2"/>
      </c>
      <c r="N27" s="53">
        <f t="shared" si="4"/>
      </c>
      <c r="O27" s="56">
        <f t="shared" si="6"/>
      </c>
      <c r="P27" s="56">
        <f t="shared" si="8"/>
      </c>
      <c r="Q27" s="51">
        <f>'德国ERP数据'!R226</f>
      </c>
      <c r="R27" s="51" t="s">
        <v>73</v>
      </c>
      <c r="S27" s="51">
        <f>'德国ERP数据'!Z226</f>
      </c>
      <c r="T27" s="51">
        <v>0</v>
      </c>
      <c r="U27" s="51">
        <v>0</v>
      </c>
      <c r="V27" s="53">
        <v>0</v>
      </c>
      <c r="W27" s="51">
        <v>0</v>
      </c>
      <c r="X27" s="57">
        <f>'德国ERP数据'!Q226</f>
      </c>
      <c r="Y27" s="51" t="s">
        <v>74</v>
      </c>
      <c r="Z27" s="51"/>
      <c r="AA27" s="51" t="s">
        <v>74</v>
      </c>
      <c r="AB27" s="51"/>
      <c r="AC27" s="51" t="s">
        <v>74</v>
      </c>
      <c r="AD27" s="51"/>
      <c r="AE27" s="51">
        <v>32</v>
      </c>
      <c r="AF27" s="51"/>
      <c r="AG27" s="51">
        <v>0</v>
      </c>
      <c r="AH27" s="58">
        <v>0</v>
      </c>
      <c r="AI27" s="52">
        <v>0</v>
      </c>
      <c r="AJ27" s="51">
        <v>0</v>
      </c>
      <c r="AK27" s="51">
        <v>5</v>
      </c>
      <c r="AL27" s="59">
        <v>0</v>
      </c>
      <c r="AM27" s="51">
        <v>0</v>
      </c>
      <c r="AN27" s="55">
        <f t="shared" si="0"/>
      </c>
      <c r="AO27" s="51">
        <v>0</v>
      </c>
      <c r="AP27" s="60">
        <f t="shared" si="1"/>
      </c>
      <c r="AQ27" s="61">
        <f t="shared" si="3"/>
      </c>
      <c r="AR27" s="53">
        <f t="shared" si="5"/>
      </c>
      <c r="AS27" s="62">
        <f t="shared" si="7"/>
      </c>
      <c r="AT27" s="60">
        <v>0</v>
      </c>
      <c r="AU27" s="53">
        <f t="shared" si="9"/>
      </c>
      <c r="AV27" s="56">
        <f t="shared" si="10"/>
      </c>
      <c r="AW27" s="56">
        <v>0</v>
      </c>
      <c r="AX27" s="62">
        <f t="shared" si="11"/>
      </c>
      <c r="AY27" s="55"/>
      <c r="AZ27" s="63"/>
      <c r="BA27" s="63"/>
      <c r="BB27" s="64"/>
      <c r="BC27" s="55"/>
      <c r="BD27" s="56"/>
      <c r="BE27" s="56"/>
      <c r="BF27" s="56"/>
      <c r="BG27" s="57"/>
      <c r="BH27" s="65"/>
      <c r="BI27" s="51"/>
      <c r="BJ27" s="55"/>
      <c r="BK27" s="51"/>
      <c r="BL27" s="62"/>
      <c r="BM27" s="51"/>
      <c r="BN27" s="52"/>
      <c r="BO27" s="51"/>
      <c r="BP27" s="66"/>
      <c r="BQ27" s="67"/>
    </row>
    <row customHeight="true" ht="13.333333333333332" r="28">
      <c r="A28" s="50">
        <v>46017</v>
      </c>
      <c r="B28" s="51" t="s">
        <v>78</v>
      </c>
      <c r="C28" s="52"/>
      <c r="D28" s="51">
        <v>54.99</v>
      </c>
      <c r="E28" s="53"/>
      <c r="F28" s="53">
        <v>0</v>
      </c>
      <c r="G28" s="53">
        <v>0</v>
      </c>
      <c r="H28" s="54">
        <v>33.43</v>
      </c>
      <c r="I28" s="53" t="s">
        <v>73</v>
      </c>
      <c r="J28" s="55" t="s">
        <v>73</v>
      </c>
      <c r="K28" s="51">
        <f>'德国ERP数据'!BC227</f>
      </c>
      <c r="L28" s="51">
        <f>'德国ERP数据'!BA227</f>
      </c>
      <c r="M28" s="51">
        <f t="shared" si="2"/>
      </c>
      <c r="N28" s="53">
        <f t="shared" si="4"/>
      </c>
      <c r="O28" s="56">
        <f t="shared" si="6"/>
      </c>
      <c r="P28" s="56">
        <f t="shared" si="8"/>
      </c>
      <c r="Q28" s="51">
        <f>'德国ERP数据'!R227</f>
      </c>
      <c r="R28" s="51" t="s">
        <v>73</v>
      </c>
      <c r="S28" s="51">
        <f>'德国ERP数据'!Z227</f>
      </c>
      <c r="T28" s="51">
        <v>0</v>
      </c>
      <c r="U28" s="51">
        <v>0</v>
      </c>
      <c r="V28" s="53">
        <v>0</v>
      </c>
      <c r="W28" s="51">
        <v>0</v>
      </c>
      <c r="X28" s="57">
        <f>'德国ERP数据'!Q227</f>
      </c>
      <c r="Y28" s="51" t="s">
        <v>74</v>
      </c>
      <c r="Z28" s="51"/>
      <c r="AA28" s="51" t="s">
        <v>74</v>
      </c>
      <c r="AB28" s="51"/>
      <c r="AC28" s="51" t="s">
        <v>74</v>
      </c>
      <c r="AD28" s="51"/>
      <c r="AE28" s="51">
        <v>32</v>
      </c>
      <c r="AF28" s="51"/>
      <c r="AG28" s="51">
        <v>0</v>
      </c>
      <c r="AH28" s="58">
        <v>0</v>
      </c>
      <c r="AI28" s="52">
        <v>0</v>
      </c>
      <c r="AJ28" s="51">
        <v>0</v>
      </c>
      <c r="AK28" s="51">
        <v>5</v>
      </c>
      <c r="AL28" s="59">
        <v>0</v>
      </c>
      <c r="AM28" s="51">
        <v>0</v>
      </c>
      <c r="AN28" s="55">
        <f t="shared" si="0"/>
      </c>
      <c r="AO28" s="51">
        <v>0</v>
      </c>
      <c r="AP28" s="60">
        <f t="shared" si="1"/>
      </c>
      <c r="AQ28" s="61">
        <f t="shared" si="3"/>
      </c>
      <c r="AR28" s="53">
        <f t="shared" si="5"/>
      </c>
      <c r="AS28" s="62">
        <f t="shared" si="7"/>
      </c>
      <c r="AT28" s="60">
        <v>0</v>
      </c>
      <c r="AU28" s="53">
        <f t="shared" si="9"/>
      </c>
      <c r="AV28" s="56">
        <f t="shared" si="10"/>
      </c>
      <c r="AW28" s="56">
        <v>0</v>
      </c>
      <c r="AX28" s="62">
        <f t="shared" si="11"/>
      </c>
      <c r="AY28" s="55"/>
      <c r="AZ28" s="63"/>
      <c r="BA28" s="63"/>
      <c r="BB28" s="64"/>
      <c r="BC28" s="55"/>
      <c r="BD28" s="56"/>
      <c r="BE28" s="56"/>
      <c r="BF28" s="56"/>
      <c r="BG28" s="57"/>
      <c r="BH28" s="65"/>
      <c r="BI28" s="51"/>
      <c r="BJ28" s="55"/>
      <c r="BK28" s="51"/>
      <c r="BL28" s="62"/>
      <c r="BM28" s="51"/>
      <c r="BN28" s="52"/>
      <c r="BO28" s="51"/>
      <c r="BP28" s="66"/>
      <c r="BQ28" s="67"/>
    </row>
    <row customHeight="true" ht="13.333333333333332" r="29">
      <c r="A29" s="50">
        <v>46018</v>
      </c>
      <c r="B29" s="51" t="s">
        <v>79</v>
      </c>
      <c r="C29" s="52"/>
      <c r="D29" s="51">
        <v>54.99</v>
      </c>
      <c r="E29" s="53"/>
      <c r="F29" s="53">
        <v>0</v>
      </c>
      <c r="G29" s="53">
        <v>0</v>
      </c>
      <c r="H29" s="54">
        <v>33.43</v>
      </c>
      <c r="I29" s="53" t="s">
        <v>73</v>
      </c>
      <c r="J29" s="55" t="s">
        <v>73</v>
      </c>
      <c r="K29" s="51">
        <f>'德国ERP数据'!BC228</f>
      </c>
      <c r="L29" s="51">
        <f>'德国ERP数据'!BA228</f>
      </c>
      <c r="M29" s="51">
        <f t="shared" si="2"/>
      </c>
      <c r="N29" s="53">
        <f t="shared" si="4"/>
      </c>
      <c r="O29" s="56">
        <f t="shared" si="6"/>
      </c>
      <c r="P29" s="56">
        <f t="shared" si="8"/>
      </c>
      <c r="Q29" s="51">
        <f>'德国ERP数据'!R228</f>
      </c>
      <c r="R29" s="51" t="s">
        <v>73</v>
      </c>
      <c r="S29" s="51">
        <f>'德国ERP数据'!Z228</f>
      </c>
      <c r="T29" s="51">
        <v>0</v>
      </c>
      <c r="U29" s="51">
        <v>0</v>
      </c>
      <c r="V29" s="53">
        <v>0</v>
      </c>
      <c r="W29" s="51">
        <v>0</v>
      </c>
      <c r="X29" s="57">
        <f>'德国ERP数据'!Q228</f>
      </c>
      <c r="Y29" s="51" t="s">
        <v>74</v>
      </c>
      <c r="Z29" s="51"/>
      <c r="AA29" s="51" t="s">
        <v>74</v>
      </c>
      <c r="AB29" s="51"/>
      <c r="AC29" s="51" t="s">
        <v>74</v>
      </c>
      <c r="AD29" s="51"/>
      <c r="AE29" s="51">
        <v>32</v>
      </c>
      <c r="AF29" s="51"/>
      <c r="AG29" s="51">
        <v>0</v>
      </c>
      <c r="AH29" s="58">
        <v>0</v>
      </c>
      <c r="AI29" s="52">
        <v>0</v>
      </c>
      <c r="AJ29" s="51">
        <v>0</v>
      </c>
      <c r="AK29" s="51">
        <v>5</v>
      </c>
      <c r="AL29" s="59">
        <v>0</v>
      </c>
      <c r="AM29" s="51">
        <v>0</v>
      </c>
      <c r="AN29" s="55">
        <f t="shared" si="0"/>
      </c>
      <c r="AO29" s="51">
        <v>0</v>
      </c>
      <c r="AP29" s="60">
        <f t="shared" si="1"/>
      </c>
      <c r="AQ29" s="61">
        <f t="shared" si="3"/>
      </c>
      <c r="AR29" s="53">
        <f t="shared" si="5"/>
      </c>
      <c r="AS29" s="62">
        <f t="shared" si="7"/>
      </c>
      <c r="AT29" s="60">
        <v>0</v>
      </c>
      <c r="AU29" s="53">
        <f t="shared" si="9"/>
      </c>
      <c r="AV29" s="56">
        <f t="shared" si="10"/>
      </c>
      <c r="AW29" s="56">
        <v>0</v>
      </c>
      <c r="AX29" s="62">
        <f t="shared" si="11"/>
      </c>
      <c r="AY29" s="55"/>
      <c r="AZ29" s="63"/>
      <c r="BA29" s="63"/>
      <c r="BB29" s="64"/>
      <c r="BC29" s="55"/>
      <c r="BD29" s="56"/>
      <c r="BE29" s="56"/>
      <c r="BF29" s="56"/>
      <c r="BG29" s="57"/>
      <c r="BH29" s="65"/>
      <c r="BI29" s="51"/>
      <c r="BJ29" s="55"/>
      <c r="BK29" s="51"/>
      <c r="BL29" s="62"/>
      <c r="BM29" s="51"/>
      <c r="BN29" s="52"/>
      <c r="BO29" s="51"/>
      <c r="BP29" s="66"/>
      <c r="BQ29" s="67"/>
    </row>
    <row customHeight="true" ht="13.333333333333332" r="30">
      <c r="A30" s="50">
        <v>46019</v>
      </c>
      <c r="B30" s="51" t="s">
        <v>80</v>
      </c>
      <c r="C30" s="52"/>
      <c r="D30" s="51">
        <v>54.99</v>
      </c>
      <c r="E30" s="53"/>
      <c r="F30" s="53">
        <v>0</v>
      </c>
      <c r="G30" s="53">
        <v>0</v>
      </c>
      <c r="H30" s="54">
        <v>33.43</v>
      </c>
      <c r="I30" s="53" t="s">
        <v>73</v>
      </c>
      <c r="J30" s="55" t="s">
        <v>73</v>
      </c>
      <c r="K30" s="51">
        <f>'德国ERP数据'!BC229</f>
      </c>
      <c r="L30" s="51">
        <f>'德国ERP数据'!BA229</f>
      </c>
      <c r="M30" s="51">
        <f t="shared" si="2"/>
      </c>
      <c r="N30" s="53">
        <f t="shared" si="4"/>
      </c>
      <c r="O30" s="56">
        <f t="shared" si="6"/>
      </c>
      <c r="P30" s="56">
        <f t="shared" si="8"/>
      </c>
      <c r="Q30" s="51">
        <f>'德国ERP数据'!R229</f>
      </c>
      <c r="R30" s="51" t="s">
        <v>73</v>
      </c>
      <c r="S30" s="51">
        <f>'德国ERP数据'!Z229</f>
      </c>
      <c r="T30" s="51">
        <v>0</v>
      </c>
      <c r="U30" s="51">
        <v>0</v>
      </c>
      <c r="V30" s="53">
        <v>0</v>
      </c>
      <c r="W30" s="51">
        <v>0</v>
      </c>
      <c r="X30" s="57">
        <f>'德国ERP数据'!Q229</f>
      </c>
      <c r="Y30" s="51" t="s">
        <v>74</v>
      </c>
      <c r="Z30" s="51"/>
      <c r="AA30" s="51" t="s">
        <v>74</v>
      </c>
      <c r="AB30" s="51"/>
      <c r="AC30" s="51" t="s">
        <v>74</v>
      </c>
      <c r="AD30" s="51"/>
      <c r="AE30" s="51">
        <v>32</v>
      </c>
      <c r="AF30" s="51"/>
      <c r="AG30" s="51">
        <v>0</v>
      </c>
      <c r="AH30" s="58">
        <v>0</v>
      </c>
      <c r="AI30" s="52">
        <v>0</v>
      </c>
      <c r="AJ30" s="51">
        <v>0</v>
      </c>
      <c r="AK30" s="51">
        <v>5</v>
      </c>
      <c r="AL30" s="59">
        <v>0</v>
      </c>
      <c r="AM30" s="51">
        <v>0</v>
      </c>
      <c r="AN30" s="55">
        <f t="shared" si="0"/>
      </c>
      <c r="AO30" s="51">
        <v>0</v>
      </c>
      <c r="AP30" s="60">
        <f t="shared" si="1"/>
      </c>
      <c r="AQ30" s="61">
        <f t="shared" si="3"/>
      </c>
      <c r="AR30" s="53">
        <f t="shared" si="5"/>
      </c>
      <c r="AS30" s="62">
        <f t="shared" si="7"/>
      </c>
      <c r="AT30" s="60">
        <v>0</v>
      </c>
      <c r="AU30" s="53">
        <f t="shared" si="9"/>
      </c>
      <c r="AV30" s="56">
        <f t="shared" si="10"/>
      </c>
      <c r="AW30" s="56">
        <v>0</v>
      </c>
      <c r="AX30" s="62">
        <f t="shared" si="11"/>
      </c>
      <c r="AY30" s="55"/>
      <c r="AZ30" s="63"/>
      <c r="BA30" s="63"/>
      <c r="BB30" s="64"/>
      <c r="BC30" s="55"/>
      <c r="BD30" s="56"/>
      <c r="BE30" s="56"/>
      <c r="BF30" s="56"/>
      <c r="BG30" s="57"/>
      <c r="BH30" s="65"/>
      <c r="BI30" s="51"/>
      <c r="BJ30" s="55"/>
      <c r="BK30" s="51"/>
      <c r="BL30" s="62"/>
      <c r="BM30" s="51"/>
      <c r="BN30" s="52"/>
      <c r="BO30" s="51"/>
      <c r="BP30" s="66"/>
      <c r="BQ30" s="67"/>
    </row>
    <row customHeight="true" ht="13.333333333333332" r="31">
      <c r="A31" s="50">
        <v>46020</v>
      </c>
      <c r="B31" s="51" t="s">
        <v>71</v>
      </c>
      <c r="C31" s="52"/>
      <c r="D31" s="51">
        <v>54.99</v>
      </c>
      <c r="E31" s="53"/>
      <c r="F31" s="53">
        <v>0</v>
      </c>
      <c r="G31" s="53">
        <v>0</v>
      </c>
      <c r="H31" s="54">
        <v>33.43</v>
      </c>
      <c r="I31" s="53" t="s">
        <v>73</v>
      </c>
      <c r="J31" s="55" t="s">
        <v>73</v>
      </c>
      <c r="K31" s="51">
        <f>'德国ERP数据'!BC230</f>
      </c>
      <c r="L31" s="51">
        <f>'德国ERP数据'!BA230</f>
      </c>
      <c r="M31" s="51">
        <f t="shared" si="2"/>
      </c>
      <c r="N31" s="53">
        <f t="shared" si="4"/>
      </c>
      <c r="O31" s="56">
        <f t="shared" si="6"/>
      </c>
      <c r="P31" s="56">
        <f t="shared" si="8"/>
      </c>
      <c r="Q31" s="51">
        <f>'德国ERP数据'!R230</f>
      </c>
      <c r="R31" s="51" t="s">
        <v>73</v>
      </c>
      <c r="S31" s="51">
        <f>'德国ERP数据'!Z230</f>
      </c>
      <c r="T31" s="51">
        <v>0</v>
      </c>
      <c r="U31" s="51">
        <v>0</v>
      </c>
      <c r="V31" s="53">
        <v>0</v>
      </c>
      <c r="W31" s="51">
        <v>0</v>
      </c>
      <c r="X31" s="57">
        <f>'德国ERP数据'!Q230</f>
      </c>
      <c r="Y31" s="51" t="s">
        <v>74</v>
      </c>
      <c r="Z31" s="51"/>
      <c r="AA31" s="51" t="s">
        <v>74</v>
      </c>
      <c r="AB31" s="51"/>
      <c r="AC31" s="51" t="s">
        <v>74</v>
      </c>
      <c r="AD31" s="51"/>
      <c r="AE31" s="51">
        <v>32</v>
      </c>
      <c r="AF31" s="51"/>
      <c r="AG31" s="51">
        <v>0</v>
      </c>
      <c r="AH31" s="58">
        <v>0</v>
      </c>
      <c r="AI31" s="52">
        <v>0</v>
      </c>
      <c r="AJ31" s="51">
        <v>0</v>
      </c>
      <c r="AK31" s="51">
        <v>5</v>
      </c>
      <c r="AL31" s="59">
        <v>0</v>
      </c>
      <c r="AM31" s="51">
        <v>0</v>
      </c>
      <c r="AN31" s="55">
        <f t="shared" si="0"/>
      </c>
      <c r="AO31" s="51">
        <v>0</v>
      </c>
      <c r="AP31" s="60">
        <f t="shared" si="1"/>
      </c>
      <c r="AQ31" s="61">
        <f t="shared" si="3"/>
      </c>
      <c r="AR31" s="53">
        <f t="shared" si="5"/>
      </c>
      <c r="AS31" s="62">
        <f t="shared" si="7"/>
      </c>
      <c r="AT31" s="60">
        <v>0</v>
      </c>
      <c r="AU31" s="53">
        <f t="shared" si="9"/>
      </c>
      <c r="AV31" s="56">
        <f t="shared" si="10"/>
      </c>
      <c r="AW31" s="56">
        <v>0</v>
      </c>
      <c r="AX31" s="62">
        <f t="shared" si="11"/>
      </c>
      <c r="AY31" s="55"/>
      <c r="AZ31" s="63"/>
      <c r="BA31" s="63"/>
      <c r="BB31" s="64"/>
      <c r="BC31" s="55"/>
      <c r="BD31" s="56"/>
      <c r="BE31" s="56"/>
      <c r="BF31" s="56"/>
      <c r="BG31" s="57"/>
      <c r="BH31" s="65"/>
      <c r="BI31" s="51"/>
      <c r="BJ31" s="55"/>
      <c r="BK31" s="51"/>
      <c r="BL31" s="62"/>
      <c r="BM31" s="51"/>
      <c r="BN31" s="52"/>
      <c r="BO31" s="51"/>
      <c r="BP31" s="66"/>
      <c r="BQ31" s="67"/>
    </row>
    <row customHeight="true" ht="13.333333333333332" r="32">
      <c r="A32" s="50">
        <v>46021</v>
      </c>
      <c r="B32" s="51" t="s">
        <v>75</v>
      </c>
      <c r="C32" s="52"/>
      <c r="D32" s="51">
        <v>54.99</v>
      </c>
      <c r="E32" s="53"/>
      <c r="F32" s="53">
        <v>0</v>
      </c>
      <c r="G32" s="53">
        <v>0</v>
      </c>
      <c r="H32" s="54">
        <v>33.43</v>
      </c>
      <c r="I32" s="53" t="s">
        <v>73</v>
      </c>
      <c r="J32" s="55" t="s">
        <v>73</v>
      </c>
      <c r="K32" s="51">
        <f>'德国ERP数据'!BC231</f>
      </c>
      <c r="L32" s="51">
        <f>'德国ERP数据'!BA231</f>
      </c>
      <c r="M32" s="51">
        <f t="shared" si="2"/>
      </c>
      <c r="N32" s="53">
        <f t="shared" si="4"/>
      </c>
      <c r="O32" s="56">
        <f t="shared" si="6"/>
      </c>
      <c r="P32" s="56">
        <f t="shared" si="8"/>
      </c>
      <c r="Q32" s="51">
        <f>'德国ERP数据'!R231</f>
      </c>
      <c r="R32" s="51" t="s">
        <v>73</v>
      </c>
      <c r="S32" s="51">
        <f>'德国ERP数据'!Z231</f>
      </c>
      <c r="T32" s="51">
        <v>0</v>
      </c>
      <c r="U32" s="51">
        <v>0</v>
      </c>
      <c r="V32" s="53">
        <v>0</v>
      </c>
      <c r="W32" s="51">
        <v>0</v>
      </c>
      <c r="X32" s="57">
        <f>'德国ERP数据'!Q231</f>
      </c>
      <c r="Y32" s="51" t="s">
        <v>74</v>
      </c>
      <c r="Z32" s="51"/>
      <c r="AA32" s="51" t="s">
        <v>74</v>
      </c>
      <c r="AB32" s="51"/>
      <c r="AC32" s="51" t="s">
        <v>74</v>
      </c>
      <c r="AD32" s="51"/>
      <c r="AE32" s="51">
        <v>32</v>
      </c>
      <c r="AF32" s="51"/>
      <c r="AG32" s="51">
        <v>0</v>
      </c>
      <c r="AH32" s="58">
        <v>0</v>
      </c>
      <c r="AI32" s="52">
        <v>0</v>
      </c>
      <c r="AJ32" s="51">
        <v>0</v>
      </c>
      <c r="AK32" s="51">
        <v>5</v>
      </c>
      <c r="AL32" s="59">
        <v>0</v>
      </c>
      <c r="AM32" s="51">
        <v>0</v>
      </c>
      <c r="AN32" s="55">
        <f t="shared" si="0"/>
      </c>
      <c r="AO32" s="51">
        <v>0</v>
      </c>
      <c r="AP32" s="60">
        <f t="shared" si="1"/>
      </c>
      <c r="AQ32" s="61">
        <f t="shared" si="3"/>
      </c>
      <c r="AR32" s="53">
        <f t="shared" si="5"/>
      </c>
      <c r="AS32" s="62">
        <f t="shared" si="7"/>
      </c>
      <c r="AT32" s="60">
        <v>0</v>
      </c>
      <c r="AU32" s="53">
        <f t="shared" si="9"/>
      </c>
      <c r="AV32" s="56">
        <f t="shared" si="10"/>
      </c>
      <c r="AW32" s="56">
        <v>0</v>
      </c>
      <c r="AX32" s="62">
        <f t="shared" si="11"/>
      </c>
      <c r="AY32" s="55"/>
      <c r="AZ32" s="63"/>
      <c r="BA32" s="63"/>
      <c r="BB32" s="64"/>
      <c r="BC32" s="55"/>
      <c r="BD32" s="56"/>
      <c r="BE32" s="56"/>
      <c r="BF32" s="56"/>
      <c r="BG32" s="57"/>
      <c r="BH32" s="65"/>
      <c r="BI32" s="51"/>
      <c r="BJ32" s="55"/>
      <c r="BK32" s="51"/>
      <c r="BL32" s="62"/>
      <c r="BM32" s="51"/>
      <c r="BN32" s="52"/>
      <c r="BO32" s="51"/>
      <c r="BP32" s="66"/>
      <c r="BQ32" s="67"/>
    </row>
    <row customHeight="true" ht="13.333333333333332" r="33">
      <c r="A33" s="50">
        <v>46022</v>
      </c>
      <c r="B33" s="51" t="s">
        <v>76</v>
      </c>
      <c r="C33" s="52"/>
      <c r="D33" s="51">
        <v>54.99</v>
      </c>
      <c r="E33" s="53"/>
      <c r="F33" s="53">
        <v>0</v>
      </c>
      <c r="G33" s="53">
        <v>0</v>
      </c>
      <c r="H33" s="54">
        <v>33.43</v>
      </c>
      <c r="I33" s="53" t="s">
        <v>73</v>
      </c>
      <c r="J33" s="55" t="s">
        <v>73</v>
      </c>
      <c r="K33" s="51">
        <f>'德国ERP数据'!BC232</f>
      </c>
      <c r="L33" s="51">
        <f>'德国ERP数据'!BA232</f>
      </c>
      <c r="M33" s="51">
        <f t="shared" si="2"/>
      </c>
      <c r="N33" s="53">
        <f t="shared" si="4"/>
      </c>
      <c r="O33" s="56">
        <f t="shared" si="6"/>
      </c>
      <c r="P33" s="56">
        <f t="shared" si="8"/>
      </c>
      <c r="Q33" s="51">
        <f>'德国ERP数据'!R232</f>
      </c>
      <c r="R33" s="51" t="s">
        <v>73</v>
      </c>
      <c r="S33" s="51">
        <f>'德国ERP数据'!Z232</f>
      </c>
      <c r="T33" s="51">
        <v>0</v>
      </c>
      <c r="U33" s="51">
        <v>0</v>
      </c>
      <c r="V33" s="53">
        <v>0</v>
      </c>
      <c r="W33" s="51">
        <v>0</v>
      </c>
      <c r="X33" s="57">
        <f>'德国ERP数据'!Q232</f>
      </c>
      <c r="Y33" s="51" t="s">
        <v>74</v>
      </c>
      <c r="Z33" s="51"/>
      <c r="AA33" s="51" t="s">
        <v>74</v>
      </c>
      <c r="AB33" s="51"/>
      <c r="AC33" s="51" t="s">
        <v>74</v>
      </c>
      <c r="AD33" s="51"/>
      <c r="AE33" s="51">
        <v>32</v>
      </c>
      <c r="AF33" s="51"/>
      <c r="AG33" s="51">
        <v>0</v>
      </c>
      <c r="AH33" s="58">
        <v>0</v>
      </c>
      <c r="AI33" s="52">
        <v>0</v>
      </c>
      <c r="AJ33" s="51">
        <v>0</v>
      </c>
      <c r="AK33" s="51">
        <v>5</v>
      </c>
      <c r="AL33" s="59">
        <v>0</v>
      </c>
      <c r="AM33" s="51">
        <v>0</v>
      </c>
      <c r="AN33" s="55">
        <f t="shared" si="0"/>
      </c>
      <c r="AO33" s="51">
        <v>0</v>
      </c>
      <c r="AP33" s="60">
        <f t="shared" si="1"/>
      </c>
      <c r="AQ33" s="61">
        <f t="shared" si="3"/>
      </c>
      <c r="AR33" s="53">
        <f t="shared" si="5"/>
      </c>
      <c r="AS33" s="62">
        <f t="shared" si="7"/>
      </c>
      <c r="AT33" s="60">
        <v>0</v>
      </c>
      <c r="AU33" s="53">
        <f t="shared" si="9"/>
      </c>
      <c r="AV33" s="56">
        <f t="shared" si="10"/>
      </c>
      <c r="AW33" s="56">
        <v>0</v>
      </c>
      <c r="AX33" s="62">
        <f t="shared" si="11"/>
      </c>
      <c r="AY33" s="55"/>
      <c r="AZ33" s="63"/>
      <c r="BA33" s="63"/>
      <c r="BB33" s="64"/>
      <c r="BC33" s="55"/>
      <c r="BD33" s="56"/>
      <c r="BE33" s="56"/>
      <c r="BF33" s="56"/>
      <c r="BG33" s="57"/>
      <c r="BH33" s="65"/>
      <c r="BI33" s="51"/>
      <c r="BJ33" s="55"/>
      <c r="BK33" s="51"/>
      <c r="BL33" s="62"/>
      <c r="BM33" s="51"/>
      <c r="BN33" s="52"/>
      <c r="BO33" s="51"/>
      <c r="BP33" s="66"/>
      <c r="BQ33" s="67"/>
    </row>
    <row customHeight="true" ht="13.333333333333332" r="34">
      <c r="A34" s="50">
        <v>46023</v>
      </c>
      <c r="B34" s="51" t="s">
        <v>77</v>
      </c>
      <c r="C34" s="52"/>
      <c r="D34" s="51">
        <v>54.99</v>
      </c>
      <c r="E34" s="53"/>
      <c r="F34" s="53">
        <v>0</v>
      </c>
      <c r="G34" s="53">
        <v>0</v>
      </c>
      <c r="H34" s="54">
        <v>33.43</v>
      </c>
      <c r="I34" s="53" t="s">
        <v>73</v>
      </c>
      <c r="J34" s="55" t="s">
        <v>73</v>
      </c>
      <c r="K34" s="51">
        <f>'德国ERP数据'!BC233</f>
      </c>
      <c r="L34" s="51">
        <f>'德国ERP数据'!BA233</f>
      </c>
      <c r="M34" s="51">
        <f t="shared" si="2"/>
      </c>
      <c r="N34" s="53">
        <f t="shared" si="4"/>
      </c>
      <c r="O34" s="56">
        <f t="shared" si="6"/>
      </c>
      <c r="P34" s="56">
        <f t="shared" si="8"/>
      </c>
      <c r="Q34" s="51">
        <f>'德国ERP数据'!R233</f>
      </c>
      <c r="R34" s="51" t="s">
        <v>73</v>
      </c>
      <c r="S34" s="51">
        <f>'德国ERP数据'!Z233</f>
      </c>
      <c r="T34" s="51">
        <v>0</v>
      </c>
      <c r="U34" s="51">
        <v>0</v>
      </c>
      <c r="V34" s="53">
        <v>0</v>
      </c>
      <c r="W34" s="51">
        <v>0</v>
      </c>
      <c r="X34" s="57">
        <f>'德国ERP数据'!Q233</f>
      </c>
      <c r="Y34" s="51" t="s">
        <v>74</v>
      </c>
      <c r="Z34" s="51"/>
      <c r="AA34" s="51" t="s">
        <v>74</v>
      </c>
      <c r="AB34" s="51"/>
      <c r="AC34" s="51" t="s">
        <v>74</v>
      </c>
      <c r="AD34" s="51"/>
      <c r="AE34" s="51">
        <v>32</v>
      </c>
      <c r="AF34" s="51"/>
      <c r="AG34" s="51">
        <v>0</v>
      </c>
      <c r="AH34" s="58">
        <v>0</v>
      </c>
      <c r="AI34" s="52">
        <v>0</v>
      </c>
      <c r="AJ34" s="51">
        <v>0</v>
      </c>
      <c r="AK34" s="51">
        <v>5</v>
      </c>
      <c r="AL34" s="59">
        <v>0</v>
      </c>
      <c r="AM34" s="51">
        <v>0</v>
      </c>
      <c r="AN34" s="55">
        <f t="shared" si="0"/>
      </c>
      <c r="AO34" s="51">
        <v>0</v>
      </c>
      <c r="AP34" s="60">
        <f t="shared" si="1"/>
      </c>
      <c r="AQ34" s="61">
        <f t="shared" si="3"/>
      </c>
      <c r="AR34" s="53">
        <f t="shared" si="5"/>
      </c>
      <c r="AS34" s="62">
        <f t="shared" si="7"/>
      </c>
      <c r="AT34" s="60">
        <v>0</v>
      </c>
      <c r="AU34" s="53">
        <f t="shared" si="9"/>
      </c>
      <c r="AV34" s="56">
        <f t="shared" si="10"/>
      </c>
      <c r="AW34" s="56">
        <v>0</v>
      </c>
      <c r="AX34" s="62">
        <f t="shared" si="11"/>
      </c>
      <c r="AY34" s="55"/>
      <c r="AZ34" s="63"/>
      <c r="BA34" s="63"/>
      <c r="BB34" s="64"/>
      <c r="BC34" s="55"/>
      <c r="BD34" s="56"/>
      <c r="BE34" s="56"/>
      <c r="BF34" s="56"/>
      <c r="BG34" s="57"/>
      <c r="BH34" s="65"/>
      <c r="BI34" s="51"/>
      <c r="BJ34" s="55"/>
      <c r="BK34" s="51"/>
      <c r="BL34" s="62"/>
      <c r="BM34" s="51"/>
      <c r="BN34" s="52"/>
      <c r="BO34" s="51"/>
      <c r="BP34" s="66"/>
      <c r="BQ34" s="67"/>
    </row>
    <row customHeight="true" ht="13.333333333333332" r="35">
      <c r="A35" s="50">
        <v>46024</v>
      </c>
      <c r="B35" s="51" t="s">
        <v>78</v>
      </c>
      <c r="C35" s="52"/>
      <c r="D35" s="51">
        <v>54.99</v>
      </c>
      <c r="E35" s="53"/>
      <c r="F35" s="53">
        <v>0</v>
      </c>
      <c r="G35" s="53">
        <v>0</v>
      </c>
      <c r="H35" s="54">
        <v>33.43</v>
      </c>
      <c r="I35" s="53" t="s">
        <v>73</v>
      </c>
      <c r="J35" s="55" t="s">
        <v>73</v>
      </c>
      <c r="K35" s="51">
        <f>'德国ERP数据'!BC234</f>
      </c>
      <c r="L35" s="51">
        <f>'德国ERP数据'!BA234</f>
      </c>
      <c r="M35" s="51">
        <f t="shared" si="2"/>
      </c>
      <c r="N35" s="53">
        <f t="shared" si="4"/>
      </c>
      <c r="O35" s="56">
        <f t="shared" si="6"/>
      </c>
      <c r="P35" s="56">
        <f t="shared" si="8"/>
      </c>
      <c r="Q35" s="51">
        <f>'德国ERP数据'!R234</f>
      </c>
      <c r="R35" s="51" t="s">
        <v>73</v>
      </c>
      <c r="S35" s="51">
        <f>'德国ERP数据'!Z234</f>
      </c>
      <c r="T35" s="51">
        <v>0</v>
      </c>
      <c r="U35" s="51">
        <v>0</v>
      </c>
      <c r="V35" s="53">
        <v>0</v>
      </c>
      <c r="W35" s="51">
        <v>0</v>
      </c>
      <c r="X35" s="57">
        <f>'德国ERP数据'!Q234</f>
      </c>
      <c r="Y35" s="51" t="s">
        <v>74</v>
      </c>
      <c r="Z35" s="51"/>
      <c r="AA35" s="51" t="s">
        <v>74</v>
      </c>
      <c r="AB35" s="51"/>
      <c r="AC35" s="51" t="s">
        <v>74</v>
      </c>
      <c r="AD35" s="51"/>
      <c r="AE35" s="51">
        <v>32</v>
      </c>
      <c r="AF35" s="51"/>
      <c r="AG35" s="51">
        <v>0</v>
      </c>
      <c r="AH35" s="58">
        <v>0</v>
      </c>
      <c r="AI35" s="52">
        <v>0</v>
      </c>
      <c r="AJ35" s="51">
        <v>0</v>
      </c>
      <c r="AK35" s="51">
        <v>5</v>
      </c>
      <c r="AL35" s="59">
        <v>0</v>
      </c>
      <c r="AM35" s="51">
        <v>0</v>
      </c>
      <c r="AN35" s="55">
        <f t="shared" si="0"/>
      </c>
      <c r="AO35" s="51">
        <v>0</v>
      </c>
      <c r="AP35" s="60">
        <f t="shared" si="1"/>
      </c>
      <c r="AQ35" s="61">
        <f t="shared" si="3"/>
      </c>
      <c r="AR35" s="53">
        <f t="shared" si="5"/>
      </c>
      <c r="AS35" s="62">
        <f t="shared" si="7"/>
      </c>
      <c r="AT35" s="60">
        <v>0</v>
      </c>
      <c r="AU35" s="53">
        <f t="shared" si="9"/>
      </c>
      <c r="AV35" s="56">
        <f t="shared" si="10"/>
      </c>
      <c r="AW35" s="56">
        <v>0</v>
      </c>
      <c r="AX35" s="62">
        <f t="shared" si="11"/>
      </c>
      <c r="AY35" s="55"/>
      <c r="AZ35" s="63"/>
      <c r="BA35" s="63"/>
      <c r="BB35" s="64"/>
      <c r="BC35" s="55"/>
      <c r="BD35" s="56"/>
      <c r="BE35" s="56"/>
      <c r="BF35" s="56"/>
      <c r="BG35" s="57"/>
      <c r="BH35" s="65"/>
      <c r="BI35" s="51"/>
      <c r="BJ35" s="55"/>
      <c r="BK35" s="51"/>
      <c r="BL35" s="62"/>
      <c r="BM35" s="51"/>
      <c r="BN35" s="52"/>
      <c r="BO35" s="51"/>
      <c r="BP35" s="66"/>
      <c r="BQ35" s="67"/>
    </row>
    <row customHeight="true" ht="13.333333333333332" r="36">
      <c r="A36" s="50">
        <v>46025</v>
      </c>
      <c r="B36" s="51" t="s">
        <v>79</v>
      </c>
      <c r="C36" s="52"/>
      <c r="D36" s="51">
        <v>54.99</v>
      </c>
      <c r="E36" s="53"/>
      <c r="F36" s="53">
        <v>0</v>
      </c>
      <c r="G36" s="53">
        <v>0</v>
      </c>
      <c r="H36" s="54">
        <v>33.43</v>
      </c>
      <c r="I36" s="53" t="s">
        <v>73</v>
      </c>
      <c r="J36" s="55" t="s">
        <v>73</v>
      </c>
      <c r="K36" s="51">
        <f>'德国ERP数据'!BC235</f>
      </c>
      <c r="L36" s="51">
        <f>'德国ERP数据'!BA235</f>
      </c>
      <c r="M36" s="51">
        <f t="shared" si="2"/>
      </c>
      <c r="N36" s="53">
        <f t="shared" si="4"/>
      </c>
      <c r="O36" s="56">
        <f t="shared" si="6"/>
      </c>
      <c r="P36" s="56">
        <f t="shared" si="8"/>
      </c>
      <c r="Q36" s="51">
        <f>'德国ERP数据'!R235</f>
      </c>
      <c r="R36" s="51" t="s">
        <v>73</v>
      </c>
      <c r="S36" s="51">
        <f>'德国ERP数据'!Z235</f>
      </c>
      <c r="T36" s="51">
        <v>0</v>
      </c>
      <c r="U36" s="51">
        <v>0</v>
      </c>
      <c r="V36" s="53">
        <v>0</v>
      </c>
      <c r="W36" s="51">
        <v>0</v>
      </c>
      <c r="X36" s="57">
        <f>'德国ERP数据'!Q235</f>
      </c>
      <c r="Y36" s="51" t="s">
        <v>74</v>
      </c>
      <c r="Z36" s="51"/>
      <c r="AA36" s="51" t="s">
        <v>74</v>
      </c>
      <c r="AB36" s="51"/>
      <c r="AC36" s="51" t="s">
        <v>74</v>
      </c>
      <c r="AD36" s="51"/>
      <c r="AE36" s="51">
        <v>32</v>
      </c>
      <c r="AF36" s="51"/>
      <c r="AG36" s="51">
        <v>0</v>
      </c>
      <c r="AH36" s="58">
        <v>0</v>
      </c>
      <c r="AI36" s="52">
        <v>0</v>
      </c>
      <c r="AJ36" s="51">
        <v>0</v>
      </c>
      <c r="AK36" s="51">
        <v>5</v>
      </c>
      <c r="AL36" s="59">
        <v>0</v>
      </c>
      <c r="AM36" s="51">
        <v>0</v>
      </c>
      <c r="AN36" s="55">
        <f t="shared" si="0"/>
      </c>
      <c r="AO36" s="51">
        <v>0</v>
      </c>
      <c r="AP36" s="60">
        <f t="shared" si="1"/>
      </c>
      <c r="AQ36" s="61">
        <f t="shared" si="3"/>
      </c>
      <c r="AR36" s="53">
        <f t="shared" si="5"/>
      </c>
      <c r="AS36" s="62">
        <f t="shared" si="7"/>
      </c>
      <c r="AT36" s="60">
        <v>0</v>
      </c>
      <c r="AU36" s="53">
        <f t="shared" si="9"/>
      </c>
      <c r="AV36" s="56">
        <f t="shared" si="10"/>
      </c>
      <c r="AW36" s="56">
        <v>0</v>
      </c>
      <c r="AX36" s="62">
        <f t="shared" si="11"/>
      </c>
      <c r="AY36" s="55"/>
      <c r="AZ36" s="63"/>
      <c r="BA36" s="63"/>
      <c r="BB36" s="64"/>
      <c r="BC36" s="55"/>
      <c r="BD36" s="56"/>
      <c r="BE36" s="56"/>
      <c r="BF36" s="56"/>
      <c r="BG36" s="57"/>
      <c r="BH36" s="65"/>
      <c r="BI36" s="51"/>
      <c r="BJ36" s="55"/>
      <c r="BK36" s="51"/>
      <c r="BL36" s="62"/>
      <c r="BM36" s="51"/>
      <c r="BN36" s="52"/>
      <c r="BO36" s="51"/>
      <c r="BP36" s="66"/>
      <c r="BQ36" s="67"/>
    </row>
    <row customHeight="true" ht="13.333333333333332" r="37">
      <c r="A37" s="50">
        <v>46026</v>
      </c>
      <c r="B37" s="51" t="s">
        <v>80</v>
      </c>
      <c r="C37" s="52"/>
      <c r="D37" s="51">
        <v>54.99</v>
      </c>
      <c r="E37" s="53"/>
      <c r="F37" s="53">
        <v>0</v>
      </c>
      <c r="G37" s="53">
        <v>0</v>
      </c>
      <c r="H37" s="54">
        <v>33.43</v>
      </c>
      <c r="I37" s="53" t="s">
        <v>73</v>
      </c>
      <c r="J37" s="55" t="s">
        <v>73</v>
      </c>
      <c r="K37" s="51">
        <f>'德国ERP数据'!BC236</f>
      </c>
      <c r="L37" s="51">
        <f>'德国ERP数据'!BA236</f>
      </c>
      <c r="M37" s="51">
        <f t="shared" si="2"/>
      </c>
      <c r="N37" s="53">
        <f t="shared" si="4"/>
      </c>
      <c r="O37" s="56">
        <f t="shared" si="6"/>
      </c>
      <c r="P37" s="56">
        <f t="shared" si="8"/>
      </c>
      <c r="Q37" s="51">
        <f>'德国ERP数据'!R236</f>
      </c>
      <c r="R37" s="51" t="s">
        <v>73</v>
      </c>
      <c r="S37" s="51">
        <f>'德国ERP数据'!Z236</f>
      </c>
      <c r="T37" s="51">
        <v>0</v>
      </c>
      <c r="U37" s="51">
        <v>0</v>
      </c>
      <c r="V37" s="53">
        <v>0</v>
      </c>
      <c r="W37" s="51">
        <v>0</v>
      </c>
      <c r="X37" s="57">
        <f>'德国ERP数据'!Q236</f>
      </c>
      <c r="Y37" s="51" t="s">
        <v>74</v>
      </c>
      <c r="Z37" s="51"/>
      <c r="AA37" s="51" t="s">
        <v>74</v>
      </c>
      <c r="AB37" s="51"/>
      <c r="AC37" s="51" t="s">
        <v>74</v>
      </c>
      <c r="AD37" s="51"/>
      <c r="AE37" s="51">
        <v>32</v>
      </c>
      <c r="AF37" s="51"/>
      <c r="AG37" s="51">
        <v>0</v>
      </c>
      <c r="AH37" s="58">
        <v>0</v>
      </c>
      <c r="AI37" s="52">
        <v>0</v>
      </c>
      <c r="AJ37" s="51">
        <v>0</v>
      </c>
      <c r="AK37" s="51">
        <v>5</v>
      </c>
      <c r="AL37" s="59">
        <v>0</v>
      </c>
      <c r="AM37" s="51">
        <v>0</v>
      </c>
      <c r="AN37" s="55">
        <f t="shared" si="0"/>
      </c>
      <c r="AO37" s="51">
        <v>0</v>
      </c>
      <c r="AP37" s="60">
        <f t="shared" si="1"/>
      </c>
      <c r="AQ37" s="61">
        <f t="shared" si="3"/>
      </c>
      <c r="AR37" s="53">
        <f t="shared" si="5"/>
      </c>
      <c r="AS37" s="62">
        <f t="shared" si="7"/>
      </c>
      <c r="AT37" s="60">
        <v>0</v>
      </c>
      <c r="AU37" s="53">
        <f t="shared" si="9"/>
      </c>
      <c r="AV37" s="56">
        <f t="shared" si="10"/>
      </c>
      <c r="AW37" s="56">
        <v>0</v>
      </c>
      <c r="AX37" s="62">
        <f t="shared" si="11"/>
      </c>
      <c r="AY37" s="55"/>
      <c r="AZ37" s="63"/>
      <c r="BA37" s="63"/>
      <c r="BB37" s="64"/>
      <c r="BC37" s="55"/>
      <c r="BD37" s="56"/>
      <c r="BE37" s="56"/>
      <c r="BF37" s="56"/>
      <c r="BG37" s="57"/>
      <c r="BH37" s="65"/>
      <c r="BI37" s="51"/>
      <c r="BJ37" s="55"/>
      <c r="BK37" s="51"/>
      <c r="BL37" s="62"/>
      <c r="BM37" s="51"/>
      <c r="BN37" s="52"/>
      <c r="BO37" s="51"/>
      <c r="BP37" s="66"/>
      <c r="BQ37" s="67"/>
    </row>
    <row customHeight="true" ht="13.333333333333332" r="38">
      <c r="A38" s="50">
        <v>46027</v>
      </c>
      <c r="B38" s="51" t="s">
        <v>71</v>
      </c>
      <c r="C38" s="52"/>
      <c r="D38" s="51">
        <v>54.99</v>
      </c>
      <c r="E38" s="53"/>
      <c r="F38" s="53">
        <v>0</v>
      </c>
      <c r="G38" s="53">
        <v>0</v>
      </c>
      <c r="H38" s="54">
        <v>33.43</v>
      </c>
      <c r="I38" s="53" t="s">
        <v>73</v>
      </c>
      <c r="J38" s="55" t="s">
        <v>73</v>
      </c>
      <c r="K38" s="51">
        <f>'德国ERP数据'!BC237</f>
      </c>
      <c r="L38" s="51">
        <f>'德国ERP数据'!BA237</f>
      </c>
      <c r="M38" s="51">
        <f t="shared" si="2"/>
      </c>
      <c r="N38" s="53">
        <f t="shared" si="4"/>
      </c>
      <c r="O38" s="56">
        <f t="shared" si="6"/>
      </c>
      <c r="P38" s="56">
        <f t="shared" si="8"/>
      </c>
      <c r="Q38" s="51">
        <f>'德国ERP数据'!R237</f>
      </c>
      <c r="R38" s="51" t="s">
        <v>73</v>
      </c>
      <c r="S38" s="51">
        <f>'德国ERP数据'!Z237</f>
      </c>
      <c r="T38" s="51">
        <v>0</v>
      </c>
      <c r="U38" s="51">
        <v>0</v>
      </c>
      <c r="V38" s="53">
        <v>0</v>
      </c>
      <c r="W38" s="51">
        <v>0</v>
      </c>
      <c r="X38" s="57">
        <f>'德国ERP数据'!Q237</f>
      </c>
      <c r="Y38" s="51" t="s">
        <v>74</v>
      </c>
      <c r="Z38" s="51"/>
      <c r="AA38" s="51" t="s">
        <v>74</v>
      </c>
      <c r="AB38" s="51"/>
      <c r="AC38" s="51" t="s">
        <v>74</v>
      </c>
      <c r="AD38" s="51"/>
      <c r="AE38" s="51">
        <v>32</v>
      </c>
      <c r="AF38" s="51"/>
      <c r="AG38" s="51">
        <v>0</v>
      </c>
      <c r="AH38" s="58">
        <v>0</v>
      </c>
      <c r="AI38" s="52">
        <v>0</v>
      </c>
      <c r="AJ38" s="51">
        <v>0</v>
      </c>
      <c r="AK38" s="51">
        <v>5</v>
      </c>
      <c r="AL38" s="59">
        <v>0</v>
      </c>
      <c r="AM38" s="51">
        <v>0</v>
      </c>
      <c r="AN38" s="55">
        <f t="shared" si="0"/>
      </c>
      <c r="AO38" s="51">
        <v>0</v>
      </c>
      <c r="AP38" s="60">
        <f t="shared" si="1"/>
      </c>
      <c r="AQ38" s="61">
        <f t="shared" si="3"/>
      </c>
      <c r="AR38" s="53">
        <f t="shared" si="5"/>
      </c>
      <c r="AS38" s="62">
        <f t="shared" si="7"/>
      </c>
      <c r="AT38" s="60">
        <v>0</v>
      </c>
      <c r="AU38" s="53">
        <f t="shared" si="9"/>
      </c>
      <c r="AV38" s="56">
        <f t="shared" si="10"/>
      </c>
      <c r="AW38" s="56">
        <v>0</v>
      </c>
      <c r="AX38" s="62">
        <f t="shared" si="11"/>
      </c>
      <c r="AY38" s="55"/>
      <c r="AZ38" s="63"/>
      <c r="BA38" s="63"/>
      <c r="BB38" s="64"/>
      <c r="BC38" s="55"/>
      <c r="BD38" s="56"/>
      <c r="BE38" s="56"/>
      <c r="BF38" s="56"/>
      <c r="BG38" s="57"/>
      <c r="BH38" s="65"/>
      <c r="BI38" s="51"/>
      <c r="BJ38" s="55"/>
      <c r="BK38" s="51"/>
      <c r="BL38" s="62"/>
      <c r="BM38" s="51"/>
      <c r="BN38" s="52"/>
      <c r="BO38" s="51"/>
      <c r="BP38" s="66"/>
      <c r="BQ38" s="67"/>
    </row>
    <row customHeight="true" ht="13.333333333333332" r="39">
      <c r="A39" s="50">
        <v>46028</v>
      </c>
      <c r="B39" s="51" t="s">
        <v>75</v>
      </c>
      <c r="C39" s="52"/>
      <c r="D39" s="51">
        <v>54.99</v>
      </c>
      <c r="E39" s="53"/>
      <c r="F39" s="53">
        <v>0</v>
      </c>
      <c r="G39" s="53">
        <v>0</v>
      </c>
      <c r="H39" s="54">
        <v>33.43</v>
      </c>
      <c r="I39" s="53" t="s">
        <v>73</v>
      </c>
      <c r="J39" s="55" t="s">
        <v>73</v>
      </c>
      <c r="K39" s="51">
        <f>'德国ERP数据'!BC238</f>
      </c>
      <c r="L39" s="51">
        <f>'德国ERP数据'!BA238</f>
      </c>
      <c r="M39" s="51">
        <f t="shared" si="2"/>
      </c>
      <c r="N39" s="53">
        <f t="shared" si="4"/>
      </c>
      <c r="O39" s="56">
        <f t="shared" si="6"/>
      </c>
      <c r="P39" s="56">
        <f t="shared" si="8"/>
      </c>
      <c r="Q39" s="51">
        <f>'德国ERP数据'!R238</f>
      </c>
      <c r="R39" s="51" t="s">
        <v>73</v>
      </c>
      <c r="S39" s="51">
        <f>'德国ERP数据'!Z238</f>
      </c>
      <c r="T39" s="51">
        <v>0</v>
      </c>
      <c r="U39" s="51">
        <v>0</v>
      </c>
      <c r="V39" s="53">
        <v>0</v>
      </c>
      <c r="W39" s="51">
        <v>0</v>
      </c>
      <c r="X39" s="57">
        <f>'德国ERP数据'!Q238</f>
      </c>
      <c r="Y39" s="51" t="s">
        <v>74</v>
      </c>
      <c r="Z39" s="51"/>
      <c r="AA39" s="51" t="s">
        <v>74</v>
      </c>
      <c r="AB39" s="51"/>
      <c r="AC39" s="51" t="s">
        <v>74</v>
      </c>
      <c r="AD39" s="51"/>
      <c r="AE39" s="51">
        <v>32</v>
      </c>
      <c r="AF39" s="51"/>
      <c r="AG39" s="51">
        <v>0</v>
      </c>
      <c r="AH39" s="58">
        <v>0</v>
      </c>
      <c r="AI39" s="52">
        <v>0</v>
      </c>
      <c r="AJ39" s="51">
        <v>0</v>
      </c>
      <c r="AK39" s="51">
        <v>5</v>
      </c>
      <c r="AL39" s="59">
        <v>0</v>
      </c>
      <c r="AM39" s="51">
        <v>0</v>
      </c>
      <c r="AN39" s="55">
        <f t="shared" si="0"/>
      </c>
      <c r="AO39" s="51">
        <v>0</v>
      </c>
      <c r="AP39" s="60">
        <f t="shared" si="1"/>
      </c>
      <c r="AQ39" s="61">
        <f t="shared" si="3"/>
      </c>
      <c r="AR39" s="53">
        <f t="shared" si="5"/>
      </c>
      <c r="AS39" s="62">
        <f t="shared" si="7"/>
      </c>
      <c r="AT39" s="60">
        <v>0</v>
      </c>
      <c r="AU39" s="53">
        <f t="shared" si="9"/>
      </c>
      <c r="AV39" s="56">
        <f t="shared" si="10"/>
      </c>
      <c r="AW39" s="56">
        <v>0</v>
      </c>
      <c r="AX39" s="62">
        <f t="shared" si="11"/>
      </c>
      <c r="AY39" s="55"/>
      <c r="AZ39" s="63"/>
      <c r="BA39" s="63"/>
      <c r="BB39" s="64"/>
      <c r="BC39" s="55"/>
      <c r="BD39" s="56"/>
      <c r="BE39" s="56"/>
      <c r="BF39" s="56"/>
      <c r="BG39" s="57"/>
      <c r="BH39" s="65"/>
      <c r="BI39" s="51"/>
      <c r="BJ39" s="55"/>
      <c r="BK39" s="51"/>
      <c r="BL39" s="62"/>
      <c r="BM39" s="51"/>
      <c r="BN39" s="52"/>
      <c r="BO39" s="51"/>
      <c r="BP39" s="66"/>
      <c r="BQ39" s="67"/>
    </row>
    <row customHeight="true" ht="13.333333333333332" r="40">
      <c r="A40" s="50">
        <v>46029</v>
      </c>
      <c r="B40" s="51" t="s">
        <v>76</v>
      </c>
      <c r="C40" s="52"/>
      <c r="D40" s="51">
        <v>54.99</v>
      </c>
      <c r="E40" s="53"/>
      <c r="F40" s="53">
        <v>0</v>
      </c>
      <c r="G40" s="53">
        <v>0</v>
      </c>
      <c r="H40" s="54">
        <v>33.43</v>
      </c>
      <c r="I40" s="53" t="s">
        <v>73</v>
      </c>
      <c r="J40" s="55" t="s">
        <v>73</v>
      </c>
      <c r="K40" s="51">
        <f>'德国ERP数据'!BC239</f>
      </c>
      <c r="L40" s="51">
        <f>'德国ERP数据'!BA239</f>
      </c>
      <c r="M40" s="51">
        <f t="shared" si="2"/>
      </c>
      <c r="N40" s="53">
        <f t="shared" si="4"/>
      </c>
      <c r="O40" s="56">
        <f t="shared" si="6"/>
      </c>
      <c r="P40" s="56">
        <f t="shared" si="8"/>
      </c>
      <c r="Q40" s="51">
        <f>'德国ERP数据'!R239</f>
      </c>
      <c r="R40" s="51" t="s">
        <v>73</v>
      </c>
      <c r="S40" s="51">
        <f>'德国ERP数据'!Z239</f>
      </c>
      <c r="T40" s="51">
        <v>0</v>
      </c>
      <c r="U40" s="51">
        <v>0</v>
      </c>
      <c r="V40" s="53">
        <v>0</v>
      </c>
      <c r="W40" s="51">
        <v>0</v>
      </c>
      <c r="X40" s="57">
        <f>'德国ERP数据'!Q239</f>
      </c>
      <c r="Y40" s="51" t="s">
        <v>74</v>
      </c>
      <c r="Z40" s="51"/>
      <c r="AA40" s="51" t="s">
        <v>74</v>
      </c>
      <c r="AB40" s="51"/>
      <c r="AC40" s="51" t="s">
        <v>74</v>
      </c>
      <c r="AD40" s="51"/>
      <c r="AE40" s="51">
        <v>32</v>
      </c>
      <c r="AF40" s="51"/>
      <c r="AG40" s="51">
        <v>0</v>
      </c>
      <c r="AH40" s="58">
        <v>0</v>
      </c>
      <c r="AI40" s="52">
        <v>0</v>
      </c>
      <c r="AJ40" s="51">
        <v>0</v>
      </c>
      <c r="AK40" s="51">
        <v>5</v>
      </c>
      <c r="AL40" s="59">
        <v>0</v>
      </c>
      <c r="AM40" s="51">
        <v>0</v>
      </c>
      <c r="AN40" s="55">
        <f t="shared" si="0"/>
      </c>
      <c r="AO40" s="51">
        <v>0</v>
      </c>
      <c r="AP40" s="60">
        <f t="shared" si="1"/>
      </c>
      <c r="AQ40" s="61">
        <f t="shared" si="3"/>
      </c>
      <c r="AR40" s="53">
        <f t="shared" si="5"/>
      </c>
      <c r="AS40" s="62">
        <f t="shared" si="7"/>
      </c>
      <c r="AT40" s="60">
        <v>0</v>
      </c>
      <c r="AU40" s="53">
        <f t="shared" si="9"/>
      </c>
      <c r="AV40" s="56">
        <f t="shared" si="10"/>
      </c>
      <c r="AW40" s="56">
        <v>0</v>
      </c>
      <c r="AX40" s="62">
        <f t="shared" si="11"/>
      </c>
      <c r="AY40" s="55"/>
      <c r="AZ40" s="63"/>
      <c r="BA40" s="63"/>
      <c r="BB40" s="64"/>
      <c r="BC40" s="55"/>
      <c r="BD40" s="56"/>
      <c r="BE40" s="56"/>
      <c r="BF40" s="56"/>
      <c r="BG40" s="57"/>
      <c r="BH40" s="65"/>
      <c r="BI40" s="51"/>
      <c r="BJ40" s="55"/>
      <c r="BK40" s="51"/>
      <c r="BL40" s="62"/>
      <c r="BM40" s="51"/>
      <c r="BN40" s="52"/>
      <c r="BO40" s="51"/>
      <c r="BP40" s="66"/>
      <c r="BQ40" s="67"/>
    </row>
    <row customHeight="true" ht="13.333333333333332" r="41">
      <c r="A41" s="50">
        <v>46030</v>
      </c>
      <c r="B41" s="51" t="s">
        <v>77</v>
      </c>
      <c r="C41" s="52"/>
      <c r="D41" s="51">
        <v>54.99</v>
      </c>
      <c r="E41" s="53"/>
      <c r="F41" s="53">
        <v>0</v>
      </c>
      <c r="G41" s="53">
        <v>0</v>
      </c>
      <c r="H41" s="54">
        <v>33.43</v>
      </c>
      <c r="I41" s="53" t="s">
        <v>73</v>
      </c>
      <c r="J41" s="55" t="s">
        <v>73</v>
      </c>
      <c r="K41" s="51">
        <f>'德国ERP数据'!BC240</f>
      </c>
      <c r="L41" s="51">
        <f>'德国ERP数据'!BA240</f>
      </c>
      <c r="M41" s="51">
        <f t="shared" si="2"/>
      </c>
      <c r="N41" s="53">
        <f t="shared" si="4"/>
      </c>
      <c r="O41" s="56">
        <f t="shared" si="6"/>
      </c>
      <c r="P41" s="56">
        <f t="shared" si="8"/>
      </c>
      <c r="Q41" s="51">
        <f>'德国ERP数据'!R240</f>
      </c>
      <c r="R41" s="51" t="s">
        <v>73</v>
      </c>
      <c r="S41" s="51">
        <f>'德国ERP数据'!Z240</f>
      </c>
      <c r="T41" s="51">
        <v>0</v>
      </c>
      <c r="U41" s="51">
        <v>0</v>
      </c>
      <c r="V41" s="53">
        <v>0</v>
      </c>
      <c r="W41" s="51">
        <v>0</v>
      </c>
      <c r="X41" s="57">
        <f>'德国ERP数据'!Q240</f>
      </c>
      <c r="Y41" s="51" t="s">
        <v>74</v>
      </c>
      <c r="Z41" s="51"/>
      <c r="AA41" s="51" t="s">
        <v>74</v>
      </c>
      <c r="AB41" s="51"/>
      <c r="AC41" s="51" t="s">
        <v>74</v>
      </c>
      <c r="AD41" s="51"/>
      <c r="AE41" s="51">
        <v>32</v>
      </c>
      <c r="AF41" s="51"/>
      <c r="AG41" s="51">
        <v>0</v>
      </c>
      <c r="AH41" s="58">
        <v>0</v>
      </c>
      <c r="AI41" s="52">
        <v>0</v>
      </c>
      <c r="AJ41" s="51">
        <v>0</v>
      </c>
      <c r="AK41" s="51">
        <v>5</v>
      </c>
      <c r="AL41" s="59">
        <v>0</v>
      </c>
      <c r="AM41" s="51">
        <v>0</v>
      </c>
      <c r="AN41" s="55">
        <f t="shared" si="0"/>
      </c>
      <c r="AO41" s="51">
        <v>0</v>
      </c>
      <c r="AP41" s="60">
        <f t="shared" si="1"/>
      </c>
      <c r="AQ41" s="61">
        <f t="shared" si="3"/>
      </c>
      <c r="AR41" s="53">
        <f t="shared" si="5"/>
      </c>
      <c r="AS41" s="62">
        <f t="shared" si="7"/>
      </c>
      <c r="AT41" s="60">
        <v>0</v>
      </c>
      <c r="AU41" s="53">
        <f t="shared" si="9"/>
      </c>
      <c r="AV41" s="56">
        <f t="shared" si="10"/>
      </c>
      <c r="AW41" s="56">
        <v>0</v>
      </c>
      <c r="AX41" s="62">
        <f t="shared" si="11"/>
      </c>
      <c r="AY41" s="55"/>
      <c r="AZ41" s="63"/>
      <c r="BA41" s="63"/>
      <c r="BB41" s="64"/>
      <c r="BC41" s="55"/>
      <c r="BD41" s="56"/>
      <c r="BE41" s="56"/>
      <c r="BF41" s="56"/>
      <c r="BG41" s="57"/>
      <c r="BH41" s="65"/>
      <c r="BI41" s="51"/>
      <c r="BJ41" s="55"/>
      <c r="BK41" s="51"/>
      <c r="BL41" s="62"/>
      <c r="BM41" s="51"/>
      <c r="BN41" s="52"/>
      <c r="BO41" s="51"/>
      <c r="BP41" s="66"/>
      <c r="BQ41" s="67"/>
    </row>
    <row customHeight="true" ht="13.333333333333332" r="42">
      <c r="A42" s="50">
        <v>46031</v>
      </c>
      <c r="B42" s="51" t="s">
        <v>78</v>
      </c>
      <c r="C42" s="52"/>
      <c r="D42" s="51">
        <v>54.99</v>
      </c>
      <c r="E42" s="53"/>
      <c r="F42" s="53">
        <v>0</v>
      </c>
      <c r="G42" s="53">
        <v>0</v>
      </c>
      <c r="H42" s="54">
        <v>33.43</v>
      </c>
      <c r="I42" s="53" t="s">
        <v>73</v>
      </c>
      <c r="J42" s="55" t="s">
        <v>73</v>
      </c>
      <c r="K42" s="51">
        <f>'德国ERP数据'!BC241</f>
      </c>
      <c r="L42" s="51">
        <f>'德国ERP数据'!BA241</f>
      </c>
      <c r="M42" s="51">
        <f t="shared" si="2"/>
      </c>
      <c r="N42" s="53">
        <f t="shared" si="4"/>
      </c>
      <c r="O42" s="56">
        <f t="shared" si="6"/>
      </c>
      <c r="P42" s="56">
        <f t="shared" si="8"/>
      </c>
      <c r="Q42" s="51">
        <f>'德国ERP数据'!R241</f>
      </c>
      <c r="R42" s="51" t="s">
        <v>73</v>
      </c>
      <c r="S42" s="51">
        <f>'德国ERP数据'!Z241</f>
      </c>
      <c r="T42" s="51">
        <v>0</v>
      </c>
      <c r="U42" s="51">
        <v>0</v>
      </c>
      <c r="V42" s="53">
        <v>0</v>
      </c>
      <c r="W42" s="51">
        <v>0</v>
      </c>
      <c r="X42" s="57">
        <f>'德国ERP数据'!Q241</f>
      </c>
      <c r="Y42" s="51" t="s">
        <v>74</v>
      </c>
      <c r="Z42" s="51"/>
      <c r="AA42" s="51" t="s">
        <v>74</v>
      </c>
      <c r="AB42" s="51"/>
      <c r="AC42" s="51" t="s">
        <v>74</v>
      </c>
      <c r="AD42" s="51"/>
      <c r="AE42" s="51">
        <v>32</v>
      </c>
      <c r="AF42" s="51"/>
      <c r="AG42" s="51">
        <v>0</v>
      </c>
      <c r="AH42" s="58">
        <v>0</v>
      </c>
      <c r="AI42" s="52">
        <v>0</v>
      </c>
      <c r="AJ42" s="51">
        <v>0</v>
      </c>
      <c r="AK42" s="51">
        <v>5</v>
      </c>
      <c r="AL42" s="59">
        <v>0</v>
      </c>
      <c r="AM42" s="51">
        <v>0</v>
      </c>
      <c r="AN42" s="55">
        <f t="shared" si="0"/>
      </c>
      <c r="AO42" s="51">
        <v>0</v>
      </c>
      <c r="AP42" s="60">
        <f t="shared" si="1"/>
      </c>
      <c r="AQ42" s="61">
        <f t="shared" si="3"/>
      </c>
      <c r="AR42" s="53">
        <f t="shared" si="5"/>
      </c>
      <c r="AS42" s="62">
        <f t="shared" si="7"/>
      </c>
      <c r="AT42" s="60">
        <v>0</v>
      </c>
      <c r="AU42" s="53">
        <f t="shared" si="9"/>
      </c>
      <c r="AV42" s="56">
        <f t="shared" si="10"/>
      </c>
      <c r="AW42" s="56">
        <v>0</v>
      </c>
      <c r="AX42" s="62">
        <f t="shared" si="11"/>
      </c>
      <c r="AY42" s="55"/>
      <c r="AZ42" s="63"/>
      <c r="BA42" s="63"/>
      <c r="BB42" s="64"/>
      <c r="BC42" s="55"/>
      <c r="BD42" s="56"/>
      <c r="BE42" s="56"/>
      <c r="BF42" s="56"/>
      <c r="BG42" s="57"/>
      <c r="BH42" s="65"/>
      <c r="BI42" s="51"/>
      <c r="BJ42" s="55"/>
      <c r="BK42" s="51"/>
      <c r="BL42" s="62"/>
      <c r="BM42" s="51"/>
      <c r="BN42" s="52"/>
      <c r="BO42" s="51"/>
      <c r="BP42" s="66"/>
      <c r="BQ42" s="67"/>
    </row>
    <row customHeight="true" ht="13.333333333333332" r="43">
      <c r="A43" s="50">
        <v>46032</v>
      </c>
      <c r="B43" s="51" t="s">
        <v>79</v>
      </c>
      <c r="C43" s="52"/>
      <c r="D43" s="51">
        <v>54.99</v>
      </c>
      <c r="E43" s="53"/>
      <c r="F43" s="53">
        <v>0</v>
      </c>
      <c r="G43" s="53">
        <v>0</v>
      </c>
      <c r="H43" s="54">
        <v>33.43</v>
      </c>
      <c r="I43" s="53" t="s">
        <v>73</v>
      </c>
      <c r="J43" s="55" t="s">
        <v>73</v>
      </c>
      <c r="K43" s="51">
        <f>'德国ERP数据'!BC242</f>
      </c>
      <c r="L43" s="51">
        <f>'德国ERP数据'!BA242</f>
      </c>
      <c r="M43" s="51">
        <f t="shared" si="2"/>
      </c>
      <c r="N43" s="53">
        <f t="shared" si="4"/>
      </c>
      <c r="O43" s="56">
        <f t="shared" si="6"/>
      </c>
      <c r="P43" s="56">
        <f t="shared" si="8"/>
      </c>
      <c r="Q43" s="51">
        <f>'德国ERP数据'!R242</f>
      </c>
      <c r="R43" s="51" t="s">
        <v>73</v>
      </c>
      <c r="S43" s="51">
        <f>'德国ERP数据'!Z242</f>
      </c>
      <c r="T43" s="51">
        <v>0</v>
      </c>
      <c r="U43" s="51">
        <v>0</v>
      </c>
      <c r="V43" s="53">
        <v>0</v>
      </c>
      <c r="W43" s="51">
        <v>0</v>
      </c>
      <c r="X43" s="57">
        <f>'德国ERP数据'!Q242</f>
      </c>
      <c r="Y43" s="51" t="s">
        <v>74</v>
      </c>
      <c r="Z43" s="51"/>
      <c r="AA43" s="51" t="s">
        <v>74</v>
      </c>
      <c r="AB43" s="51"/>
      <c r="AC43" s="51" t="s">
        <v>74</v>
      </c>
      <c r="AD43" s="51"/>
      <c r="AE43" s="51">
        <v>32</v>
      </c>
      <c r="AF43" s="51"/>
      <c r="AG43" s="51">
        <v>0</v>
      </c>
      <c r="AH43" s="58">
        <v>0</v>
      </c>
      <c r="AI43" s="52">
        <v>0</v>
      </c>
      <c r="AJ43" s="51">
        <v>0</v>
      </c>
      <c r="AK43" s="51">
        <v>5</v>
      </c>
      <c r="AL43" s="59">
        <v>0</v>
      </c>
      <c r="AM43" s="51">
        <v>0</v>
      </c>
      <c r="AN43" s="55">
        <f t="shared" si="0"/>
      </c>
      <c r="AO43" s="51">
        <v>0</v>
      </c>
      <c r="AP43" s="60">
        <f t="shared" si="1"/>
      </c>
      <c r="AQ43" s="61">
        <f t="shared" si="3"/>
      </c>
      <c r="AR43" s="53">
        <f t="shared" si="5"/>
      </c>
      <c r="AS43" s="62">
        <f t="shared" si="7"/>
      </c>
      <c r="AT43" s="60">
        <v>0</v>
      </c>
      <c r="AU43" s="53">
        <f t="shared" si="9"/>
      </c>
      <c r="AV43" s="56">
        <f t="shared" si="10"/>
      </c>
      <c r="AW43" s="56">
        <v>0</v>
      </c>
      <c r="AX43" s="62">
        <f t="shared" si="11"/>
      </c>
      <c r="AY43" s="55"/>
      <c r="AZ43" s="63"/>
      <c r="BA43" s="63"/>
      <c r="BB43" s="64"/>
      <c r="BC43" s="55"/>
      <c r="BD43" s="56"/>
      <c r="BE43" s="56"/>
      <c r="BF43" s="56"/>
      <c r="BG43" s="57"/>
      <c r="BH43" s="65"/>
      <c r="BI43" s="51"/>
      <c r="BJ43" s="55"/>
      <c r="BK43" s="51"/>
      <c r="BL43" s="62"/>
      <c r="BM43" s="51"/>
      <c r="BN43" s="52"/>
      <c r="BO43" s="51"/>
      <c r="BP43" s="66"/>
      <c r="BQ43" s="67"/>
    </row>
    <row customHeight="true" ht="13.333333333333332" r="44">
      <c r="A44" s="50">
        <v>46033</v>
      </c>
      <c r="B44" s="51" t="s">
        <v>80</v>
      </c>
      <c r="C44" s="52"/>
      <c r="D44" s="51">
        <v>54.99</v>
      </c>
      <c r="E44" s="53"/>
      <c r="F44" s="53">
        <v>0</v>
      </c>
      <c r="G44" s="53">
        <v>0</v>
      </c>
      <c r="H44" s="54">
        <v>33.43</v>
      </c>
      <c r="I44" s="53" t="s">
        <v>73</v>
      </c>
      <c r="J44" s="55" t="s">
        <v>73</v>
      </c>
      <c r="K44" s="51">
        <f>'德国ERP数据'!BC243</f>
      </c>
      <c r="L44" s="51">
        <f>'德国ERP数据'!BA243</f>
      </c>
      <c r="M44" s="51">
        <f t="shared" si="2"/>
      </c>
      <c r="N44" s="53">
        <f t="shared" si="4"/>
      </c>
      <c r="O44" s="56">
        <f t="shared" si="6"/>
      </c>
      <c r="P44" s="56">
        <f t="shared" si="8"/>
      </c>
      <c r="Q44" s="51">
        <f>'德国ERP数据'!R243</f>
      </c>
      <c r="R44" s="51" t="s">
        <v>73</v>
      </c>
      <c r="S44" s="51">
        <f>'德国ERP数据'!Z243</f>
      </c>
      <c r="T44" s="51">
        <v>0</v>
      </c>
      <c r="U44" s="51">
        <v>0</v>
      </c>
      <c r="V44" s="53">
        <v>0</v>
      </c>
      <c r="W44" s="51">
        <v>0</v>
      </c>
      <c r="X44" s="57">
        <f>'德国ERP数据'!Q243</f>
      </c>
      <c r="Y44" s="51" t="s">
        <v>74</v>
      </c>
      <c r="Z44" s="51"/>
      <c r="AA44" s="51" t="s">
        <v>74</v>
      </c>
      <c r="AB44" s="51"/>
      <c r="AC44" s="51" t="s">
        <v>74</v>
      </c>
      <c r="AD44" s="51"/>
      <c r="AE44" s="51">
        <v>32</v>
      </c>
      <c r="AF44" s="51"/>
      <c r="AG44" s="51">
        <v>0</v>
      </c>
      <c r="AH44" s="58">
        <v>0</v>
      </c>
      <c r="AI44" s="52">
        <v>0</v>
      </c>
      <c r="AJ44" s="51">
        <v>0</v>
      </c>
      <c r="AK44" s="51">
        <v>5</v>
      </c>
      <c r="AL44" s="59">
        <v>0</v>
      </c>
      <c r="AM44" s="51">
        <v>0</v>
      </c>
      <c r="AN44" s="55">
        <f t="shared" si="0"/>
      </c>
      <c r="AO44" s="51">
        <v>0</v>
      </c>
      <c r="AP44" s="60">
        <f t="shared" si="1"/>
      </c>
      <c r="AQ44" s="61">
        <f t="shared" si="3"/>
      </c>
      <c r="AR44" s="53">
        <f t="shared" si="5"/>
      </c>
      <c r="AS44" s="62">
        <f t="shared" si="7"/>
      </c>
      <c r="AT44" s="60">
        <v>0</v>
      </c>
      <c r="AU44" s="53">
        <f t="shared" si="9"/>
      </c>
      <c r="AV44" s="56">
        <f t="shared" si="10"/>
      </c>
      <c r="AW44" s="56">
        <v>0</v>
      </c>
      <c r="AX44" s="62">
        <f t="shared" si="11"/>
      </c>
      <c r="AY44" s="55"/>
      <c r="AZ44" s="63"/>
      <c r="BA44" s="63"/>
      <c r="BB44" s="64"/>
      <c r="BC44" s="55"/>
      <c r="BD44" s="56"/>
      <c r="BE44" s="56"/>
      <c r="BF44" s="56"/>
      <c r="BG44" s="57"/>
      <c r="BH44" s="65"/>
      <c r="BI44" s="51"/>
      <c r="BJ44" s="55"/>
      <c r="BK44" s="51"/>
      <c r="BL44" s="62"/>
      <c r="BM44" s="51"/>
      <c r="BN44" s="52"/>
      <c r="BO44" s="51"/>
      <c r="BP44" s="66"/>
      <c r="BQ44" s="67"/>
    </row>
    <row customHeight="true" ht="13.333333333333332" r="45">
      <c r="A45" s="50">
        <v>46034</v>
      </c>
      <c r="B45" s="51" t="s">
        <v>71</v>
      </c>
      <c r="C45" s="52"/>
      <c r="D45" s="51">
        <v>54.99</v>
      </c>
      <c r="E45" s="53"/>
      <c r="F45" s="53">
        <v>0</v>
      </c>
      <c r="G45" s="53">
        <v>0</v>
      </c>
      <c r="H45" s="54">
        <v>33.43</v>
      </c>
      <c r="I45" s="53" t="s">
        <v>73</v>
      </c>
      <c r="J45" s="55" t="s">
        <v>73</v>
      </c>
      <c r="K45" s="51">
        <f>'德国ERP数据'!BC244</f>
      </c>
      <c r="L45" s="51">
        <f>'德国ERP数据'!BA244</f>
      </c>
      <c r="M45" s="51">
        <f t="shared" si="2"/>
      </c>
      <c r="N45" s="53">
        <f t="shared" si="4"/>
      </c>
      <c r="O45" s="56">
        <f t="shared" si="6"/>
      </c>
      <c r="P45" s="56">
        <f t="shared" si="8"/>
      </c>
      <c r="Q45" s="51">
        <f>'德国ERP数据'!R244</f>
      </c>
      <c r="R45" s="51" t="s">
        <v>73</v>
      </c>
      <c r="S45" s="51">
        <f>'德国ERP数据'!Z244</f>
      </c>
      <c r="T45" s="51">
        <v>0</v>
      </c>
      <c r="U45" s="51">
        <v>0</v>
      </c>
      <c r="V45" s="53">
        <v>0</v>
      </c>
      <c r="W45" s="51">
        <v>0</v>
      </c>
      <c r="X45" s="57">
        <f>'德国ERP数据'!Q244</f>
      </c>
      <c r="Y45" s="51" t="s">
        <v>74</v>
      </c>
      <c r="Z45" s="51"/>
      <c r="AA45" s="51" t="s">
        <v>74</v>
      </c>
      <c r="AB45" s="51"/>
      <c r="AC45" s="51" t="s">
        <v>74</v>
      </c>
      <c r="AD45" s="51"/>
      <c r="AE45" s="51">
        <v>32</v>
      </c>
      <c r="AF45" s="51"/>
      <c r="AG45" s="51">
        <v>0</v>
      </c>
      <c r="AH45" s="58">
        <v>0</v>
      </c>
      <c r="AI45" s="52">
        <v>0</v>
      </c>
      <c r="AJ45" s="51">
        <v>0</v>
      </c>
      <c r="AK45" s="51">
        <v>5</v>
      </c>
      <c r="AL45" s="59">
        <v>0</v>
      </c>
      <c r="AM45" s="51">
        <v>0</v>
      </c>
      <c r="AN45" s="55">
        <f t="shared" si="0"/>
      </c>
      <c r="AO45" s="51">
        <v>0</v>
      </c>
      <c r="AP45" s="60">
        <f t="shared" si="1"/>
      </c>
      <c r="AQ45" s="61">
        <f t="shared" si="3"/>
      </c>
      <c r="AR45" s="53">
        <f t="shared" si="5"/>
      </c>
      <c r="AS45" s="62">
        <f t="shared" si="7"/>
      </c>
      <c r="AT45" s="60">
        <v>0</v>
      </c>
      <c r="AU45" s="53">
        <f t="shared" si="9"/>
      </c>
      <c r="AV45" s="56">
        <f t="shared" si="10"/>
      </c>
      <c r="AW45" s="56">
        <v>0</v>
      </c>
      <c r="AX45" s="62">
        <f t="shared" si="11"/>
      </c>
      <c r="AY45" s="55"/>
      <c r="AZ45" s="63"/>
      <c r="BA45" s="63"/>
      <c r="BB45" s="64"/>
      <c r="BC45" s="55"/>
      <c r="BD45" s="56"/>
      <c r="BE45" s="56"/>
      <c r="BF45" s="56"/>
      <c r="BG45" s="57"/>
      <c r="BH45" s="65"/>
      <c r="BI45" s="51"/>
      <c r="BJ45" s="55"/>
      <c r="BK45" s="51"/>
      <c r="BL45" s="62"/>
      <c r="BM45" s="51"/>
      <c r="BN45" s="52"/>
      <c r="BO45" s="51"/>
      <c r="BP45" s="66"/>
      <c r="BQ45" s="67"/>
    </row>
    <row customHeight="true" ht="13.333333333333332" r="46">
      <c r="A46" s="50">
        <v>46035</v>
      </c>
      <c r="B46" s="51" t="s">
        <v>75</v>
      </c>
      <c r="C46" s="52"/>
      <c r="D46" s="51">
        <v>54.99</v>
      </c>
      <c r="E46" s="53"/>
      <c r="F46" s="53">
        <v>0</v>
      </c>
      <c r="G46" s="53">
        <v>0</v>
      </c>
      <c r="H46" s="54">
        <v>33.43</v>
      </c>
      <c r="I46" s="53" t="s">
        <v>73</v>
      </c>
      <c r="J46" s="55" t="s">
        <v>73</v>
      </c>
      <c r="K46" s="51">
        <f>'德国ERP数据'!BC245</f>
      </c>
      <c r="L46" s="51">
        <f>'德国ERP数据'!BA245</f>
      </c>
      <c r="M46" s="51">
        <f t="shared" si="2"/>
      </c>
      <c r="N46" s="53">
        <f t="shared" si="4"/>
      </c>
      <c r="O46" s="56">
        <f t="shared" si="6"/>
      </c>
      <c r="P46" s="56">
        <f t="shared" si="8"/>
      </c>
      <c r="Q46" s="51">
        <f>'德国ERP数据'!R245</f>
      </c>
      <c r="R46" s="51" t="s">
        <v>73</v>
      </c>
      <c r="S46" s="51">
        <f>'德国ERP数据'!Z245</f>
      </c>
      <c r="T46" s="51">
        <v>0</v>
      </c>
      <c r="U46" s="51">
        <v>0</v>
      </c>
      <c r="V46" s="53">
        <v>0</v>
      </c>
      <c r="W46" s="51">
        <v>0</v>
      </c>
      <c r="X46" s="57">
        <f>'德国ERP数据'!Q245</f>
      </c>
      <c r="Y46" s="51" t="s">
        <v>74</v>
      </c>
      <c r="Z46" s="51"/>
      <c r="AA46" s="51" t="s">
        <v>74</v>
      </c>
      <c r="AB46" s="51"/>
      <c r="AC46" s="51" t="s">
        <v>74</v>
      </c>
      <c r="AD46" s="51"/>
      <c r="AE46" s="51">
        <v>32</v>
      </c>
      <c r="AF46" s="51"/>
      <c r="AG46" s="51">
        <v>0</v>
      </c>
      <c r="AH46" s="58">
        <v>0</v>
      </c>
      <c r="AI46" s="52">
        <v>0</v>
      </c>
      <c r="AJ46" s="51">
        <v>0</v>
      </c>
      <c r="AK46" s="51">
        <v>5</v>
      </c>
      <c r="AL46" s="59">
        <v>0</v>
      </c>
      <c r="AM46" s="51">
        <v>0</v>
      </c>
      <c r="AN46" s="55">
        <f t="shared" si="0"/>
      </c>
      <c r="AO46" s="51">
        <v>0</v>
      </c>
      <c r="AP46" s="60">
        <f t="shared" si="1"/>
      </c>
      <c r="AQ46" s="61">
        <f t="shared" si="3"/>
      </c>
      <c r="AR46" s="53">
        <f t="shared" si="5"/>
      </c>
      <c r="AS46" s="62">
        <f t="shared" si="7"/>
      </c>
      <c r="AT46" s="60">
        <v>0</v>
      </c>
      <c r="AU46" s="53">
        <f t="shared" si="9"/>
      </c>
      <c r="AV46" s="56">
        <f t="shared" si="10"/>
      </c>
      <c r="AW46" s="56">
        <v>0</v>
      </c>
      <c r="AX46" s="62">
        <f t="shared" si="11"/>
      </c>
      <c r="AY46" s="55"/>
      <c r="AZ46" s="63"/>
      <c r="BA46" s="63"/>
      <c r="BB46" s="64"/>
      <c r="BC46" s="55"/>
      <c r="BD46" s="56"/>
      <c r="BE46" s="56"/>
      <c r="BF46" s="56"/>
      <c r="BG46" s="57"/>
      <c r="BH46" s="65"/>
      <c r="BI46" s="51"/>
      <c r="BJ46" s="55"/>
      <c r="BK46" s="51"/>
      <c r="BL46" s="62"/>
      <c r="BM46" s="51"/>
      <c r="BN46" s="52"/>
      <c r="BO46" s="51"/>
      <c r="BP46" s="66"/>
      <c r="BQ46" s="67"/>
    </row>
    <row customHeight="true" ht="13.333333333333332" r="47">
      <c r="A47" s="50">
        <v>46036</v>
      </c>
      <c r="B47" s="51" t="s">
        <v>76</v>
      </c>
      <c r="C47" s="52"/>
      <c r="D47" s="51">
        <v>54.99</v>
      </c>
      <c r="E47" s="53"/>
      <c r="F47" s="53">
        <v>0</v>
      </c>
      <c r="G47" s="53">
        <v>0</v>
      </c>
      <c r="H47" s="54">
        <v>33.43</v>
      </c>
      <c r="I47" s="53" t="s">
        <v>73</v>
      </c>
      <c r="J47" s="55" t="s">
        <v>73</v>
      </c>
      <c r="K47" s="51">
        <f>'德国ERP数据'!BC246</f>
      </c>
      <c r="L47" s="51">
        <f>'德国ERP数据'!BA246</f>
      </c>
      <c r="M47" s="51">
        <f t="shared" si="2"/>
      </c>
      <c r="N47" s="53">
        <f t="shared" si="4"/>
      </c>
      <c r="O47" s="56">
        <f t="shared" si="6"/>
      </c>
      <c r="P47" s="56">
        <f t="shared" si="8"/>
      </c>
      <c r="Q47" s="51">
        <f>'德国ERP数据'!R246</f>
      </c>
      <c r="R47" s="51" t="s">
        <v>73</v>
      </c>
      <c r="S47" s="51">
        <f>'德国ERP数据'!Z246</f>
      </c>
      <c r="T47" s="51">
        <v>0</v>
      </c>
      <c r="U47" s="51">
        <v>0</v>
      </c>
      <c r="V47" s="53">
        <v>0</v>
      </c>
      <c r="W47" s="51">
        <v>0</v>
      </c>
      <c r="X47" s="57">
        <f>'德国ERP数据'!Q246</f>
      </c>
      <c r="Y47" s="51" t="s">
        <v>74</v>
      </c>
      <c r="Z47" s="51"/>
      <c r="AA47" s="51" t="s">
        <v>74</v>
      </c>
      <c r="AB47" s="51"/>
      <c r="AC47" s="51" t="s">
        <v>74</v>
      </c>
      <c r="AD47" s="51"/>
      <c r="AE47" s="51">
        <v>32</v>
      </c>
      <c r="AF47" s="51"/>
      <c r="AG47" s="51">
        <v>0</v>
      </c>
      <c r="AH47" s="58">
        <v>0</v>
      </c>
      <c r="AI47" s="52">
        <v>0</v>
      </c>
      <c r="AJ47" s="51">
        <v>0</v>
      </c>
      <c r="AK47" s="51">
        <v>5</v>
      </c>
      <c r="AL47" s="59">
        <v>0</v>
      </c>
      <c r="AM47" s="51">
        <v>0</v>
      </c>
      <c r="AN47" s="55">
        <f t="shared" si="0"/>
      </c>
      <c r="AO47" s="51">
        <v>0</v>
      </c>
      <c r="AP47" s="60">
        <f t="shared" si="1"/>
      </c>
      <c r="AQ47" s="61">
        <f t="shared" si="3"/>
      </c>
      <c r="AR47" s="53">
        <f t="shared" si="5"/>
      </c>
      <c r="AS47" s="62">
        <f t="shared" si="7"/>
      </c>
      <c r="AT47" s="60">
        <v>0</v>
      </c>
      <c r="AU47" s="53">
        <f t="shared" si="9"/>
      </c>
      <c r="AV47" s="56">
        <f t="shared" si="10"/>
      </c>
      <c r="AW47" s="56">
        <v>0</v>
      </c>
      <c r="AX47" s="62">
        <f t="shared" si="11"/>
      </c>
      <c r="AY47" s="55"/>
      <c r="AZ47" s="63"/>
      <c r="BA47" s="63"/>
      <c r="BB47" s="64"/>
      <c r="BC47" s="55"/>
      <c r="BD47" s="56"/>
      <c r="BE47" s="56"/>
      <c r="BF47" s="56"/>
      <c r="BG47" s="57"/>
      <c r="BH47" s="65"/>
      <c r="BI47" s="51"/>
      <c r="BJ47" s="55"/>
      <c r="BK47" s="51"/>
      <c r="BL47" s="62"/>
      <c r="BM47" s="51"/>
      <c r="BN47" s="52"/>
      <c r="BO47" s="51"/>
      <c r="BP47" s="66"/>
      <c r="BQ47" s="67"/>
    </row>
    <row customHeight="true" ht="13.333333333333332" r="48">
      <c r="A48" s="50">
        <v>46037</v>
      </c>
      <c r="B48" s="51" t="s">
        <v>77</v>
      </c>
      <c r="C48" s="52"/>
      <c r="D48" s="51">
        <v>54.99</v>
      </c>
      <c r="E48" s="53"/>
      <c r="F48" s="53">
        <v>0</v>
      </c>
      <c r="G48" s="53">
        <v>0</v>
      </c>
      <c r="H48" s="54">
        <v>33.43</v>
      </c>
      <c r="I48" s="53" t="s">
        <v>73</v>
      </c>
      <c r="J48" s="55" t="s">
        <v>73</v>
      </c>
      <c r="K48" s="51">
        <f>'德国ERP数据'!BC247</f>
      </c>
      <c r="L48" s="51">
        <f>'德国ERP数据'!BA247</f>
      </c>
      <c r="M48" s="51">
        <f t="shared" si="2"/>
      </c>
      <c r="N48" s="53">
        <f t="shared" si="4"/>
      </c>
      <c r="O48" s="56">
        <f t="shared" si="6"/>
      </c>
      <c r="P48" s="56">
        <f t="shared" si="8"/>
      </c>
      <c r="Q48" s="51">
        <f>'德国ERP数据'!R247</f>
      </c>
      <c r="R48" s="51" t="s">
        <v>73</v>
      </c>
      <c r="S48" s="51">
        <f>'德国ERP数据'!Z247</f>
      </c>
      <c r="T48" s="51">
        <v>0</v>
      </c>
      <c r="U48" s="51">
        <v>0</v>
      </c>
      <c r="V48" s="53">
        <v>0</v>
      </c>
      <c r="W48" s="51">
        <v>0</v>
      </c>
      <c r="X48" s="57">
        <f>'德国ERP数据'!Q247</f>
      </c>
      <c r="Y48" s="51" t="s">
        <v>74</v>
      </c>
      <c r="Z48" s="51"/>
      <c r="AA48" s="51" t="s">
        <v>74</v>
      </c>
      <c r="AB48" s="51"/>
      <c r="AC48" s="51" t="s">
        <v>74</v>
      </c>
      <c r="AD48" s="51"/>
      <c r="AE48" s="51">
        <v>32</v>
      </c>
      <c r="AF48" s="51"/>
      <c r="AG48" s="51">
        <v>0</v>
      </c>
      <c r="AH48" s="58">
        <v>0</v>
      </c>
      <c r="AI48" s="52">
        <v>0</v>
      </c>
      <c r="AJ48" s="51">
        <v>0</v>
      </c>
      <c r="AK48" s="51">
        <v>5</v>
      </c>
      <c r="AL48" s="59">
        <v>0</v>
      </c>
      <c r="AM48" s="51">
        <v>0</v>
      </c>
      <c r="AN48" s="55">
        <f t="shared" si="0"/>
      </c>
      <c r="AO48" s="51">
        <v>0</v>
      </c>
      <c r="AP48" s="60">
        <f t="shared" si="1"/>
      </c>
      <c r="AQ48" s="61">
        <f t="shared" si="3"/>
      </c>
      <c r="AR48" s="53">
        <f t="shared" si="5"/>
      </c>
      <c r="AS48" s="62">
        <f t="shared" si="7"/>
      </c>
      <c r="AT48" s="60">
        <v>0</v>
      </c>
      <c r="AU48" s="53">
        <f t="shared" si="9"/>
      </c>
      <c r="AV48" s="56">
        <f t="shared" si="10"/>
      </c>
      <c r="AW48" s="56">
        <v>0</v>
      </c>
      <c r="AX48" s="62">
        <f t="shared" si="11"/>
      </c>
      <c r="AY48" s="55"/>
      <c r="AZ48" s="63"/>
      <c r="BA48" s="63"/>
      <c r="BB48" s="64"/>
      <c r="BC48" s="55"/>
      <c r="BD48" s="56"/>
      <c r="BE48" s="56"/>
      <c r="BF48" s="56"/>
      <c r="BG48" s="57"/>
      <c r="BH48" s="65"/>
      <c r="BI48" s="51"/>
      <c r="BJ48" s="55"/>
      <c r="BK48" s="51"/>
      <c r="BL48" s="62"/>
      <c r="BM48" s="51"/>
      <c r="BN48" s="52"/>
      <c r="BO48" s="51"/>
      <c r="BP48" s="66"/>
      <c r="BQ48" s="67"/>
    </row>
    <row customHeight="true" ht="13.333333333333332" r="49">
      <c r="A49" s="50">
        <v>46038</v>
      </c>
      <c r="B49" s="51" t="s">
        <v>78</v>
      </c>
      <c r="C49" s="52"/>
      <c r="D49" s="51">
        <v>54.99</v>
      </c>
      <c r="E49" s="53"/>
      <c r="F49" s="53">
        <v>0</v>
      </c>
      <c r="G49" s="53">
        <v>0</v>
      </c>
      <c r="H49" s="54">
        <v>33.43</v>
      </c>
      <c r="I49" s="53" t="s">
        <v>73</v>
      </c>
      <c r="J49" s="55" t="s">
        <v>73</v>
      </c>
      <c r="K49" s="51">
        <f>'德国ERP数据'!BC248</f>
      </c>
      <c r="L49" s="51">
        <f>'德国ERP数据'!BA248</f>
      </c>
      <c r="M49" s="51">
        <f t="shared" si="2"/>
      </c>
      <c r="N49" s="53">
        <f t="shared" si="4"/>
      </c>
      <c r="O49" s="56">
        <f t="shared" si="6"/>
      </c>
      <c r="P49" s="56">
        <f t="shared" si="8"/>
      </c>
      <c r="Q49" s="51">
        <f>'德国ERP数据'!R248</f>
      </c>
      <c r="R49" s="51" t="s">
        <v>73</v>
      </c>
      <c r="S49" s="51">
        <f>'德国ERP数据'!Z248</f>
      </c>
      <c r="T49" s="51">
        <v>0</v>
      </c>
      <c r="U49" s="51">
        <v>0</v>
      </c>
      <c r="V49" s="53">
        <v>0</v>
      </c>
      <c r="W49" s="51">
        <v>0</v>
      </c>
      <c r="X49" s="57">
        <f>'德国ERP数据'!Q248</f>
      </c>
      <c r="Y49" s="51" t="s">
        <v>74</v>
      </c>
      <c r="Z49" s="51"/>
      <c r="AA49" s="51" t="s">
        <v>74</v>
      </c>
      <c r="AB49" s="51"/>
      <c r="AC49" s="51" t="s">
        <v>74</v>
      </c>
      <c r="AD49" s="51"/>
      <c r="AE49" s="51">
        <v>32</v>
      </c>
      <c r="AF49" s="51"/>
      <c r="AG49" s="51">
        <v>0</v>
      </c>
      <c r="AH49" s="58">
        <v>0</v>
      </c>
      <c r="AI49" s="52">
        <v>0</v>
      </c>
      <c r="AJ49" s="51">
        <v>0</v>
      </c>
      <c r="AK49" s="51">
        <v>5</v>
      </c>
      <c r="AL49" s="59">
        <v>0</v>
      </c>
      <c r="AM49" s="51">
        <v>0</v>
      </c>
      <c r="AN49" s="55">
        <f t="shared" si="0"/>
      </c>
      <c r="AO49" s="51">
        <v>0</v>
      </c>
      <c r="AP49" s="60">
        <f t="shared" si="1"/>
      </c>
      <c r="AQ49" s="61">
        <f t="shared" si="3"/>
      </c>
      <c r="AR49" s="53">
        <f t="shared" si="5"/>
      </c>
      <c r="AS49" s="62">
        <f t="shared" si="7"/>
      </c>
      <c r="AT49" s="60">
        <v>0</v>
      </c>
      <c r="AU49" s="53">
        <f t="shared" si="9"/>
      </c>
      <c r="AV49" s="56">
        <f t="shared" si="10"/>
      </c>
      <c r="AW49" s="56">
        <v>0</v>
      </c>
      <c r="AX49" s="62">
        <f t="shared" si="11"/>
      </c>
      <c r="AY49" s="55"/>
      <c r="AZ49" s="63"/>
      <c r="BA49" s="63"/>
      <c r="BB49" s="64"/>
      <c r="BC49" s="55"/>
      <c r="BD49" s="56"/>
      <c r="BE49" s="56"/>
      <c r="BF49" s="56"/>
      <c r="BG49" s="57"/>
      <c r="BH49" s="65"/>
      <c r="BI49" s="51"/>
      <c r="BJ49" s="55"/>
      <c r="BK49" s="51"/>
      <c r="BL49" s="62"/>
      <c r="BM49" s="51"/>
      <c r="BN49" s="52"/>
      <c r="BO49" s="51"/>
      <c r="BP49" s="66"/>
      <c r="BQ49" s="67"/>
    </row>
    <row customHeight="true" ht="13.333333333333332" r="50">
      <c r="A50" s="50">
        <v>46039</v>
      </c>
      <c r="B50" s="51" t="s">
        <v>79</v>
      </c>
      <c r="C50" s="52"/>
      <c r="D50" s="51">
        <v>54.99</v>
      </c>
      <c r="E50" s="53"/>
      <c r="F50" s="53">
        <v>0</v>
      </c>
      <c r="G50" s="53">
        <v>0</v>
      </c>
      <c r="H50" s="54">
        <v>33.43</v>
      </c>
      <c r="I50" s="53" t="s">
        <v>73</v>
      </c>
      <c r="J50" s="55" t="s">
        <v>73</v>
      </c>
      <c r="K50" s="51">
        <f>'德国ERP数据'!BC249</f>
      </c>
      <c r="L50" s="51">
        <f>'德国ERP数据'!BA249</f>
      </c>
      <c r="M50" s="51">
        <f t="shared" si="2"/>
      </c>
      <c r="N50" s="53">
        <f t="shared" si="4"/>
      </c>
      <c r="O50" s="56">
        <f t="shared" si="6"/>
      </c>
      <c r="P50" s="56">
        <f t="shared" si="8"/>
      </c>
      <c r="Q50" s="51">
        <f>'德国ERP数据'!R249</f>
      </c>
      <c r="R50" s="51" t="s">
        <v>73</v>
      </c>
      <c r="S50" s="51">
        <f>'德国ERP数据'!Z249</f>
      </c>
      <c r="T50" s="51">
        <v>0</v>
      </c>
      <c r="U50" s="51">
        <v>0</v>
      </c>
      <c r="V50" s="53">
        <v>0</v>
      </c>
      <c r="W50" s="51">
        <v>0</v>
      </c>
      <c r="X50" s="57">
        <f>'德国ERP数据'!Q249</f>
      </c>
      <c r="Y50" s="51" t="s">
        <v>74</v>
      </c>
      <c r="Z50" s="51"/>
      <c r="AA50" s="51" t="s">
        <v>74</v>
      </c>
      <c r="AB50" s="51"/>
      <c r="AC50" s="51" t="s">
        <v>74</v>
      </c>
      <c r="AD50" s="51"/>
      <c r="AE50" s="51">
        <v>32</v>
      </c>
      <c r="AF50" s="51"/>
      <c r="AG50" s="51">
        <v>0</v>
      </c>
      <c r="AH50" s="58">
        <v>0</v>
      </c>
      <c r="AI50" s="52">
        <v>0</v>
      </c>
      <c r="AJ50" s="51">
        <v>0</v>
      </c>
      <c r="AK50" s="51">
        <v>5</v>
      </c>
      <c r="AL50" s="59">
        <v>0</v>
      </c>
      <c r="AM50" s="51">
        <v>0</v>
      </c>
      <c r="AN50" s="55">
        <f t="shared" si="0"/>
      </c>
      <c r="AO50" s="51">
        <v>0</v>
      </c>
      <c r="AP50" s="60">
        <f t="shared" si="1"/>
      </c>
      <c r="AQ50" s="61">
        <f t="shared" si="3"/>
      </c>
      <c r="AR50" s="53">
        <f t="shared" si="5"/>
      </c>
      <c r="AS50" s="62">
        <f t="shared" si="7"/>
      </c>
      <c r="AT50" s="60">
        <v>0</v>
      </c>
      <c r="AU50" s="53">
        <f t="shared" si="9"/>
      </c>
      <c r="AV50" s="56">
        <f t="shared" si="10"/>
      </c>
      <c r="AW50" s="56">
        <v>0</v>
      </c>
      <c r="AX50" s="62">
        <f t="shared" si="11"/>
      </c>
      <c r="AY50" s="55"/>
      <c r="AZ50" s="63"/>
      <c r="BA50" s="63"/>
      <c r="BB50" s="64"/>
      <c r="BC50" s="55"/>
      <c r="BD50" s="56"/>
      <c r="BE50" s="56"/>
      <c r="BF50" s="56"/>
      <c r="BG50" s="57"/>
      <c r="BH50" s="65"/>
      <c r="BI50" s="51"/>
      <c r="BJ50" s="55"/>
      <c r="BK50" s="51"/>
      <c r="BL50" s="62"/>
      <c r="BM50" s="51"/>
      <c r="BN50" s="52"/>
      <c r="BO50" s="51"/>
      <c r="BP50" s="66"/>
      <c r="BQ50" s="67"/>
    </row>
    <row customHeight="true" ht="13.333333333333332" r="51">
      <c r="A51" s="50">
        <v>46040</v>
      </c>
      <c r="B51" s="51" t="s">
        <v>80</v>
      </c>
      <c r="C51" s="52"/>
      <c r="D51" s="51">
        <v>54.99</v>
      </c>
      <c r="E51" s="53"/>
      <c r="F51" s="53">
        <v>0</v>
      </c>
      <c r="G51" s="53">
        <v>0</v>
      </c>
      <c r="H51" s="54">
        <v>33.43</v>
      </c>
      <c r="I51" s="53" t="s">
        <v>73</v>
      </c>
      <c r="J51" s="55" t="s">
        <v>73</v>
      </c>
      <c r="K51" s="51">
        <f>'德国ERP数据'!BC250</f>
      </c>
      <c r="L51" s="51">
        <f>'德国ERP数据'!BA250</f>
      </c>
      <c r="M51" s="51">
        <f t="shared" si="2"/>
      </c>
      <c r="N51" s="53">
        <f t="shared" si="4"/>
      </c>
      <c r="O51" s="56">
        <f t="shared" si="6"/>
      </c>
      <c r="P51" s="56">
        <f t="shared" si="8"/>
      </c>
      <c r="Q51" s="51">
        <f>'德国ERP数据'!R250</f>
      </c>
      <c r="R51" s="51" t="s">
        <v>73</v>
      </c>
      <c r="S51" s="51">
        <f>'德国ERP数据'!Z250</f>
      </c>
      <c r="T51" s="51">
        <v>0</v>
      </c>
      <c r="U51" s="51">
        <v>0</v>
      </c>
      <c r="V51" s="53">
        <v>0</v>
      </c>
      <c r="W51" s="51">
        <v>0</v>
      </c>
      <c r="X51" s="57">
        <f>'德国ERP数据'!Q250</f>
      </c>
      <c r="Y51" s="51" t="s">
        <v>74</v>
      </c>
      <c r="Z51" s="51"/>
      <c r="AA51" s="51" t="s">
        <v>74</v>
      </c>
      <c r="AB51" s="51"/>
      <c r="AC51" s="51" t="s">
        <v>74</v>
      </c>
      <c r="AD51" s="51"/>
      <c r="AE51" s="51">
        <v>32</v>
      </c>
      <c r="AF51" s="51"/>
      <c r="AG51" s="51">
        <v>0</v>
      </c>
      <c r="AH51" s="58">
        <v>0</v>
      </c>
      <c r="AI51" s="52">
        <v>0</v>
      </c>
      <c r="AJ51" s="51">
        <v>0</v>
      </c>
      <c r="AK51" s="51">
        <v>5</v>
      </c>
      <c r="AL51" s="59">
        <v>0</v>
      </c>
      <c r="AM51" s="51">
        <v>0</v>
      </c>
      <c r="AN51" s="55">
        <f t="shared" si="0"/>
      </c>
      <c r="AO51" s="51">
        <v>0</v>
      </c>
      <c r="AP51" s="60">
        <f t="shared" si="1"/>
      </c>
      <c r="AQ51" s="61">
        <f t="shared" si="3"/>
      </c>
      <c r="AR51" s="53">
        <f t="shared" si="5"/>
      </c>
      <c r="AS51" s="62">
        <f t="shared" si="7"/>
      </c>
      <c r="AT51" s="60">
        <v>0</v>
      </c>
      <c r="AU51" s="53">
        <f t="shared" si="9"/>
      </c>
      <c r="AV51" s="56">
        <f t="shared" si="10"/>
      </c>
      <c r="AW51" s="56">
        <v>0</v>
      </c>
      <c r="AX51" s="62">
        <f t="shared" si="11"/>
      </c>
      <c r="AY51" s="55"/>
      <c r="AZ51" s="63"/>
      <c r="BA51" s="63"/>
      <c r="BB51" s="64"/>
      <c r="BC51" s="55"/>
      <c r="BD51" s="56"/>
      <c r="BE51" s="56"/>
      <c r="BF51" s="56"/>
      <c r="BG51" s="57"/>
      <c r="BH51" s="65"/>
      <c r="BI51" s="51"/>
      <c r="BJ51" s="55"/>
      <c r="BK51" s="51"/>
      <c r="BL51" s="62"/>
      <c r="BM51" s="51"/>
      <c r="BN51" s="52"/>
      <c r="BO51" s="51"/>
      <c r="BP51" s="66"/>
      <c r="BQ51" s="67"/>
    </row>
    <row customHeight="true" ht="13.333333333333332" r="52">
      <c r="A52" s="50">
        <v>46041</v>
      </c>
      <c r="B52" s="51" t="s">
        <v>71</v>
      </c>
      <c r="C52" s="52"/>
      <c r="D52" s="51">
        <v>54.99</v>
      </c>
      <c r="E52" s="53"/>
      <c r="F52" s="53">
        <v>0</v>
      </c>
      <c r="G52" s="53">
        <v>0</v>
      </c>
      <c r="H52" s="54">
        <v>33.43</v>
      </c>
      <c r="I52" s="53" t="s">
        <v>73</v>
      </c>
      <c r="J52" s="55" t="s">
        <v>73</v>
      </c>
      <c r="K52" s="51">
        <f>'德国ERP数据'!BC251</f>
      </c>
      <c r="L52" s="51">
        <f>'德国ERP数据'!BA251</f>
      </c>
      <c r="M52" s="51">
        <f t="shared" si="2"/>
      </c>
      <c r="N52" s="53">
        <f t="shared" si="4"/>
      </c>
      <c r="O52" s="56">
        <f t="shared" si="6"/>
      </c>
      <c r="P52" s="56">
        <f t="shared" si="8"/>
      </c>
      <c r="Q52" s="51">
        <f>'德国ERP数据'!R251</f>
      </c>
      <c r="R52" s="51" t="s">
        <v>73</v>
      </c>
      <c r="S52" s="51">
        <f>'德国ERP数据'!Z251</f>
      </c>
      <c r="T52" s="51">
        <v>0</v>
      </c>
      <c r="U52" s="51">
        <v>0</v>
      </c>
      <c r="V52" s="53">
        <v>0</v>
      </c>
      <c r="W52" s="51">
        <v>0</v>
      </c>
      <c r="X52" s="57">
        <f>'德国ERP数据'!Q251</f>
      </c>
      <c r="Y52" s="51" t="s">
        <v>74</v>
      </c>
      <c r="Z52" s="51"/>
      <c r="AA52" s="51" t="s">
        <v>74</v>
      </c>
      <c r="AB52" s="51"/>
      <c r="AC52" s="51" t="s">
        <v>74</v>
      </c>
      <c r="AD52" s="51"/>
      <c r="AE52" s="51">
        <v>32</v>
      </c>
      <c r="AF52" s="51"/>
      <c r="AG52" s="51">
        <v>0</v>
      </c>
      <c r="AH52" s="58">
        <v>0</v>
      </c>
      <c r="AI52" s="52">
        <v>0</v>
      </c>
      <c r="AJ52" s="51">
        <v>0</v>
      </c>
      <c r="AK52" s="51">
        <v>5</v>
      </c>
      <c r="AL52" s="59">
        <v>0</v>
      </c>
      <c r="AM52" s="51">
        <v>0</v>
      </c>
      <c r="AN52" s="55">
        <f t="shared" si="0"/>
      </c>
      <c r="AO52" s="51">
        <v>0</v>
      </c>
      <c r="AP52" s="60">
        <f t="shared" si="1"/>
      </c>
      <c r="AQ52" s="61">
        <f t="shared" si="3"/>
      </c>
      <c r="AR52" s="53">
        <f t="shared" si="5"/>
      </c>
      <c r="AS52" s="62">
        <f t="shared" si="7"/>
      </c>
      <c r="AT52" s="60">
        <v>0</v>
      </c>
      <c r="AU52" s="53">
        <f t="shared" si="9"/>
      </c>
      <c r="AV52" s="56">
        <f t="shared" si="10"/>
      </c>
      <c r="AW52" s="56">
        <v>0</v>
      </c>
      <c r="AX52" s="62">
        <f t="shared" si="11"/>
      </c>
      <c r="AY52" s="55"/>
      <c r="AZ52" s="63"/>
      <c r="BA52" s="63"/>
      <c r="BB52" s="64"/>
      <c r="BC52" s="55"/>
      <c r="BD52" s="56"/>
      <c r="BE52" s="56"/>
      <c r="BF52" s="56"/>
      <c r="BG52" s="57"/>
      <c r="BH52" s="65"/>
      <c r="BI52" s="51"/>
      <c r="BJ52" s="55"/>
      <c r="BK52" s="51"/>
      <c r="BL52" s="62"/>
      <c r="BM52" s="51"/>
      <c r="BN52" s="52"/>
      <c r="BO52" s="51"/>
      <c r="BP52" s="66"/>
      <c r="BQ52" s="67"/>
    </row>
    <row customHeight="true" ht="13.333333333333332" r="53">
      <c r="A53" s="50">
        <v>46042</v>
      </c>
      <c r="B53" s="51" t="s">
        <v>75</v>
      </c>
      <c r="C53" s="52"/>
      <c r="D53" s="51">
        <v>54.99</v>
      </c>
      <c r="E53" s="53"/>
      <c r="F53" s="53">
        <v>0</v>
      </c>
      <c r="G53" s="53">
        <v>0</v>
      </c>
      <c r="H53" s="54">
        <v>33.43</v>
      </c>
      <c r="I53" s="53" t="s">
        <v>73</v>
      </c>
      <c r="J53" s="55" t="s">
        <v>73</v>
      </c>
      <c r="K53" s="51">
        <f>'德国ERP数据'!BC252</f>
      </c>
      <c r="L53" s="51">
        <f>'德国ERP数据'!BA252</f>
      </c>
      <c r="M53" s="51">
        <f t="shared" si="2"/>
      </c>
      <c r="N53" s="53">
        <f t="shared" si="4"/>
      </c>
      <c r="O53" s="56">
        <f t="shared" si="6"/>
      </c>
      <c r="P53" s="56">
        <f t="shared" si="8"/>
      </c>
      <c r="Q53" s="51">
        <f>'德国ERP数据'!R252</f>
      </c>
      <c r="R53" s="51" t="s">
        <v>73</v>
      </c>
      <c r="S53" s="51">
        <f>'德国ERP数据'!Z252</f>
      </c>
      <c r="T53" s="51">
        <v>0</v>
      </c>
      <c r="U53" s="51">
        <v>0</v>
      </c>
      <c r="V53" s="53">
        <v>0</v>
      </c>
      <c r="W53" s="51">
        <v>0</v>
      </c>
      <c r="X53" s="57">
        <f>'德国ERP数据'!Q252</f>
      </c>
      <c r="Y53" s="51" t="s">
        <v>74</v>
      </c>
      <c r="Z53" s="51"/>
      <c r="AA53" s="51" t="s">
        <v>74</v>
      </c>
      <c r="AB53" s="51"/>
      <c r="AC53" s="51" t="s">
        <v>74</v>
      </c>
      <c r="AD53" s="51"/>
      <c r="AE53" s="51">
        <v>32</v>
      </c>
      <c r="AF53" s="51"/>
      <c r="AG53" s="51">
        <v>0</v>
      </c>
      <c r="AH53" s="58">
        <v>0</v>
      </c>
      <c r="AI53" s="52">
        <v>0</v>
      </c>
      <c r="AJ53" s="51">
        <v>0</v>
      </c>
      <c r="AK53" s="51">
        <v>5</v>
      </c>
      <c r="AL53" s="59">
        <v>0</v>
      </c>
      <c r="AM53" s="51">
        <v>0</v>
      </c>
      <c r="AN53" s="55">
        <f t="shared" si="0"/>
      </c>
      <c r="AO53" s="51">
        <v>0</v>
      </c>
      <c r="AP53" s="60">
        <f t="shared" si="1"/>
      </c>
      <c r="AQ53" s="61">
        <f t="shared" si="3"/>
      </c>
      <c r="AR53" s="53">
        <f t="shared" si="5"/>
      </c>
      <c r="AS53" s="62">
        <f t="shared" si="7"/>
      </c>
      <c r="AT53" s="60">
        <v>0</v>
      </c>
      <c r="AU53" s="53">
        <f t="shared" si="9"/>
      </c>
      <c r="AV53" s="56">
        <f t="shared" si="10"/>
      </c>
      <c r="AW53" s="56">
        <v>0</v>
      </c>
      <c r="AX53" s="62">
        <f t="shared" si="11"/>
      </c>
      <c r="AY53" s="55"/>
      <c r="AZ53" s="63"/>
      <c r="BA53" s="63"/>
      <c r="BB53" s="64"/>
      <c r="BC53" s="55"/>
      <c r="BD53" s="56"/>
      <c r="BE53" s="56"/>
      <c r="BF53" s="56"/>
      <c r="BG53" s="57"/>
      <c r="BH53" s="65"/>
      <c r="BI53" s="51"/>
      <c r="BJ53" s="55"/>
      <c r="BK53" s="51"/>
      <c r="BL53" s="62"/>
      <c r="BM53" s="51"/>
      <c r="BN53" s="52"/>
      <c r="BO53" s="51"/>
      <c r="BP53" s="66"/>
      <c r="BQ53" s="67"/>
    </row>
    <row customHeight="true" ht="13.333333333333332" r="54">
      <c r="A54" s="50">
        <v>46043</v>
      </c>
      <c r="B54" s="51" t="s">
        <v>76</v>
      </c>
      <c r="C54" s="52"/>
      <c r="D54" s="51">
        <v>54.99</v>
      </c>
      <c r="E54" s="53"/>
      <c r="F54" s="53">
        <v>0</v>
      </c>
      <c r="G54" s="53">
        <v>0</v>
      </c>
      <c r="H54" s="54">
        <v>33.43</v>
      </c>
      <c r="I54" s="53" t="s">
        <v>73</v>
      </c>
      <c r="J54" s="55" t="s">
        <v>73</v>
      </c>
      <c r="K54" s="51">
        <f>'德国ERP数据'!BC253</f>
      </c>
      <c r="L54" s="51">
        <f>'德国ERP数据'!BA253</f>
      </c>
      <c r="M54" s="51">
        <f t="shared" si="2"/>
      </c>
      <c r="N54" s="53">
        <f t="shared" si="4"/>
      </c>
      <c r="O54" s="56">
        <f t="shared" si="6"/>
      </c>
      <c r="P54" s="56">
        <f t="shared" si="8"/>
      </c>
      <c r="Q54" s="51">
        <f>'德国ERP数据'!R253</f>
      </c>
      <c r="R54" s="51" t="s">
        <v>73</v>
      </c>
      <c r="S54" s="51">
        <f>'德国ERP数据'!Z253</f>
      </c>
      <c r="T54" s="51">
        <v>0</v>
      </c>
      <c r="U54" s="51">
        <v>0</v>
      </c>
      <c r="V54" s="53">
        <v>0</v>
      </c>
      <c r="W54" s="51">
        <v>0</v>
      </c>
      <c r="X54" s="57">
        <f>'德国ERP数据'!Q253</f>
      </c>
      <c r="Y54" s="51" t="s">
        <v>74</v>
      </c>
      <c r="Z54" s="51"/>
      <c r="AA54" s="51" t="s">
        <v>74</v>
      </c>
      <c r="AB54" s="51"/>
      <c r="AC54" s="51" t="s">
        <v>74</v>
      </c>
      <c r="AD54" s="51"/>
      <c r="AE54" s="51">
        <v>32</v>
      </c>
      <c r="AF54" s="51"/>
      <c r="AG54" s="51">
        <v>0</v>
      </c>
      <c r="AH54" s="58">
        <v>0</v>
      </c>
      <c r="AI54" s="52">
        <v>0</v>
      </c>
      <c r="AJ54" s="51">
        <v>0</v>
      </c>
      <c r="AK54" s="51">
        <v>5</v>
      </c>
      <c r="AL54" s="59">
        <v>0</v>
      </c>
      <c r="AM54" s="51">
        <v>0</v>
      </c>
      <c r="AN54" s="55">
        <f t="shared" si="0"/>
      </c>
      <c r="AO54" s="51">
        <v>0</v>
      </c>
      <c r="AP54" s="60">
        <f t="shared" si="1"/>
      </c>
      <c r="AQ54" s="61">
        <f t="shared" si="3"/>
      </c>
      <c r="AR54" s="53">
        <f t="shared" si="5"/>
      </c>
      <c r="AS54" s="62">
        <f t="shared" si="7"/>
      </c>
      <c r="AT54" s="60">
        <v>0</v>
      </c>
      <c r="AU54" s="53">
        <f t="shared" si="9"/>
      </c>
      <c r="AV54" s="56">
        <f t="shared" si="10"/>
      </c>
      <c r="AW54" s="56">
        <v>0</v>
      </c>
      <c r="AX54" s="62">
        <f t="shared" si="11"/>
      </c>
      <c r="AY54" s="55"/>
      <c r="AZ54" s="63"/>
      <c r="BA54" s="63"/>
      <c r="BB54" s="64"/>
      <c r="BC54" s="55"/>
      <c r="BD54" s="56"/>
      <c r="BE54" s="56"/>
      <c r="BF54" s="56"/>
      <c r="BG54" s="57"/>
      <c r="BH54" s="65"/>
      <c r="BI54" s="51"/>
      <c r="BJ54" s="55"/>
      <c r="BK54" s="51"/>
      <c r="BL54" s="62"/>
      <c r="BM54" s="51"/>
      <c r="BN54" s="52"/>
      <c r="BO54" s="51"/>
      <c r="BP54" s="66"/>
      <c r="BQ54" s="67"/>
    </row>
    <row customHeight="true" ht="13.333333333333332" r="55">
      <c r="A55" s="50">
        <v>46044</v>
      </c>
      <c r="B55" s="51" t="s">
        <v>77</v>
      </c>
      <c r="C55" s="52"/>
      <c r="D55" s="51">
        <v>54.99</v>
      </c>
      <c r="E55" s="53"/>
      <c r="F55" s="53">
        <v>0</v>
      </c>
      <c r="G55" s="53">
        <v>0</v>
      </c>
      <c r="H55" s="54">
        <v>33.43</v>
      </c>
      <c r="I55" s="53" t="s">
        <v>73</v>
      </c>
      <c r="J55" s="55" t="s">
        <v>73</v>
      </c>
      <c r="K55" s="51">
        <f>'德国ERP数据'!BC254</f>
      </c>
      <c r="L55" s="51">
        <f>'德国ERP数据'!BA254</f>
      </c>
      <c r="M55" s="51">
        <f t="shared" si="2"/>
      </c>
      <c r="N55" s="53">
        <f t="shared" si="4"/>
      </c>
      <c r="O55" s="56">
        <f t="shared" si="6"/>
      </c>
      <c r="P55" s="56">
        <f t="shared" si="8"/>
      </c>
      <c r="Q55" s="51">
        <f>'德国ERP数据'!R254</f>
      </c>
      <c r="R55" s="51" t="s">
        <v>73</v>
      </c>
      <c r="S55" s="51">
        <f>'德国ERP数据'!Z254</f>
      </c>
      <c r="T55" s="51">
        <v>0</v>
      </c>
      <c r="U55" s="51">
        <v>0</v>
      </c>
      <c r="V55" s="53">
        <v>0</v>
      </c>
      <c r="W55" s="51">
        <v>0</v>
      </c>
      <c r="X55" s="57">
        <f>'德国ERP数据'!Q254</f>
      </c>
      <c r="Y55" s="51" t="s">
        <v>74</v>
      </c>
      <c r="Z55" s="51"/>
      <c r="AA55" s="51" t="s">
        <v>74</v>
      </c>
      <c r="AB55" s="51"/>
      <c r="AC55" s="51" t="s">
        <v>74</v>
      </c>
      <c r="AD55" s="51"/>
      <c r="AE55" s="51">
        <v>32</v>
      </c>
      <c r="AF55" s="51"/>
      <c r="AG55" s="51">
        <v>0</v>
      </c>
      <c r="AH55" s="58">
        <v>0</v>
      </c>
      <c r="AI55" s="52">
        <v>0</v>
      </c>
      <c r="AJ55" s="51">
        <v>0</v>
      </c>
      <c r="AK55" s="51">
        <v>5</v>
      </c>
      <c r="AL55" s="59">
        <v>0</v>
      </c>
      <c r="AM55" s="51">
        <v>0</v>
      </c>
      <c r="AN55" s="55">
        <f t="shared" si="0"/>
      </c>
      <c r="AO55" s="51">
        <v>0</v>
      </c>
      <c r="AP55" s="60">
        <f t="shared" si="1"/>
      </c>
      <c r="AQ55" s="61">
        <f t="shared" si="3"/>
      </c>
      <c r="AR55" s="53">
        <f t="shared" si="5"/>
      </c>
      <c r="AS55" s="62">
        <f t="shared" si="7"/>
      </c>
      <c r="AT55" s="60">
        <v>0</v>
      </c>
      <c r="AU55" s="53">
        <f t="shared" si="9"/>
      </c>
      <c r="AV55" s="56">
        <f t="shared" si="10"/>
      </c>
      <c r="AW55" s="56">
        <v>0</v>
      </c>
      <c r="AX55" s="62">
        <f t="shared" si="11"/>
      </c>
      <c r="AY55" s="55"/>
      <c r="AZ55" s="63"/>
      <c r="BA55" s="63"/>
      <c r="BB55" s="64"/>
      <c r="BC55" s="55"/>
      <c r="BD55" s="56"/>
      <c r="BE55" s="56"/>
      <c r="BF55" s="56"/>
      <c r="BG55" s="57"/>
      <c r="BH55" s="65"/>
      <c r="BI55" s="51"/>
      <c r="BJ55" s="55"/>
      <c r="BK55" s="51"/>
      <c r="BL55" s="62"/>
      <c r="BM55" s="51"/>
      <c r="BN55" s="52"/>
      <c r="BO55" s="51"/>
      <c r="BP55" s="66"/>
      <c r="BQ55" s="67"/>
    </row>
    <row customHeight="true" ht="13.333333333333332" r="56">
      <c r="A56" s="50">
        <v>46045</v>
      </c>
      <c r="B56" s="51" t="s">
        <v>78</v>
      </c>
      <c r="C56" s="52"/>
      <c r="D56" s="51">
        <v>54.99</v>
      </c>
      <c r="E56" s="53"/>
      <c r="F56" s="53">
        <v>0</v>
      </c>
      <c r="G56" s="53">
        <v>0</v>
      </c>
      <c r="H56" s="54">
        <v>33.43</v>
      </c>
      <c r="I56" s="53" t="s">
        <v>73</v>
      </c>
      <c r="J56" s="55" t="s">
        <v>73</v>
      </c>
      <c r="K56" s="51">
        <f>'德国ERP数据'!BC255</f>
      </c>
      <c r="L56" s="51">
        <f>'德国ERP数据'!BA255</f>
      </c>
      <c r="M56" s="51">
        <f t="shared" si="2"/>
      </c>
      <c r="N56" s="53">
        <f t="shared" si="4"/>
      </c>
      <c r="O56" s="56">
        <f t="shared" si="6"/>
      </c>
      <c r="P56" s="56">
        <f t="shared" si="8"/>
      </c>
      <c r="Q56" s="51">
        <f>'德国ERP数据'!R255</f>
      </c>
      <c r="R56" s="51" t="s">
        <v>73</v>
      </c>
      <c r="S56" s="51">
        <f>'德国ERP数据'!Z255</f>
      </c>
      <c r="T56" s="51">
        <v>0</v>
      </c>
      <c r="U56" s="51">
        <v>0</v>
      </c>
      <c r="V56" s="53">
        <v>0</v>
      </c>
      <c r="W56" s="51">
        <v>0</v>
      </c>
      <c r="X56" s="57">
        <f>'德国ERP数据'!Q255</f>
      </c>
      <c r="Y56" s="51" t="s">
        <v>74</v>
      </c>
      <c r="Z56" s="51"/>
      <c r="AA56" s="51" t="s">
        <v>74</v>
      </c>
      <c r="AB56" s="51"/>
      <c r="AC56" s="51" t="s">
        <v>74</v>
      </c>
      <c r="AD56" s="51"/>
      <c r="AE56" s="51">
        <v>32</v>
      </c>
      <c r="AF56" s="51"/>
      <c r="AG56" s="51">
        <v>0</v>
      </c>
      <c r="AH56" s="58">
        <v>0</v>
      </c>
      <c r="AI56" s="52">
        <v>0</v>
      </c>
      <c r="AJ56" s="51">
        <v>0</v>
      </c>
      <c r="AK56" s="51">
        <v>5</v>
      </c>
      <c r="AL56" s="59">
        <v>0</v>
      </c>
      <c r="AM56" s="51">
        <v>0</v>
      </c>
      <c r="AN56" s="55">
        <f t="shared" si="0"/>
      </c>
      <c r="AO56" s="51">
        <v>0</v>
      </c>
      <c r="AP56" s="60">
        <f t="shared" si="1"/>
      </c>
      <c r="AQ56" s="61">
        <f t="shared" si="3"/>
      </c>
      <c r="AR56" s="53">
        <f t="shared" si="5"/>
      </c>
      <c r="AS56" s="62">
        <f t="shared" si="7"/>
      </c>
      <c r="AT56" s="60">
        <v>0</v>
      </c>
      <c r="AU56" s="53">
        <f t="shared" si="9"/>
      </c>
      <c r="AV56" s="56">
        <f t="shared" si="10"/>
      </c>
      <c r="AW56" s="56">
        <v>0</v>
      </c>
      <c r="AX56" s="62">
        <f t="shared" si="11"/>
      </c>
      <c r="AY56" s="55"/>
      <c r="AZ56" s="63"/>
      <c r="BA56" s="63"/>
      <c r="BB56" s="64"/>
      <c r="BC56" s="55"/>
      <c r="BD56" s="56"/>
      <c r="BE56" s="56"/>
      <c r="BF56" s="56"/>
      <c r="BG56" s="57"/>
      <c r="BH56" s="65"/>
      <c r="BI56" s="51"/>
      <c r="BJ56" s="55"/>
      <c r="BK56" s="51"/>
      <c r="BL56" s="62"/>
      <c r="BM56" s="51"/>
      <c r="BN56" s="52"/>
      <c r="BO56" s="51"/>
      <c r="BP56" s="66"/>
      <c r="BQ56" s="67"/>
    </row>
    <row customHeight="true" ht="13.333333333333332" r="57">
      <c r="A57" s="50">
        <v>46046</v>
      </c>
      <c r="B57" s="51" t="s">
        <v>79</v>
      </c>
      <c r="C57" s="52"/>
      <c r="D57" s="51">
        <v>54.99</v>
      </c>
      <c r="E57" s="53"/>
      <c r="F57" s="53">
        <v>0</v>
      </c>
      <c r="G57" s="53">
        <v>0</v>
      </c>
      <c r="H57" s="54">
        <v>33.43</v>
      </c>
      <c r="I57" s="53" t="s">
        <v>73</v>
      </c>
      <c r="J57" s="55" t="s">
        <v>73</v>
      </c>
      <c r="K57" s="51">
        <f>'德国ERP数据'!BC256</f>
      </c>
      <c r="L57" s="51">
        <f>'德国ERP数据'!BA256</f>
      </c>
      <c r="M57" s="51">
        <f t="shared" si="2"/>
      </c>
      <c r="N57" s="53">
        <f t="shared" si="4"/>
      </c>
      <c r="O57" s="56">
        <f t="shared" si="6"/>
      </c>
      <c r="P57" s="56">
        <f t="shared" si="8"/>
      </c>
      <c r="Q57" s="51">
        <f>'德国ERP数据'!R256</f>
      </c>
      <c r="R57" s="51" t="s">
        <v>73</v>
      </c>
      <c r="S57" s="51">
        <f>'德国ERP数据'!Z256</f>
      </c>
      <c r="T57" s="51">
        <v>0</v>
      </c>
      <c r="U57" s="51">
        <v>0</v>
      </c>
      <c r="V57" s="53">
        <v>0</v>
      </c>
      <c r="W57" s="51">
        <v>0</v>
      </c>
      <c r="X57" s="57">
        <f>'德国ERP数据'!Q256</f>
      </c>
      <c r="Y57" s="51" t="s">
        <v>74</v>
      </c>
      <c r="Z57" s="51"/>
      <c r="AA57" s="51" t="s">
        <v>74</v>
      </c>
      <c r="AB57" s="51"/>
      <c r="AC57" s="51" t="s">
        <v>74</v>
      </c>
      <c r="AD57" s="51"/>
      <c r="AE57" s="51">
        <v>32</v>
      </c>
      <c r="AF57" s="51"/>
      <c r="AG57" s="51">
        <v>0</v>
      </c>
      <c r="AH57" s="58">
        <v>0</v>
      </c>
      <c r="AI57" s="52">
        <v>0</v>
      </c>
      <c r="AJ57" s="51">
        <v>0</v>
      </c>
      <c r="AK57" s="51">
        <v>5</v>
      </c>
      <c r="AL57" s="59">
        <v>0</v>
      </c>
      <c r="AM57" s="51">
        <v>0</v>
      </c>
      <c r="AN57" s="55">
        <f t="shared" si="0"/>
      </c>
      <c r="AO57" s="51">
        <v>0</v>
      </c>
      <c r="AP57" s="60">
        <f t="shared" si="1"/>
      </c>
      <c r="AQ57" s="61">
        <f t="shared" si="3"/>
      </c>
      <c r="AR57" s="53">
        <f t="shared" si="5"/>
      </c>
      <c r="AS57" s="62">
        <f t="shared" si="7"/>
      </c>
      <c r="AT57" s="60">
        <v>0</v>
      </c>
      <c r="AU57" s="53">
        <f t="shared" si="9"/>
      </c>
      <c r="AV57" s="56">
        <f t="shared" si="10"/>
      </c>
      <c r="AW57" s="56">
        <v>0</v>
      </c>
      <c r="AX57" s="62">
        <f t="shared" si="11"/>
      </c>
      <c r="AY57" s="55"/>
      <c r="AZ57" s="63"/>
      <c r="BA57" s="63"/>
      <c r="BB57" s="64"/>
      <c r="BC57" s="55"/>
      <c r="BD57" s="56"/>
      <c r="BE57" s="56"/>
      <c r="BF57" s="56"/>
      <c r="BG57" s="57"/>
      <c r="BH57" s="65"/>
      <c r="BI57" s="51"/>
      <c r="BJ57" s="55"/>
      <c r="BK57" s="51"/>
      <c r="BL57" s="62"/>
      <c r="BM57" s="51"/>
      <c r="BN57" s="52"/>
      <c r="BO57" s="51"/>
      <c r="BP57" s="66"/>
      <c r="BQ57" s="67"/>
    </row>
    <row customHeight="true" ht="13.333333333333332" r="58">
      <c r="A58" s="50">
        <v>46047</v>
      </c>
      <c r="B58" s="51" t="s">
        <v>80</v>
      </c>
      <c r="C58" s="52"/>
      <c r="D58" s="51">
        <v>54.99</v>
      </c>
      <c r="E58" s="53"/>
      <c r="F58" s="53">
        <v>0</v>
      </c>
      <c r="G58" s="53">
        <v>0</v>
      </c>
      <c r="H58" s="54">
        <v>33.43</v>
      </c>
      <c r="I58" s="53" t="s">
        <v>73</v>
      </c>
      <c r="J58" s="55" t="s">
        <v>73</v>
      </c>
      <c r="K58" s="51">
        <f>'德国ERP数据'!BC257</f>
      </c>
      <c r="L58" s="51">
        <f>'德国ERP数据'!BA257</f>
      </c>
      <c r="M58" s="51">
        <f t="shared" si="2"/>
      </c>
      <c r="N58" s="53">
        <f t="shared" si="4"/>
      </c>
      <c r="O58" s="56">
        <f t="shared" si="6"/>
      </c>
      <c r="P58" s="56">
        <f t="shared" si="8"/>
      </c>
      <c r="Q58" s="51">
        <f>'德国ERP数据'!R257</f>
      </c>
      <c r="R58" s="51" t="s">
        <v>73</v>
      </c>
      <c r="S58" s="51">
        <f>'德国ERP数据'!Z257</f>
      </c>
      <c r="T58" s="51">
        <v>0</v>
      </c>
      <c r="U58" s="51">
        <v>0</v>
      </c>
      <c r="V58" s="53">
        <v>0</v>
      </c>
      <c r="W58" s="51">
        <v>0</v>
      </c>
      <c r="X58" s="57">
        <f>'德国ERP数据'!Q257</f>
      </c>
      <c r="Y58" s="51" t="s">
        <v>74</v>
      </c>
      <c r="Z58" s="51"/>
      <c r="AA58" s="51" t="s">
        <v>74</v>
      </c>
      <c r="AB58" s="51"/>
      <c r="AC58" s="51" t="s">
        <v>74</v>
      </c>
      <c r="AD58" s="51"/>
      <c r="AE58" s="51">
        <v>32</v>
      </c>
      <c r="AF58" s="51"/>
      <c r="AG58" s="51">
        <v>0</v>
      </c>
      <c r="AH58" s="58">
        <v>0</v>
      </c>
      <c r="AI58" s="52">
        <v>0</v>
      </c>
      <c r="AJ58" s="51">
        <v>0</v>
      </c>
      <c r="AK58" s="51">
        <v>5</v>
      </c>
      <c r="AL58" s="59">
        <v>0</v>
      </c>
      <c r="AM58" s="51">
        <v>0</v>
      </c>
      <c r="AN58" s="55">
        <f t="shared" si="0"/>
      </c>
      <c r="AO58" s="51">
        <v>0</v>
      </c>
      <c r="AP58" s="60">
        <f t="shared" si="1"/>
      </c>
      <c r="AQ58" s="61">
        <f t="shared" si="3"/>
      </c>
      <c r="AR58" s="53">
        <f t="shared" si="5"/>
      </c>
      <c r="AS58" s="62">
        <f t="shared" si="7"/>
      </c>
      <c r="AT58" s="60">
        <v>0</v>
      </c>
      <c r="AU58" s="53">
        <f t="shared" si="9"/>
      </c>
      <c r="AV58" s="56">
        <f t="shared" si="10"/>
      </c>
      <c r="AW58" s="56">
        <v>0</v>
      </c>
      <c r="AX58" s="62">
        <f t="shared" si="11"/>
      </c>
      <c r="AY58" s="55"/>
      <c r="AZ58" s="63"/>
      <c r="BA58" s="63"/>
      <c r="BB58" s="64"/>
      <c r="BC58" s="55"/>
      <c r="BD58" s="56"/>
      <c r="BE58" s="56"/>
      <c r="BF58" s="56"/>
      <c r="BG58" s="57"/>
      <c r="BH58" s="65"/>
      <c r="BI58" s="51"/>
      <c r="BJ58" s="55"/>
      <c r="BK58" s="51"/>
      <c r="BL58" s="62"/>
      <c r="BM58" s="51"/>
      <c r="BN58" s="52"/>
      <c r="BO58" s="51"/>
      <c r="BP58" s="66"/>
      <c r="BQ58" s="67"/>
    </row>
    <row customHeight="true" ht="13.333333333333332" r="59">
      <c r="A59" s="50">
        <v>46048</v>
      </c>
      <c r="B59" s="51" t="s">
        <v>71</v>
      </c>
      <c r="C59" s="52"/>
      <c r="D59" s="51">
        <v>54.99</v>
      </c>
      <c r="E59" s="53"/>
      <c r="F59" s="53">
        <v>0</v>
      </c>
      <c r="G59" s="53">
        <v>0</v>
      </c>
      <c r="H59" s="54">
        <v>33.43</v>
      </c>
      <c r="I59" s="53" t="s">
        <v>73</v>
      </c>
      <c r="J59" s="55" t="s">
        <v>73</v>
      </c>
      <c r="K59" s="51">
        <f>'德国ERP数据'!BC258</f>
      </c>
      <c r="L59" s="51">
        <f>'德国ERP数据'!BA258</f>
      </c>
      <c r="M59" s="51">
        <f t="shared" si="2"/>
      </c>
      <c r="N59" s="53">
        <f t="shared" si="4"/>
      </c>
      <c r="O59" s="56">
        <f t="shared" si="6"/>
      </c>
      <c r="P59" s="56">
        <f t="shared" si="8"/>
      </c>
      <c r="Q59" s="51">
        <f>'德国ERP数据'!R258</f>
      </c>
      <c r="R59" s="51" t="s">
        <v>73</v>
      </c>
      <c r="S59" s="51">
        <f>'德国ERP数据'!Z258</f>
      </c>
      <c r="T59" s="51">
        <v>0</v>
      </c>
      <c r="U59" s="51">
        <v>0</v>
      </c>
      <c r="V59" s="53">
        <v>0</v>
      </c>
      <c r="W59" s="51">
        <v>0</v>
      </c>
      <c r="X59" s="57">
        <f>'德国ERP数据'!Q258</f>
      </c>
      <c r="Y59" s="51" t="s">
        <v>74</v>
      </c>
      <c r="Z59" s="51"/>
      <c r="AA59" s="51" t="s">
        <v>74</v>
      </c>
      <c r="AB59" s="51"/>
      <c r="AC59" s="51" t="s">
        <v>74</v>
      </c>
      <c r="AD59" s="51"/>
      <c r="AE59" s="51">
        <v>32</v>
      </c>
      <c r="AF59" s="51"/>
      <c r="AG59" s="51">
        <v>0</v>
      </c>
      <c r="AH59" s="58">
        <v>0</v>
      </c>
      <c r="AI59" s="52">
        <v>0</v>
      </c>
      <c r="AJ59" s="51">
        <v>0</v>
      </c>
      <c r="AK59" s="51">
        <v>5</v>
      </c>
      <c r="AL59" s="59">
        <v>0</v>
      </c>
      <c r="AM59" s="51">
        <v>0</v>
      </c>
      <c r="AN59" s="55">
        <f t="shared" si="0"/>
      </c>
      <c r="AO59" s="51">
        <v>0</v>
      </c>
      <c r="AP59" s="60">
        <f t="shared" si="1"/>
      </c>
      <c r="AQ59" s="61">
        <f t="shared" si="3"/>
      </c>
      <c r="AR59" s="53">
        <f t="shared" si="5"/>
      </c>
      <c r="AS59" s="62">
        <f t="shared" si="7"/>
      </c>
      <c r="AT59" s="60">
        <v>0</v>
      </c>
      <c r="AU59" s="53">
        <f t="shared" si="9"/>
      </c>
      <c r="AV59" s="56">
        <f t="shared" si="10"/>
      </c>
      <c r="AW59" s="56">
        <v>0</v>
      </c>
      <c r="AX59" s="62">
        <f t="shared" si="11"/>
      </c>
      <c r="AY59" s="55"/>
      <c r="AZ59" s="63"/>
      <c r="BA59" s="63"/>
      <c r="BB59" s="64"/>
      <c r="BC59" s="55"/>
      <c r="BD59" s="56"/>
      <c r="BE59" s="56"/>
      <c r="BF59" s="56"/>
      <c r="BG59" s="57"/>
      <c r="BH59" s="65"/>
      <c r="BI59" s="51"/>
      <c r="BJ59" s="55"/>
      <c r="BK59" s="51"/>
      <c r="BL59" s="62"/>
      <c r="BM59" s="51"/>
      <c r="BN59" s="52"/>
      <c r="BO59" s="51"/>
      <c r="BP59" s="66"/>
      <c r="BQ59" s="67"/>
    </row>
    <row customHeight="true" ht="13.333333333333332" r="60">
      <c r="A60" s="50">
        <v>46049</v>
      </c>
      <c r="B60" s="51" t="s">
        <v>75</v>
      </c>
      <c r="C60" s="52"/>
      <c r="D60" s="51">
        <v>54.99</v>
      </c>
      <c r="E60" s="53"/>
      <c r="F60" s="53">
        <v>0</v>
      </c>
      <c r="G60" s="53">
        <v>0</v>
      </c>
      <c r="H60" s="54">
        <v>33.43</v>
      </c>
      <c r="I60" s="53" t="s">
        <v>73</v>
      </c>
      <c r="J60" s="55" t="s">
        <v>73</v>
      </c>
      <c r="K60" s="51">
        <f>'德国ERP数据'!BC259</f>
      </c>
      <c r="L60" s="51">
        <f>'德国ERP数据'!BA259</f>
      </c>
      <c r="M60" s="51">
        <f t="shared" si="2"/>
      </c>
      <c r="N60" s="53">
        <f t="shared" si="4"/>
      </c>
      <c r="O60" s="56">
        <f t="shared" si="6"/>
      </c>
      <c r="P60" s="56">
        <f t="shared" si="8"/>
      </c>
      <c r="Q60" s="51">
        <f>'德国ERP数据'!R259</f>
      </c>
      <c r="R60" s="51" t="s">
        <v>73</v>
      </c>
      <c r="S60" s="51">
        <f>'德国ERP数据'!Z259</f>
      </c>
      <c r="T60" s="51">
        <v>0</v>
      </c>
      <c r="U60" s="51">
        <v>0</v>
      </c>
      <c r="V60" s="53">
        <v>0</v>
      </c>
      <c r="W60" s="51">
        <v>0</v>
      </c>
      <c r="X60" s="57">
        <f>'德国ERP数据'!Q259</f>
      </c>
      <c r="Y60" s="51" t="s">
        <v>74</v>
      </c>
      <c r="Z60" s="51"/>
      <c r="AA60" s="51" t="s">
        <v>74</v>
      </c>
      <c r="AB60" s="51"/>
      <c r="AC60" s="51" t="s">
        <v>74</v>
      </c>
      <c r="AD60" s="51"/>
      <c r="AE60" s="51">
        <v>32</v>
      </c>
      <c r="AF60" s="51"/>
      <c r="AG60" s="51">
        <v>0</v>
      </c>
      <c r="AH60" s="58">
        <v>0</v>
      </c>
      <c r="AI60" s="52">
        <v>0</v>
      </c>
      <c r="AJ60" s="51">
        <v>0</v>
      </c>
      <c r="AK60" s="51">
        <v>5</v>
      </c>
      <c r="AL60" s="59">
        <v>0</v>
      </c>
      <c r="AM60" s="51">
        <v>0</v>
      </c>
      <c r="AN60" s="55">
        <f t="shared" si="0"/>
      </c>
      <c r="AO60" s="51">
        <v>0</v>
      </c>
      <c r="AP60" s="60">
        <f t="shared" si="1"/>
      </c>
      <c r="AQ60" s="61">
        <f t="shared" si="3"/>
      </c>
      <c r="AR60" s="53">
        <f t="shared" si="5"/>
      </c>
      <c r="AS60" s="62">
        <f t="shared" si="7"/>
      </c>
      <c r="AT60" s="60">
        <v>0</v>
      </c>
      <c r="AU60" s="53">
        <f t="shared" si="9"/>
      </c>
      <c r="AV60" s="56">
        <f t="shared" si="10"/>
      </c>
      <c r="AW60" s="56">
        <v>0</v>
      </c>
      <c r="AX60" s="62">
        <f t="shared" si="11"/>
      </c>
      <c r="AY60" s="55"/>
      <c r="AZ60" s="63"/>
      <c r="BA60" s="63"/>
      <c r="BB60" s="64"/>
      <c r="BC60" s="55"/>
      <c r="BD60" s="56"/>
      <c r="BE60" s="56"/>
      <c r="BF60" s="56"/>
      <c r="BG60" s="57"/>
      <c r="BH60" s="65"/>
      <c r="BI60" s="51"/>
      <c r="BJ60" s="55"/>
      <c r="BK60" s="51"/>
      <c r="BL60" s="62"/>
      <c r="BM60" s="51"/>
      <c r="BN60" s="52"/>
      <c r="BO60" s="51"/>
      <c r="BP60" s="66"/>
      <c r="BQ60" s="67"/>
    </row>
    <row customHeight="true" ht="13.333333333333332" r="61">
      <c r="A61" s="50">
        <v>46050</v>
      </c>
      <c r="B61" s="51" t="s">
        <v>76</v>
      </c>
      <c r="C61" s="52"/>
      <c r="D61" s="51">
        <v>54.99</v>
      </c>
      <c r="E61" s="53"/>
      <c r="F61" s="53">
        <v>0</v>
      </c>
      <c r="G61" s="53">
        <v>0</v>
      </c>
      <c r="H61" s="54">
        <v>33.43</v>
      </c>
      <c r="I61" s="53" t="s">
        <v>73</v>
      </c>
      <c r="J61" s="55" t="s">
        <v>73</v>
      </c>
      <c r="K61" s="51">
        <f>'德国ERP数据'!BC260</f>
      </c>
      <c r="L61" s="51">
        <f>'德国ERP数据'!BA260</f>
      </c>
      <c r="M61" s="51">
        <f t="shared" si="2"/>
      </c>
      <c r="N61" s="53">
        <f t="shared" si="4"/>
      </c>
      <c r="O61" s="56">
        <f t="shared" si="6"/>
      </c>
      <c r="P61" s="56">
        <f t="shared" si="8"/>
      </c>
      <c r="Q61" s="51">
        <f>'德国ERP数据'!R260</f>
      </c>
      <c r="R61" s="51" t="s">
        <v>73</v>
      </c>
      <c r="S61" s="51">
        <f>'德国ERP数据'!Z260</f>
      </c>
      <c r="T61" s="51">
        <v>0</v>
      </c>
      <c r="U61" s="51">
        <v>0</v>
      </c>
      <c r="V61" s="53">
        <v>0</v>
      </c>
      <c r="W61" s="51">
        <v>0</v>
      </c>
      <c r="X61" s="57">
        <f>'德国ERP数据'!Q260</f>
      </c>
      <c r="Y61" s="51" t="s">
        <v>74</v>
      </c>
      <c r="Z61" s="51"/>
      <c r="AA61" s="51" t="s">
        <v>74</v>
      </c>
      <c r="AB61" s="51"/>
      <c r="AC61" s="51" t="s">
        <v>74</v>
      </c>
      <c r="AD61" s="51"/>
      <c r="AE61" s="51">
        <v>32</v>
      </c>
      <c r="AF61" s="51"/>
      <c r="AG61" s="51">
        <v>0</v>
      </c>
      <c r="AH61" s="58">
        <v>0</v>
      </c>
      <c r="AI61" s="52">
        <v>0</v>
      </c>
      <c r="AJ61" s="51">
        <v>0</v>
      </c>
      <c r="AK61" s="51">
        <v>5</v>
      </c>
      <c r="AL61" s="59">
        <v>0</v>
      </c>
      <c r="AM61" s="51">
        <v>0</v>
      </c>
      <c r="AN61" s="55">
        <f t="shared" si="0"/>
      </c>
      <c r="AO61" s="51">
        <v>0</v>
      </c>
      <c r="AP61" s="60">
        <f t="shared" si="1"/>
      </c>
      <c r="AQ61" s="61">
        <f t="shared" si="3"/>
      </c>
      <c r="AR61" s="53">
        <f t="shared" si="5"/>
      </c>
      <c r="AS61" s="62">
        <f t="shared" si="7"/>
      </c>
      <c r="AT61" s="60">
        <v>0</v>
      </c>
      <c r="AU61" s="53">
        <f t="shared" si="9"/>
      </c>
      <c r="AV61" s="56">
        <f t="shared" si="10"/>
      </c>
      <c r="AW61" s="56">
        <v>0</v>
      </c>
      <c r="AX61" s="62">
        <f t="shared" si="11"/>
      </c>
      <c r="AY61" s="55"/>
      <c r="AZ61" s="63"/>
      <c r="BA61" s="63"/>
      <c r="BB61" s="64"/>
      <c r="BC61" s="55"/>
      <c r="BD61" s="56"/>
      <c r="BE61" s="56"/>
      <c r="BF61" s="56"/>
      <c r="BG61" s="57"/>
      <c r="BH61" s="65"/>
      <c r="BI61" s="51"/>
      <c r="BJ61" s="55"/>
      <c r="BK61" s="51"/>
      <c r="BL61" s="62"/>
      <c r="BM61" s="51"/>
      <c r="BN61" s="52"/>
      <c r="BO61" s="51"/>
      <c r="BP61" s="66"/>
      <c r="BQ61" s="67"/>
    </row>
    <row customHeight="true" ht="13.333333333333332" r="62">
      <c r="A62" s="50">
        <v>46051</v>
      </c>
      <c r="B62" s="51" t="s">
        <v>77</v>
      </c>
      <c r="C62" s="52"/>
      <c r="D62" s="51">
        <v>54.99</v>
      </c>
      <c r="E62" s="53"/>
      <c r="F62" s="53">
        <v>0</v>
      </c>
      <c r="G62" s="53">
        <v>0</v>
      </c>
      <c r="H62" s="54">
        <v>33.43</v>
      </c>
      <c r="I62" s="53" t="s">
        <v>73</v>
      </c>
      <c r="J62" s="55" t="s">
        <v>73</v>
      </c>
      <c r="K62" s="51">
        <f>'德国ERP数据'!BC261</f>
      </c>
      <c r="L62" s="51">
        <f>'德国ERP数据'!BA261</f>
      </c>
      <c r="M62" s="51">
        <f t="shared" si="2"/>
      </c>
      <c r="N62" s="53">
        <f t="shared" si="4"/>
      </c>
      <c r="O62" s="56">
        <f t="shared" si="6"/>
      </c>
      <c r="P62" s="56">
        <f t="shared" si="8"/>
      </c>
      <c r="Q62" s="51">
        <f>'德国ERP数据'!R261</f>
      </c>
      <c r="R62" s="51" t="s">
        <v>73</v>
      </c>
      <c r="S62" s="51">
        <f>'德国ERP数据'!Z261</f>
      </c>
      <c r="T62" s="51">
        <v>0</v>
      </c>
      <c r="U62" s="51">
        <v>0</v>
      </c>
      <c r="V62" s="53">
        <v>0</v>
      </c>
      <c r="W62" s="51">
        <v>0</v>
      </c>
      <c r="X62" s="57">
        <f>'德国ERP数据'!Q261</f>
      </c>
      <c r="Y62" s="51" t="s">
        <v>74</v>
      </c>
      <c r="Z62" s="51"/>
      <c r="AA62" s="51" t="s">
        <v>74</v>
      </c>
      <c r="AB62" s="51"/>
      <c r="AC62" s="51" t="s">
        <v>74</v>
      </c>
      <c r="AD62" s="51"/>
      <c r="AE62" s="51">
        <v>32</v>
      </c>
      <c r="AF62" s="51"/>
      <c r="AG62" s="51">
        <v>0</v>
      </c>
      <c r="AH62" s="58">
        <v>0</v>
      </c>
      <c r="AI62" s="52">
        <v>0</v>
      </c>
      <c r="AJ62" s="51">
        <v>0</v>
      </c>
      <c r="AK62" s="51">
        <v>5</v>
      </c>
      <c r="AL62" s="59">
        <v>0</v>
      </c>
      <c r="AM62" s="51">
        <v>0</v>
      </c>
      <c r="AN62" s="55">
        <f t="shared" si="0"/>
      </c>
      <c r="AO62" s="51">
        <v>0</v>
      </c>
      <c r="AP62" s="60">
        <f t="shared" si="1"/>
      </c>
      <c r="AQ62" s="61">
        <f t="shared" si="3"/>
      </c>
      <c r="AR62" s="53">
        <f t="shared" si="5"/>
      </c>
      <c r="AS62" s="62">
        <f t="shared" si="7"/>
      </c>
      <c r="AT62" s="60">
        <v>0</v>
      </c>
      <c r="AU62" s="53">
        <f t="shared" si="9"/>
      </c>
      <c r="AV62" s="56">
        <f t="shared" si="10"/>
      </c>
      <c r="AW62" s="56">
        <v>0</v>
      </c>
      <c r="AX62" s="62">
        <f t="shared" si="11"/>
      </c>
      <c r="AY62" s="55"/>
      <c r="AZ62" s="63"/>
      <c r="BA62" s="63"/>
      <c r="BB62" s="64"/>
      <c r="BC62" s="55"/>
      <c r="BD62" s="56"/>
      <c r="BE62" s="56"/>
      <c r="BF62" s="56"/>
      <c r="BG62" s="57"/>
      <c r="BH62" s="65"/>
      <c r="BI62" s="51"/>
      <c r="BJ62" s="55"/>
      <c r="BK62" s="51"/>
      <c r="BL62" s="62"/>
      <c r="BM62" s="51"/>
      <c r="BN62" s="52"/>
      <c r="BO62" s="51"/>
      <c r="BP62" s="66"/>
      <c r="BQ62" s="67"/>
    </row>
    <row customHeight="true" ht="13.333333333333332" r="63">
      <c r="A63" s="50">
        <v>46052</v>
      </c>
      <c r="B63" s="51" t="s">
        <v>78</v>
      </c>
      <c r="C63" s="52"/>
      <c r="D63" s="51">
        <v>54.99</v>
      </c>
      <c r="E63" s="53"/>
      <c r="F63" s="53">
        <v>0</v>
      </c>
      <c r="G63" s="53">
        <v>0</v>
      </c>
      <c r="H63" s="54">
        <v>33.43</v>
      </c>
      <c r="I63" s="53" t="s">
        <v>73</v>
      </c>
      <c r="J63" s="55" t="s">
        <v>73</v>
      </c>
      <c r="K63" s="51">
        <f>'德国ERP数据'!BC262</f>
      </c>
      <c r="L63" s="51">
        <f>'德国ERP数据'!BA262</f>
      </c>
      <c r="M63" s="51">
        <f t="shared" si="2"/>
      </c>
      <c r="N63" s="53">
        <f t="shared" si="4"/>
      </c>
      <c r="O63" s="56">
        <f t="shared" si="6"/>
      </c>
      <c r="P63" s="56">
        <f t="shared" si="8"/>
      </c>
      <c r="Q63" s="51">
        <f>'德国ERP数据'!R262</f>
      </c>
      <c r="R63" s="51" t="s">
        <v>73</v>
      </c>
      <c r="S63" s="51">
        <f>'德国ERP数据'!Z262</f>
      </c>
      <c r="T63" s="51">
        <v>0</v>
      </c>
      <c r="U63" s="51">
        <v>0</v>
      </c>
      <c r="V63" s="53">
        <v>0</v>
      </c>
      <c r="W63" s="51">
        <v>0</v>
      </c>
      <c r="X63" s="57">
        <f>'德国ERP数据'!Q262</f>
      </c>
      <c r="Y63" s="51" t="s">
        <v>74</v>
      </c>
      <c r="Z63" s="51"/>
      <c r="AA63" s="51" t="s">
        <v>74</v>
      </c>
      <c r="AB63" s="51"/>
      <c r="AC63" s="51" t="s">
        <v>74</v>
      </c>
      <c r="AD63" s="51"/>
      <c r="AE63" s="51">
        <v>32</v>
      </c>
      <c r="AF63" s="51"/>
      <c r="AG63" s="51">
        <v>0</v>
      </c>
      <c r="AH63" s="58">
        <v>0</v>
      </c>
      <c r="AI63" s="52">
        <v>0</v>
      </c>
      <c r="AJ63" s="51">
        <v>0</v>
      </c>
      <c r="AK63" s="51">
        <v>5</v>
      </c>
      <c r="AL63" s="59">
        <v>0</v>
      </c>
      <c r="AM63" s="51">
        <v>0</v>
      </c>
      <c r="AN63" s="55">
        <f t="shared" si="0"/>
      </c>
      <c r="AO63" s="51">
        <v>0</v>
      </c>
      <c r="AP63" s="60">
        <f t="shared" si="1"/>
      </c>
      <c r="AQ63" s="61">
        <f t="shared" si="3"/>
      </c>
      <c r="AR63" s="53">
        <f t="shared" si="5"/>
      </c>
      <c r="AS63" s="62">
        <f t="shared" si="7"/>
      </c>
      <c r="AT63" s="60">
        <v>0</v>
      </c>
      <c r="AU63" s="53">
        <f t="shared" si="9"/>
      </c>
      <c r="AV63" s="56">
        <f t="shared" si="10"/>
      </c>
      <c r="AW63" s="56">
        <v>0</v>
      </c>
      <c r="AX63" s="62">
        <f t="shared" si="11"/>
      </c>
      <c r="AY63" s="55"/>
      <c r="AZ63" s="63"/>
      <c r="BA63" s="63"/>
      <c r="BB63" s="64"/>
      <c r="BC63" s="55"/>
      <c r="BD63" s="56"/>
      <c r="BE63" s="56"/>
      <c r="BF63" s="56"/>
      <c r="BG63" s="57"/>
      <c r="BH63" s="65"/>
      <c r="BI63" s="51"/>
      <c r="BJ63" s="55"/>
      <c r="BK63" s="51"/>
      <c r="BL63" s="62"/>
      <c r="BM63" s="51"/>
      <c r="BN63" s="52"/>
      <c r="BO63" s="51"/>
      <c r="BP63" s="66"/>
      <c r="BQ63" s="67"/>
    </row>
    <row customHeight="true" ht="13.333333333333332" r="64">
      <c r="A64" s="50">
        <v>46053</v>
      </c>
      <c r="B64" s="51" t="s">
        <v>79</v>
      </c>
      <c r="C64" s="52"/>
      <c r="D64" s="51">
        <v>54.99</v>
      </c>
      <c r="E64" s="53"/>
      <c r="F64" s="53">
        <v>0</v>
      </c>
      <c r="G64" s="53">
        <v>0</v>
      </c>
      <c r="H64" s="54">
        <v>33.43</v>
      </c>
      <c r="I64" s="53" t="s">
        <v>73</v>
      </c>
      <c r="J64" s="55" t="s">
        <v>73</v>
      </c>
      <c r="K64" s="51">
        <f>'德国ERP数据'!BC263</f>
      </c>
      <c r="L64" s="51">
        <f>'德国ERP数据'!BA263</f>
      </c>
      <c r="M64" s="51">
        <f t="shared" si="2"/>
      </c>
      <c r="N64" s="53">
        <f t="shared" si="4"/>
      </c>
      <c r="O64" s="56">
        <f t="shared" si="6"/>
      </c>
      <c r="P64" s="56">
        <f t="shared" si="8"/>
      </c>
      <c r="Q64" s="51">
        <f>'德国ERP数据'!R263</f>
      </c>
      <c r="R64" s="51" t="s">
        <v>73</v>
      </c>
      <c r="S64" s="51">
        <f>'德国ERP数据'!Z263</f>
      </c>
      <c r="T64" s="51">
        <v>0</v>
      </c>
      <c r="U64" s="51">
        <v>0</v>
      </c>
      <c r="V64" s="53">
        <v>0</v>
      </c>
      <c r="W64" s="51">
        <v>0</v>
      </c>
      <c r="X64" s="57">
        <f>'德国ERP数据'!Q263</f>
      </c>
      <c r="Y64" s="51" t="s">
        <v>74</v>
      </c>
      <c r="Z64" s="51"/>
      <c r="AA64" s="51" t="s">
        <v>74</v>
      </c>
      <c r="AB64" s="51"/>
      <c r="AC64" s="51" t="s">
        <v>74</v>
      </c>
      <c r="AD64" s="51"/>
      <c r="AE64" s="51">
        <v>32</v>
      </c>
      <c r="AF64" s="51"/>
      <c r="AG64" s="51">
        <v>0</v>
      </c>
      <c r="AH64" s="58">
        <v>0</v>
      </c>
      <c r="AI64" s="52">
        <v>0</v>
      </c>
      <c r="AJ64" s="51">
        <v>0</v>
      </c>
      <c r="AK64" s="51">
        <v>5</v>
      </c>
      <c r="AL64" s="59">
        <v>0</v>
      </c>
      <c r="AM64" s="51">
        <v>0</v>
      </c>
      <c r="AN64" s="55">
        <f t="shared" si="0"/>
      </c>
      <c r="AO64" s="51">
        <v>0</v>
      </c>
      <c r="AP64" s="60">
        <f t="shared" si="1"/>
      </c>
      <c r="AQ64" s="61">
        <f t="shared" si="3"/>
      </c>
      <c r="AR64" s="53">
        <f t="shared" si="5"/>
      </c>
      <c r="AS64" s="62">
        <f t="shared" si="7"/>
      </c>
      <c r="AT64" s="60">
        <v>0</v>
      </c>
      <c r="AU64" s="53">
        <f t="shared" si="9"/>
      </c>
      <c r="AV64" s="56">
        <f t="shared" si="10"/>
      </c>
      <c r="AW64" s="56">
        <v>0</v>
      </c>
      <c r="AX64" s="62">
        <f t="shared" si="11"/>
      </c>
      <c r="AY64" s="55"/>
      <c r="AZ64" s="63"/>
      <c r="BA64" s="63"/>
      <c r="BB64" s="64"/>
      <c r="BC64" s="55"/>
      <c r="BD64" s="56"/>
      <c r="BE64" s="56"/>
      <c r="BF64" s="56"/>
      <c r="BG64" s="57"/>
      <c r="BH64" s="65"/>
      <c r="BI64" s="51"/>
      <c r="BJ64" s="55"/>
      <c r="BK64" s="51"/>
      <c r="BL64" s="62"/>
      <c r="BM64" s="51"/>
      <c r="BN64" s="52"/>
      <c r="BO64" s="51"/>
      <c r="BP64" s="66"/>
      <c r="BQ64" s="67"/>
    </row>
    <row customHeight="true" ht="13.333333333333332" r="65">
      <c r="A65" s="50">
        <v>46054</v>
      </c>
      <c r="B65" s="51" t="s">
        <v>80</v>
      </c>
      <c r="C65" s="52"/>
      <c r="D65" s="51">
        <v>54.99</v>
      </c>
      <c r="E65" s="53"/>
      <c r="F65" s="53">
        <v>0</v>
      </c>
      <c r="G65" s="53">
        <v>0</v>
      </c>
      <c r="H65" s="54">
        <v>33.43</v>
      </c>
      <c r="I65" s="53" t="s">
        <v>73</v>
      </c>
      <c r="J65" s="55" t="s">
        <v>73</v>
      </c>
      <c r="K65" s="51">
        <f>'德国ERP数据'!BC264</f>
      </c>
      <c r="L65" s="51">
        <f>'德国ERP数据'!BA264</f>
      </c>
      <c r="M65" s="51">
        <f t="shared" si="2"/>
      </c>
      <c r="N65" s="53">
        <f t="shared" si="4"/>
      </c>
      <c r="O65" s="56">
        <f t="shared" si="6"/>
      </c>
      <c r="P65" s="56">
        <f t="shared" si="8"/>
      </c>
      <c r="Q65" s="51">
        <f>'德国ERP数据'!R264</f>
      </c>
      <c r="R65" s="51" t="s">
        <v>73</v>
      </c>
      <c r="S65" s="51">
        <f>'德国ERP数据'!Z264</f>
      </c>
      <c r="T65" s="51">
        <v>0</v>
      </c>
      <c r="U65" s="51">
        <v>0</v>
      </c>
      <c r="V65" s="53">
        <v>0</v>
      </c>
      <c r="W65" s="51">
        <v>0</v>
      </c>
      <c r="X65" s="57">
        <f>'德国ERP数据'!Q264</f>
      </c>
      <c r="Y65" s="51" t="s">
        <v>74</v>
      </c>
      <c r="Z65" s="51"/>
      <c r="AA65" s="51" t="s">
        <v>74</v>
      </c>
      <c r="AB65" s="51"/>
      <c r="AC65" s="51" t="s">
        <v>74</v>
      </c>
      <c r="AD65" s="51"/>
      <c r="AE65" s="51">
        <v>32</v>
      </c>
      <c r="AF65" s="51"/>
      <c r="AG65" s="51">
        <v>0</v>
      </c>
      <c r="AH65" s="58">
        <v>0</v>
      </c>
      <c r="AI65" s="52">
        <v>0</v>
      </c>
      <c r="AJ65" s="51">
        <v>0</v>
      </c>
      <c r="AK65" s="51">
        <v>5</v>
      </c>
      <c r="AL65" s="59">
        <v>0</v>
      </c>
      <c r="AM65" s="51">
        <v>0</v>
      </c>
      <c r="AN65" s="55">
        <f t="shared" si="0"/>
      </c>
      <c r="AO65" s="51">
        <v>0</v>
      </c>
      <c r="AP65" s="60">
        <f t="shared" si="1"/>
      </c>
      <c r="AQ65" s="61">
        <f t="shared" si="3"/>
      </c>
      <c r="AR65" s="53">
        <f t="shared" si="5"/>
      </c>
      <c r="AS65" s="62">
        <f t="shared" si="7"/>
      </c>
      <c r="AT65" s="60">
        <v>0</v>
      </c>
      <c r="AU65" s="53">
        <f t="shared" si="9"/>
      </c>
      <c r="AV65" s="56">
        <f t="shared" si="10"/>
      </c>
      <c r="AW65" s="56">
        <v>0</v>
      </c>
      <c r="AX65" s="62">
        <f t="shared" si="11"/>
      </c>
      <c r="AY65" s="55"/>
      <c r="AZ65" s="63"/>
      <c r="BA65" s="63"/>
      <c r="BB65" s="64"/>
      <c r="BC65" s="55"/>
      <c r="BD65" s="56"/>
      <c r="BE65" s="56"/>
      <c r="BF65" s="56"/>
      <c r="BG65" s="57"/>
      <c r="BH65" s="65"/>
      <c r="BI65" s="51"/>
      <c r="BJ65" s="55"/>
      <c r="BK65" s="51"/>
      <c r="BL65" s="62"/>
      <c r="BM65" s="51"/>
      <c r="BN65" s="52"/>
      <c r="BO65" s="51"/>
      <c r="BP65" s="66"/>
      <c r="BQ65" s="67"/>
    </row>
    <row customHeight="true" ht="13.333333333333332" r="66">
      <c r="A66" s="50">
        <v>46055</v>
      </c>
      <c r="B66" s="51" t="s">
        <v>71</v>
      </c>
      <c r="C66" s="52"/>
      <c r="D66" s="51">
        <v>54.99</v>
      </c>
      <c r="E66" s="53"/>
      <c r="F66" s="53">
        <v>0</v>
      </c>
      <c r="G66" s="53">
        <v>0</v>
      </c>
      <c r="H66" s="54">
        <v>33.43</v>
      </c>
      <c r="I66" s="53" t="s">
        <v>73</v>
      </c>
      <c r="J66" s="55" t="s">
        <v>73</v>
      </c>
      <c r="K66" s="51">
        <f>'德国ERP数据'!BC265</f>
      </c>
      <c r="L66" s="51">
        <f>'德国ERP数据'!BA265</f>
      </c>
      <c r="M66" s="51">
        <f t="shared" si="2"/>
      </c>
      <c r="N66" s="53">
        <f t="shared" si="4"/>
      </c>
      <c r="O66" s="56">
        <f t="shared" si="6"/>
      </c>
      <c r="P66" s="56">
        <f t="shared" si="8"/>
      </c>
      <c r="Q66" s="51">
        <f>'德国ERP数据'!R265</f>
      </c>
      <c r="R66" s="51" t="s">
        <v>73</v>
      </c>
      <c r="S66" s="51">
        <f>'德国ERP数据'!Z265</f>
      </c>
      <c r="T66" s="51">
        <v>0</v>
      </c>
      <c r="U66" s="51">
        <v>0</v>
      </c>
      <c r="V66" s="53">
        <v>0</v>
      </c>
      <c r="W66" s="51">
        <v>0</v>
      </c>
      <c r="X66" s="57">
        <f>'德国ERP数据'!Q265</f>
      </c>
      <c r="Y66" s="51" t="s">
        <v>74</v>
      </c>
      <c r="Z66" s="51"/>
      <c r="AA66" s="51" t="s">
        <v>74</v>
      </c>
      <c r="AB66" s="51"/>
      <c r="AC66" s="51" t="s">
        <v>74</v>
      </c>
      <c r="AD66" s="51"/>
      <c r="AE66" s="51">
        <v>32</v>
      </c>
      <c r="AF66" s="51"/>
      <c r="AG66" s="51">
        <v>0</v>
      </c>
      <c r="AH66" s="58">
        <v>0</v>
      </c>
      <c r="AI66" s="52">
        <v>0</v>
      </c>
      <c r="AJ66" s="51">
        <v>0</v>
      </c>
      <c r="AK66" s="51">
        <v>5</v>
      </c>
      <c r="AL66" s="59">
        <v>0</v>
      </c>
      <c r="AM66" s="51">
        <v>0</v>
      </c>
      <c r="AN66" s="55">
        <f t="shared" si="0"/>
      </c>
      <c r="AO66" s="51">
        <v>0</v>
      </c>
      <c r="AP66" s="60">
        <f t="shared" si="1"/>
      </c>
      <c r="AQ66" s="61">
        <f t="shared" si="3"/>
      </c>
      <c r="AR66" s="53">
        <f t="shared" si="5"/>
      </c>
      <c r="AS66" s="62">
        <f t="shared" si="7"/>
      </c>
      <c r="AT66" s="60">
        <v>0</v>
      </c>
      <c r="AU66" s="53">
        <f t="shared" si="9"/>
      </c>
      <c r="AV66" s="56">
        <f t="shared" si="10"/>
      </c>
      <c r="AW66" s="56">
        <v>0</v>
      </c>
      <c r="AX66" s="62">
        <f t="shared" si="11"/>
      </c>
      <c r="AY66" s="55"/>
      <c r="AZ66" s="63"/>
      <c r="BA66" s="63"/>
      <c r="BB66" s="64"/>
      <c r="BC66" s="55"/>
      <c r="BD66" s="56"/>
      <c r="BE66" s="56"/>
      <c r="BF66" s="56"/>
      <c r="BG66" s="57"/>
      <c r="BH66" s="65"/>
      <c r="BI66" s="51"/>
      <c r="BJ66" s="55"/>
      <c r="BK66" s="51"/>
      <c r="BL66" s="62"/>
      <c r="BM66" s="51"/>
      <c r="BN66" s="52"/>
      <c r="BO66" s="51"/>
      <c r="BP66" s="66"/>
      <c r="BQ66" s="67"/>
    </row>
    <row customHeight="true" ht="13.333333333333332" r="67">
      <c r="A67" s="50">
        <v>46056</v>
      </c>
      <c r="B67" s="51" t="s">
        <v>75</v>
      </c>
      <c r="C67" s="52"/>
      <c r="D67" s="51">
        <v>54.99</v>
      </c>
      <c r="E67" s="53"/>
      <c r="F67" s="53">
        <v>0</v>
      </c>
      <c r="G67" s="53">
        <v>0</v>
      </c>
      <c r="H67" s="54">
        <v>33.43</v>
      </c>
      <c r="I67" s="53" t="s">
        <v>73</v>
      </c>
      <c r="J67" s="55" t="s">
        <v>73</v>
      </c>
      <c r="K67" s="51">
        <f>'德国ERP数据'!BC266</f>
      </c>
      <c r="L67" s="51">
        <f>'德国ERP数据'!BA266</f>
      </c>
      <c r="M67" s="51">
        <f t="shared" si="2"/>
      </c>
      <c r="N67" s="53">
        <f t="shared" si="4"/>
      </c>
      <c r="O67" s="56">
        <f t="shared" si="6"/>
      </c>
      <c r="P67" s="56">
        <f t="shared" si="8"/>
      </c>
      <c r="Q67" s="51">
        <f>'德国ERP数据'!R266</f>
      </c>
      <c r="R67" s="51" t="s">
        <v>73</v>
      </c>
      <c r="S67" s="51">
        <f>'德国ERP数据'!Z266</f>
      </c>
      <c r="T67" s="51">
        <v>0</v>
      </c>
      <c r="U67" s="51">
        <v>0</v>
      </c>
      <c r="V67" s="53">
        <v>0</v>
      </c>
      <c r="W67" s="51">
        <v>0</v>
      </c>
      <c r="X67" s="57">
        <f>'德国ERP数据'!Q266</f>
      </c>
      <c r="Y67" s="51" t="s">
        <v>74</v>
      </c>
      <c r="Z67" s="51"/>
      <c r="AA67" s="51" t="s">
        <v>74</v>
      </c>
      <c r="AB67" s="51"/>
      <c r="AC67" s="51" t="s">
        <v>74</v>
      </c>
      <c r="AD67" s="51"/>
      <c r="AE67" s="51">
        <v>32</v>
      </c>
      <c r="AF67" s="51"/>
      <c r="AG67" s="51">
        <v>0</v>
      </c>
      <c r="AH67" s="58">
        <v>0</v>
      </c>
      <c r="AI67" s="52">
        <v>0</v>
      </c>
      <c r="AJ67" s="51">
        <v>0</v>
      </c>
      <c r="AK67" s="51">
        <v>5</v>
      </c>
      <c r="AL67" s="59">
        <v>0</v>
      </c>
      <c r="AM67" s="51">
        <v>0</v>
      </c>
      <c r="AN67" s="55">
        <f t="shared" si="0"/>
      </c>
      <c r="AO67" s="51">
        <v>0</v>
      </c>
      <c r="AP67" s="60">
        <f t="shared" si="1"/>
      </c>
      <c r="AQ67" s="61">
        <f t="shared" si="3"/>
      </c>
      <c r="AR67" s="53">
        <f t="shared" si="5"/>
      </c>
      <c r="AS67" s="62">
        <f t="shared" si="7"/>
      </c>
      <c r="AT67" s="60">
        <v>0</v>
      </c>
      <c r="AU67" s="53">
        <f t="shared" si="9"/>
      </c>
      <c r="AV67" s="56">
        <f t="shared" si="10"/>
      </c>
      <c r="AW67" s="56">
        <v>0</v>
      </c>
      <c r="AX67" s="62">
        <f t="shared" si="11"/>
      </c>
      <c r="AY67" s="55"/>
      <c r="AZ67" s="63"/>
      <c r="BA67" s="63"/>
      <c r="BB67" s="64"/>
      <c r="BC67" s="55"/>
      <c r="BD67" s="56"/>
      <c r="BE67" s="56"/>
      <c r="BF67" s="56"/>
      <c r="BG67" s="57"/>
      <c r="BH67" s="65"/>
      <c r="BI67" s="51"/>
      <c r="BJ67" s="55"/>
      <c r="BK67" s="51"/>
      <c r="BL67" s="62"/>
      <c r="BM67" s="51"/>
      <c r="BN67" s="52"/>
      <c r="BO67" s="51"/>
      <c r="BP67" s="66"/>
      <c r="BQ67" s="67"/>
    </row>
    <row customHeight="true" ht="13.333333333333332" r="68">
      <c r="A68" s="50">
        <v>46057</v>
      </c>
      <c r="B68" s="51" t="s">
        <v>76</v>
      </c>
      <c r="C68" s="52"/>
      <c r="D68" s="51">
        <v>54.99</v>
      </c>
      <c r="E68" s="53"/>
      <c r="F68" s="53">
        <v>0</v>
      </c>
      <c r="G68" s="53">
        <v>0</v>
      </c>
      <c r="H68" s="54">
        <v>33.43</v>
      </c>
      <c r="I68" s="53" t="s">
        <v>73</v>
      </c>
      <c r="J68" s="55" t="s">
        <v>73</v>
      </c>
      <c r="K68" s="51">
        <f>'德国ERP数据'!BC267</f>
      </c>
      <c r="L68" s="51">
        <f>'德国ERP数据'!BA267</f>
      </c>
      <c r="M68" s="51">
        <f t="shared" si="2"/>
      </c>
      <c r="N68" s="53">
        <f t="shared" si="4"/>
      </c>
      <c r="O68" s="56">
        <f t="shared" si="6"/>
      </c>
      <c r="P68" s="56">
        <f t="shared" si="8"/>
      </c>
      <c r="Q68" s="51">
        <f>'德国ERP数据'!R267</f>
      </c>
      <c r="R68" s="51" t="s">
        <v>73</v>
      </c>
      <c r="S68" s="51">
        <f>'德国ERP数据'!Z267</f>
      </c>
      <c r="T68" s="51">
        <v>0</v>
      </c>
      <c r="U68" s="51">
        <v>0</v>
      </c>
      <c r="V68" s="53">
        <v>0</v>
      </c>
      <c r="W68" s="51">
        <v>0</v>
      </c>
      <c r="X68" s="57">
        <f>'德国ERP数据'!Q267</f>
      </c>
      <c r="Y68" s="51" t="s">
        <v>74</v>
      </c>
      <c r="Z68" s="51"/>
      <c r="AA68" s="51" t="s">
        <v>74</v>
      </c>
      <c r="AB68" s="51"/>
      <c r="AC68" s="51" t="s">
        <v>74</v>
      </c>
      <c r="AD68" s="51"/>
      <c r="AE68" s="51">
        <v>32</v>
      </c>
      <c r="AF68" s="51"/>
      <c r="AG68" s="51">
        <v>0</v>
      </c>
      <c r="AH68" s="58">
        <v>0</v>
      </c>
      <c r="AI68" s="52">
        <v>0</v>
      </c>
      <c r="AJ68" s="51">
        <v>0</v>
      </c>
      <c r="AK68" s="51">
        <v>5</v>
      </c>
      <c r="AL68" s="59">
        <v>0</v>
      </c>
      <c r="AM68" s="51">
        <v>0</v>
      </c>
      <c r="AN68" s="55">
        <f t="shared" si="0"/>
      </c>
      <c r="AO68" s="51">
        <v>0</v>
      </c>
      <c r="AP68" s="60">
        <f t="shared" si="1"/>
      </c>
      <c r="AQ68" s="61">
        <f t="shared" si="3"/>
      </c>
      <c r="AR68" s="53">
        <f t="shared" si="5"/>
      </c>
      <c r="AS68" s="62">
        <f t="shared" si="7"/>
      </c>
      <c r="AT68" s="60">
        <v>0</v>
      </c>
      <c r="AU68" s="53">
        <f t="shared" si="9"/>
      </c>
      <c r="AV68" s="56">
        <f t="shared" si="10"/>
      </c>
      <c r="AW68" s="56">
        <v>0</v>
      </c>
      <c r="AX68" s="62">
        <f t="shared" si="11"/>
      </c>
      <c r="AY68" s="55"/>
      <c r="AZ68" s="63"/>
      <c r="BA68" s="63"/>
      <c r="BB68" s="64"/>
      <c r="BC68" s="55"/>
      <c r="BD68" s="56"/>
      <c r="BE68" s="56"/>
      <c r="BF68" s="56"/>
      <c r="BG68" s="57"/>
      <c r="BH68" s="65"/>
      <c r="BI68" s="51"/>
      <c r="BJ68" s="55"/>
      <c r="BK68" s="51"/>
      <c r="BL68" s="62"/>
      <c r="BM68" s="51"/>
      <c r="BN68" s="52"/>
      <c r="BO68" s="51"/>
      <c r="BP68" s="66"/>
      <c r="BQ68" s="67"/>
    </row>
    <row customHeight="true" ht="13.333333333333332" r="69">
      <c r="A69" s="50">
        <v>46058</v>
      </c>
      <c r="B69" s="51" t="s">
        <v>77</v>
      </c>
      <c r="C69" s="52"/>
      <c r="D69" s="51">
        <v>54.99</v>
      </c>
      <c r="E69" s="53"/>
      <c r="F69" s="53">
        <v>0</v>
      </c>
      <c r="G69" s="53">
        <v>0</v>
      </c>
      <c r="H69" s="54">
        <v>33.43</v>
      </c>
      <c r="I69" s="53" t="s">
        <v>73</v>
      </c>
      <c r="J69" s="55" t="s">
        <v>73</v>
      </c>
      <c r="K69" s="51">
        <f>'德国ERP数据'!BC268</f>
      </c>
      <c r="L69" s="51">
        <f>'德国ERP数据'!BA268</f>
      </c>
      <c r="M69" s="51">
        <f t="shared" si="2"/>
      </c>
      <c r="N69" s="53">
        <f t="shared" si="4"/>
      </c>
      <c r="O69" s="56">
        <f t="shared" si="6"/>
      </c>
      <c r="P69" s="56">
        <f t="shared" si="8"/>
      </c>
      <c r="Q69" s="51">
        <f>'德国ERP数据'!R268</f>
      </c>
      <c r="R69" s="51" t="s">
        <v>73</v>
      </c>
      <c r="S69" s="51">
        <f>'德国ERP数据'!Z268</f>
      </c>
      <c r="T69" s="51">
        <v>0</v>
      </c>
      <c r="U69" s="51">
        <v>0</v>
      </c>
      <c r="V69" s="53">
        <v>0</v>
      </c>
      <c r="W69" s="51">
        <v>0</v>
      </c>
      <c r="X69" s="57">
        <f>'德国ERP数据'!Q268</f>
      </c>
      <c r="Y69" s="51" t="s">
        <v>74</v>
      </c>
      <c r="Z69" s="51"/>
      <c r="AA69" s="51" t="s">
        <v>74</v>
      </c>
      <c r="AB69" s="51"/>
      <c r="AC69" s="51" t="s">
        <v>74</v>
      </c>
      <c r="AD69" s="51"/>
      <c r="AE69" s="51">
        <v>32</v>
      </c>
      <c r="AF69" s="51"/>
      <c r="AG69" s="51">
        <v>0</v>
      </c>
      <c r="AH69" s="58">
        <v>0</v>
      </c>
      <c r="AI69" s="52">
        <v>0</v>
      </c>
      <c r="AJ69" s="51">
        <v>0</v>
      </c>
      <c r="AK69" s="51">
        <v>5</v>
      </c>
      <c r="AL69" s="59">
        <v>0</v>
      </c>
      <c r="AM69" s="51">
        <v>0</v>
      </c>
      <c r="AN69" s="55">
        <f t="shared" si="0"/>
      </c>
      <c r="AO69" s="51">
        <v>0</v>
      </c>
      <c r="AP69" s="60">
        <f t="shared" si="1"/>
      </c>
      <c r="AQ69" s="61">
        <f t="shared" si="3"/>
      </c>
      <c r="AR69" s="53">
        <f t="shared" si="5"/>
      </c>
      <c r="AS69" s="62">
        <f t="shared" si="7"/>
      </c>
      <c r="AT69" s="60">
        <v>0</v>
      </c>
      <c r="AU69" s="53">
        <f t="shared" si="9"/>
      </c>
      <c r="AV69" s="56">
        <f t="shared" si="10"/>
      </c>
      <c r="AW69" s="56">
        <v>0</v>
      </c>
      <c r="AX69" s="62">
        <f t="shared" si="11"/>
      </c>
      <c r="AY69" s="55"/>
      <c r="AZ69" s="63"/>
      <c r="BA69" s="63"/>
      <c r="BB69" s="64"/>
      <c r="BC69" s="55"/>
      <c r="BD69" s="56"/>
      <c r="BE69" s="56"/>
      <c r="BF69" s="56"/>
      <c r="BG69" s="57"/>
      <c r="BH69" s="65"/>
      <c r="BI69" s="51"/>
      <c r="BJ69" s="55"/>
      <c r="BK69" s="51"/>
      <c r="BL69" s="62"/>
      <c r="BM69" s="51"/>
      <c r="BN69" s="52"/>
      <c r="BO69" s="51"/>
      <c r="BP69" s="66"/>
      <c r="BQ69" s="67"/>
    </row>
    <row customHeight="true" ht="13.333333333333332" r="70">
      <c r="A70" s="50">
        <v>46059</v>
      </c>
      <c r="B70" s="51" t="s">
        <v>78</v>
      </c>
      <c r="C70" s="68"/>
      <c r="D70" s="69">
        <v>54.99</v>
      </c>
      <c r="E70" s="70"/>
      <c r="F70" s="70">
        <v>0</v>
      </c>
      <c r="G70" s="70">
        <v>0</v>
      </c>
      <c r="H70" s="71">
        <v>33.43</v>
      </c>
      <c r="I70" s="70" t="s">
        <v>73</v>
      </c>
      <c r="J70" s="72" t="s">
        <v>73</v>
      </c>
      <c r="K70" s="69">
        <f>'德国ERP数据'!BC269</f>
      </c>
      <c r="L70" s="69">
        <f>'德国ERP数据'!BA269</f>
      </c>
      <c r="M70" s="69">
        <f t="shared" si="2"/>
      </c>
      <c r="N70" s="70">
        <f t="shared" si="4"/>
      </c>
      <c r="O70" s="73">
        <f t="shared" si="6"/>
      </c>
      <c r="P70" s="73">
        <f t="shared" si="8"/>
      </c>
      <c r="Q70" s="69">
        <f>'德国ERP数据'!R269</f>
      </c>
      <c r="R70" s="69" t="s">
        <v>73</v>
      </c>
      <c r="S70" s="69">
        <f>'德国ERP数据'!Z269</f>
      </c>
      <c r="T70" s="69">
        <v>0</v>
      </c>
      <c r="U70" s="69">
        <v>0</v>
      </c>
      <c r="V70" s="70">
        <v>0</v>
      </c>
      <c r="W70" s="69">
        <v>0</v>
      </c>
      <c r="X70" s="74">
        <f>'德国ERP数据'!Q269</f>
      </c>
      <c r="Y70" s="69" t="s">
        <v>74</v>
      </c>
      <c r="Z70" s="51"/>
      <c r="AA70" s="51"/>
      <c r="AB70" s="51"/>
      <c r="AC70" s="51"/>
      <c r="AD70" s="51"/>
      <c r="AE70" s="51"/>
      <c r="AF70" s="51"/>
      <c r="AG70" s="51"/>
      <c r="AH70" s="58"/>
      <c r="AI70" s="52"/>
      <c r="AJ70" s="51"/>
      <c r="AK70" s="51"/>
      <c r="AL70" s="59"/>
      <c r="AM70" s="51"/>
      <c r="AN70" s="55"/>
      <c r="AO70" s="51"/>
      <c r="AP70" s="60"/>
      <c r="AQ70" s="61"/>
      <c r="AR70" s="53"/>
      <c r="AS70" s="55"/>
      <c r="AT70" s="60"/>
      <c r="AU70" s="53"/>
      <c r="AV70" s="56"/>
      <c r="AW70" s="56"/>
      <c r="AX70" s="62"/>
      <c r="AY70" s="55"/>
      <c r="AZ70" s="63"/>
      <c r="BA70" s="63"/>
      <c r="BB70" s="64"/>
      <c r="BC70" s="55"/>
      <c r="BD70" s="56"/>
      <c r="BE70" s="56"/>
      <c r="BF70" s="56"/>
      <c r="BG70" s="57"/>
      <c r="BH70" s="57"/>
      <c r="BI70" s="51"/>
      <c r="BJ70" s="55"/>
      <c r="BK70" s="51"/>
      <c r="BL70" s="62"/>
      <c r="BM70" s="51"/>
      <c r="BN70" s="52"/>
      <c r="BO70" s="51"/>
      <c r="BP70" s="66"/>
      <c r="BQ70" s="75"/>
    </row>
    <row customHeight="true" ht="13.333333333333332" r="71">
      <c r="A71" s="50">
        <v>46060</v>
      </c>
      <c r="B71" s="51" t="s">
        <v>79</v>
      </c>
      <c r="C71" s="68"/>
      <c r="D71" s="69">
        <v>54.99</v>
      </c>
      <c r="E71" s="70"/>
      <c r="F71" s="70">
        <v>0</v>
      </c>
      <c r="G71" s="70">
        <v>0</v>
      </c>
      <c r="H71" s="71">
        <v>33.43</v>
      </c>
      <c r="I71" s="70" t="s">
        <v>73</v>
      </c>
      <c r="J71" s="72" t="s">
        <v>73</v>
      </c>
      <c r="K71" s="69">
        <f>'德国ERP数据'!BC270</f>
      </c>
      <c r="L71" s="69">
        <f>'德国ERP数据'!BA270</f>
      </c>
      <c r="M71" s="69">
        <f t="shared" si="2"/>
      </c>
      <c r="N71" s="70">
        <f t="shared" si="4"/>
      </c>
      <c r="O71" s="73">
        <f t="shared" si="6"/>
      </c>
      <c r="P71" s="73">
        <f t="shared" si="8"/>
      </c>
      <c r="Q71" s="69">
        <f>'德国ERP数据'!R270</f>
      </c>
      <c r="R71" s="69" t="s">
        <v>73</v>
      </c>
      <c r="S71" s="69">
        <f>'德国ERP数据'!Z270</f>
      </c>
      <c r="T71" s="69">
        <v>0</v>
      </c>
      <c r="U71" s="69">
        <v>0</v>
      </c>
      <c r="V71" s="70">
        <v>0</v>
      </c>
      <c r="W71" s="69">
        <v>0</v>
      </c>
      <c r="X71" s="74">
        <f>'德国ERP数据'!Q270</f>
      </c>
      <c r="Y71" s="69" t="s">
        <v>74</v>
      </c>
      <c r="Z71" s="51"/>
      <c r="AA71" s="51"/>
      <c r="AB71" s="51"/>
      <c r="AC71" s="51"/>
      <c r="AD71" s="51"/>
      <c r="AE71" s="51"/>
      <c r="AF71" s="51"/>
      <c r="AG71" s="51"/>
      <c r="AH71" s="58"/>
      <c r="AI71" s="52"/>
      <c r="AJ71" s="51"/>
      <c r="AK71" s="51"/>
      <c r="AL71" s="59"/>
      <c r="AM71" s="51"/>
      <c r="AN71" s="55"/>
      <c r="AO71" s="51"/>
      <c r="AP71" s="60"/>
      <c r="AQ71" s="61"/>
      <c r="AR71" s="53"/>
      <c r="AS71" s="55"/>
      <c r="AT71" s="60"/>
      <c r="AU71" s="53"/>
      <c r="AV71" s="56"/>
      <c r="AW71" s="56"/>
      <c r="AX71" s="62"/>
      <c r="AY71" s="55"/>
      <c r="AZ71" s="63"/>
      <c r="BA71" s="63"/>
      <c r="BB71" s="64"/>
      <c r="BC71" s="55"/>
      <c r="BD71" s="56"/>
      <c r="BE71" s="56"/>
      <c r="BF71" s="56"/>
      <c r="BG71" s="57"/>
      <c r="BH71" s="57"/>
      <c r="BI71" s="51"/>
      <c r="BJ71" s="55"/>
      <c r="BK71" s="51"/>
      <c r="BL71" s="62"/>
      <c r="BM71" s="51"/>
      <c r="BN71" s="52"/>
      <c r="BO71" s="51"/>
      <c r="BP71" s="66"/>
      <c r="BQ71" s="75"/>
    </row>
    <row customHeight="true" ht="13.333333333333332" r="72">
      <c r="A72" s="50">
        <v>46061</v>
      </c>
      <c r="B72" s="51" t="s">
        <v>80</v>
      </c>
      <c r="C72" s="68"/>
      <c r="D72" s="69">
        <v>54.99</v>
      </c>
      <c r="E72" s="70"/>
      <c r="F72" s="70">
        <v>0</v>
      </c>
      <c r="G72" s="70">
        <v>0</v>
      </c>
      <c r="H72" s="71">
        <v>33.43</v>
      </c>
      <c r="I72" s="70" t="s">
        <v>73</v>
      </c>
      <c r="J72" s="72" t="s">
        <v>73</v>
      </c>
      <c r="K72" s="69">
        <f>'德国ERP数据'!BC271</f>
      </c>
      <c r="L72" s="69">
        <f>'德国ERP数据'!BA271</f>
      </c>
      <c r="M72" s="69">
        <f t="shared" si="2"/>
      </c>
      <c r="N72" s="70">
        <f t="shared" si="4"/>
      </c>
      <c r="O72" s="73">
        <f t="shared" si="6"/>
      </c>
      <c r="P72" s="73">
        <f t="shared" si="8"/>
      </c>
      <c r="Q72" s="69">
        <f>'德国ERP数据'!R271</f>
      </c>
      <c r="R72" s="69" t="s">
        <v>73</v>
      </c>
      <c r="S72" s="69">
        <f>'德国ERP数据'!Z271</f>
      </c>
      <c r="T72" s="69">
        <v>0</v>
      </c>
      <c r="U72" s="69">
        <v>0</v>
      </c>
      <c r="V72" s="70">
        <v>0</v>
      </c>
      <c r="W72" s="69">
        <v>0</v>
      </c>
      <c r="X72" s="74">
        <f>'德国ERP数据'!Q271</f>
      </c>
      <c r="Y72" s="69" t="s">
        <v>74</v>
      </c>
      <c r="Z72" s="51"/>
      <c r="AA72" s="51"/>
      <c r="AB72" s="51"/>
      <c r="AC72" s="51"/>
      <c r="AD72" s="51"/>
      <c r="AE72" s="51"/>
      <c r="AF72" s="51"/>
      <c r="AG72" s="51"/>
      <c r="AH72" s="58"/>
      <c r="AI72" s="52"/>
      <c r="AJ72" s="51"/>
      <c r="AK72" s="51"/>
      <c r="AL72" s="59"/>
      <c r="AM72" s="51"/>
      <c r="AN72" s="55"/>
      <c r="AO72" s="51"/>
      <c r="AP72" s="60"/>
      <c r="AQ72" s="61"/>
      <c r="AR72" s="53"/>
      <c r="AS72" s="55"/>
      <c r="AT72" s="60"/>
      <c r="AU72" s="53"/>
      <c r="AV72" s="56"/>
      <c r="AW72" s="56"/>
      <c r="AX72" s="62"/>
      <c r="AY72" s="55"/>
      <c r="AZ72" s="63"/>
      <c r="BA72" s="63"/>
      <c r="BB72" s="64"/>
      <c r="BC72" s="55"/>
      <c r="BD72" s="56"/>
      <c r="BE72" s="56"/>
      <c r="BF72" s="56"/>
      <c r="BG72" s="57"/>
      <c r="BH72" s="57"/>
      <c r="BI72" s="51"/>
      <c r="BJ72" s="55"/>
      <c r="BK72" s="51"/>
      <c r="BL72" s="62"/>
      <c r="BM72" s="51"/>
      <c r="BN72" s="52"/>
      <c r="BO72" s="51"/>
      <c r="BP72" s="66"/>
      <c r="BQ72" s="75"/>
    </row>
    <row customHeight="true" ht="13.333333333333332" r="73">
      <c r="A73" s="50">
        <v>46062</v>
      </c>
      <c r="B73" s="51" t="s">
        <v>71</v>
      </c>
      <c r="C73" s="68"/>
      <c r="D73" s="69">
        <v>54.99</v>
      </c>
      <c r="E73" s="70"/>
      <c r="F73" s="70">
        <v>0</v>
      </c>
      <c r="G73" s="70">
        <v>0</v>
      </c>
      <c r="H73" s="71">
        <v>33.43</v>
      </c>
      <c r="I73" s="70" t="s">
        <v>73</v>
      </c>
      <c r="J73" s="72" t="s">
        <v>73</v>
      </c>
      <c r="K73" s="69">
        <f>'德国ERP数据'!BC272</f>
      </c>
      <c r="L73" s="69">
        <f>'德国ERP数据'!BA272</f>
      </c>
      <c r="M73" s="69">
        <f t="shared" si="2"/>
      </c>
      <c r="N73" s="70">
        <f t="shared" si="4"/>
      </c>
      <c r="O73" s="73">
        <f t="shared" si="6"/>
      </c>
      <c r="P73" s="73">
        <f t="shared" si="8"/>
      </c>
      <c r="Q73" s="69">
        <f>'德国ERP数据'!R272</f>
      </c>
      <c r="R73" s="69" t="s">
        <v>73</v>
      </c>
      <c r="S73" s="69">
        <f>'德国ERP数据'!Z272</f>
      </c>
      <c r="T73" s="69">
        <v>0</v>
      </c>
      <c r="U73" s="69">
        <v>0</v>
      </c>
      <c r="V73" s="70">
        <v>0</v>
      </c>
      <c r="W73" s="69">
        <v>0</v>
      </c>
      <c r="X73" s="74">
        <f>'德国ERP数据'!Q272</f>
      </c>
      <c r="Y73" s="69" t="s">
        <v>74</v>
      </c>
      <c r="Z73" s="51"/>
      <c r="AA73" s="51"/>
      <c r="AB73" s="51"/>
      <c r="AC73" s="51"/>
      <c r="AD73" s="51"/>
      <c r="AE73" s="51"/>
      <c r="AF73" s="51"/>
      <c r="AG73" s="51"/>
      <c r="AH73" s="58"/>
      <c r="AI73" s="52"/>
      <c r="AJ73" s="51"/>
      <c r="AK73" s="51"/>
      <c r="AL73" s="59"/>
      <c r="AM73" s="51"/>
      <c r="AN73" s="55"/>
      <c r="AO73" s="51"/>
      <c r="AP73" s="60"/>
      <c r="AQ73" s="61"/>
      <c r="AR73" s="53"/>
      <c r="AS73" s="55"/>
      <c r="AT73" s="60"/>
      <c r="AU73" s="53"/>
      <c r="AV73" s="56"/>
      <c r="AW73" s="56"/>
      <c r="AX73" s="62"/>
      <c r="AY73" s="55"/>
      <c r="AZ73" s="63"/>
      <c r="BA73" s="63"/>
      <c r="BB73" s="64"/>
      <c r="BC73" s="55"/>
      <c r="BD73" s="56"/>
      <c r="BE73" s="56"/>
      <c r="BF73" s="56"/>
      <c r="BG73" s="57"/>
      <c r="BH73" s="57"/>
      <c r="BI73" s="51"/>
      <c r="BJ73" s="55"/>
      <c r="BK73" s="51"/>
      <c r="BL73" s="62"/>
      <c r="BM73" s="51"/>
      <c r="BN73" s="52"/>
      <c r="BO73" s="51"/>
      <c r="BP73" s="66"/>
      <c r="BQ73" s="75"/>
    </row>
    <row customHeight="true" ht="13.333333333333332" r="74">
      <c r="A74" s="50">
        <v>46063</v>
      </c>
      <c r="B74" s="51" t="s">
        <v>75</v>
      </c>
      <c r="C74" s="68"/>
      <c r="D74" s="69">
        <v>54.99</v>
      </c>
      <c r="E74" s="70"/>
      <c r="F74" s="70">
        <v>0</v>
      </c>
      <c r="G74" s="70">
        <v>0</v>
      </c>
      <c r="H74" s="71">
        <v>33.43</v>
      </c>
      <c r="I74" s="70" t="s">
        <v>73</v>
      </c>
      <c r="J74" s="72" t="s">
        <v>73</v>
      </c>
      <c r="K74" s="69">
        <f>'德国ERP数据'!BC273</f>
      </c>
      <c r="L74" s="69">
        <f>'德国ERP数据'!BA273</f>
      </c>
      <c r="M74" s="69">
        <f t="shared" si="2"/>
      </c>
      <c r="N74" s="70">
        <f t="shared" si="4"/>
      </c>
      <c r="O74" s="73">
        <f t="shared" si="6"/>
      </c>
      <c r="P74" s="73">
        <f t="shared" si="8"/>
      </c>
      <c r="Q74" s="69">
        <f>'德国ERP数据'!R273</f>
      </c>
      <c r="R74" s="69" t="s">
        <v>73</v>
      </c>
      <c r="S74" s="69">
        <f>'德国ERP数据'!Z273</f>
      </c>
      <c r="T74" s="69">
        <v>0</v>
      </c>
      <c r="U74" s="69">
        <v>0</v>
      </c>
      <c r="V74" s="70">
        <v>0</v>
      </c>
      <c r="W74" s="69">
        <v>0</v>
      </c>
      <c r="X74" s="74">
        <f>'德国ERP数据'!Q273</f>
      </c>
      <c r="Y74" s="69" t="s">
        <v>74</v>
      </c>
      <c r="Z74" s="51"/>
      <c r="AA74" s="51"/>
      <c r="AB74" s="51"/>
      <c r="AC74" s="51"/>
      <c r="AD74" s="51"/>
      <c r="AE74" s="51"/>
      <c r="AF74" s="51"/>
      <c r="AG74" s="51"/>
      <c r="AH74" s="58"/>
      <c r="AI74" s="52"/>
      <c r="AJ74" s="51"/>
      <c r="AK74" s="51"/>
      <c r="AL74" s="59"/>
      <c r="AM74" s="51"/>
      <c r="AN74" s="55"/>
      <c r="AO74" s="51"/>
      <c r="AP74" s="60"/>
      <c r="AQ74" s="61"/>
      <c r="AR74" s="53"/>
      <c r="AS74" s="55"/>
      <c r="AT74" s="60"/>
      <c r="AU74" s="53"/>
      <c r="AV74" s="56"/>
      <c r="AW74" s="56"/>
      <c r="AX74" s="62"/>
      <c r="AY74" s="55"/>
      <c r="AZ74" s="63"/>
      <c r="BA74" s="63"/>
      <c r="BB74" s="64"/>
      <c r="BC74" s="55"/>
      <c r="BD74" s="56"/>
      <c r="BE74" s="56"/>
      <c r="BF74" s="56"/>
      <c r="BG74" s="57"/>
      <c r="BH74" s="57"/>
      <c r="BI74" s="51"/>
      <c r="BJ74" s="55"/>
      <c r="BK74" s="51"/>
      <c r="BL74" s="62"/>
      <c r="BM74" s="51"/>
      <c r="BN74" s="51"/>
      <c r="BO74" s="51"/>
      <c r="BP74" s="66"/>
      <c r="BQ74" s="75"/>
    </row>
    <row customHeight="true" ht="13.333333333333332" r="75">
      <c r="A75" s="50">
        <v>46064</v>
      </c>
      <c r="B75" s="51" t="s">
        <v>76</v>
      </c>
      <c r="C75" s="68"/>
      <c r="D75" s="69">
        <v>54.99</v>
      </c>
      <c r="E75" s="70"/>
      <c r="F75" s="70">
        <v>0</v>
      </c>
      <c r="G75" s="70">
        <v>0</v>
      </c>
      <c r="H75" s="71">
        <v>33.43</v>
      </c>
      <c r="I75" s="70" t="s">
        <v>73</v>
      </c>
      <c r="J75" s="72" t="s">
        <v>73</v>
      </c>
      <c r="K75" s="69">
        <f>'德国ERP数据'!BC274</f>
      </c>
      <c r="L75" s="69">
        <f>'德国ERP数据'!BA274</f>
      </c>
      <c r="M75" s="69">
        <f t="shared" si="2"/>
      </c>
      <c r="N75" s="70">
        <f t="shared" si="4"/>
      </c>
      <c r="O75" s="73">
        <f t="shared" si="6"/>
      </c>
      <c r="P75" s="73">
        <f t="shared" si="8"/>
      </c>
      <c r="Q75" s="69">
        <f>'德国ERP数据'!R274</f>
      </c>
      <c r="R75" s="69" t="s">
        <v>73</v>
      </c>
      <c r="S75" s="69">
        <f>'德国ERP数据'!Z274</f>
      </c>
      <c r="T75" s="69">
        <v>0</v>
      </c>
      <c r="U75" s="69">
        <v>0</v>
      </c>
      <c r="V75" s="70">
        <v>0</v>
      </c>
      <c r="W75" s="69">
        <v>0</v>
      </c>
      <c r="X75" s="74">
        <f>'德国ERP数据'!Q274</f>
      </c>
      <c r="Y75" s="69" t="s">
        <v>74</v>
      </c>
      <c r="Z75" s="51"/>
      <c r="AA75" s="51"/>
      <c r="AB75" s="51"/>
      <c r="AC75" s="51"/>
      <c r="AD75" s="51"/>
      <c r="AE75" s="51"/>
      <c r="AF75" s="51"/>
      <c r="AG75" s="51"/>
      <c r="AH75" s="58"/>
      <c r="AI75" s="52"/>
      <c r="AJ75" s="51"/>
      <c r="AK75" s="51"/>
      <c r="AL75" s="59"/>
      <c r="AM75" s="51"/>
      <c r="AN75" s="55"/>
      <c r="AO75" s="51"/>
      <c r="AP75" s="60"/>
      <c r="AQ75" s="61"/>
      <c r="AR75" s="53"/>
      <c r="AS75" s="55"/>
      <c r="AT75" s="60"/>
      <c r="AU75" s="53"/>
      <c r="AV75" s="56"/>
      <c r="AW75" s="56"/>
      <c r="AX75" s="62"/>
      <c r="AY75" s="55"/>
      <c r="AZ75" s="63"/>
      <c r="BA75" s="63"/>
      <c r="BB75" s="64"/>
      <c r="BC75" s="55"/>
      <c r="BD75" s="56"/>
      <c r="BE75" s="56"/>
      <c r="BF75" s="56"/>
      <c r="BG75" s="57"/>
      <c r="BH75" s="57"/>
      <c r="BI75" s="51"/>
      <c r="BJ75" s="55"/>
      <c r="BK75" s="51"/>
      <c r="BL75" s="62"/>
      <c r="BM75" s="51"/>
      <c r="BN75" s="51"/>
      <c r="BO75" s="51"/>
      <c r="BP75" s="66"/>
      <c r="BQ75" s="75"/>
    </row>
    <row customHeight="true" ht="13.333333333333332" r="76">
      <c r="A76" s="50">
        <v>46065</v>
      </c>
      <c r="B76" s="51" t="s">
        <v>77</v>
      </c>
      <c r="C76" s="68"/>
      <c r="D76" s="69">
        <v>54.99</v>
      </c>
      <c r="E76" s="70"/>
      <c r="F76" s="70">
        <v>0</v>
      </c>
      <c r="G76" s="70">
        <v>0</v>
      </c>
      <c r="H76" s="71">
        <v>33.43</v>
      </c>
      <c r="I76" s="70" t="s">
        <v>73</v>
      </c>
      <c r="J76" s="72" t="s">
        <v>73</v>
      </c>
      <c r="K76" s="69">
        <f>'德国ERP数据'!BC275</f>
      </c>
      <c r="L76" s="69">
        <f>'德国ERP数据'!BA275</f>
      </c>
      <c r="M76" s="69">
        <f t="shared" si="2"/>
      </c>
      <c r="N76" s="70">
        <f t="shared" si="4"/>
      </c>
      <c r="O76" s="73">
        <f t="shared" si="6"/>
      </c>
      <c r="P76" s="73">
        <f t="shared" si="8"/>
      </c>
      <c r="Q76" s="69">
        <f>'德国ERP数据'!R275</f>
      </c>
      <c r="R76" s="69" t="s">
        <v>73</v>
      </c>
      <c r="S76" s="69">
        <f>'德国ERP数据'!Z275</f>
      </c>
      <c r="T76" s="69">
        <v>0</v>
      </c>
      <c r="U76" s="69">
        <v>0</v>
      </c>
      <c r="V76" s="70">
        <v>0</v>
      </c>
      <c r="W76" s="69">
        <v>0</v>
      </c>
      <c r="X76" s="74">
        <f>'德国ERP数据'!Q275</f>
      </c>
      <c r="Y76" s="69" t="s">
        <v>74</v>
      </c>
      <c r="Z76" s="51"/>
      <c r="AA76" s="51"/>
      <c r="AB76" s="51"/>
      <c r="AC76" s="51"/>
      <c r="AD76" s="51"/>
      <c r="AE76" s="51"/>
      <c r="AF76" s="51"/>
      <c r="AG76" s="51"/>
      <c r="AH76" s="58"/>
      <c r="AI76" s="52"/>
      <c r="AJ76" s="51"/>
      <c r="AK76" s="51"/>
      <c r="AL76" s="59"/>
      <c r="AM76" s="51"/>
      <c r="AN76" s="55"/>
      <c r="AO76" s="51"/>
      <c r="AP76" s="60"/>
      <c r="AQ76" s="61"/>
      <c r="AR76" s="53"/>
      <c r="AS76" s="55"/>
      <c r="AT76" s="60"/>
      <c r="AU76" s="53"/>
      <c r="AV76" s="56"/>
      <c r="AW76" s="56"/>
      <c r="AX76" s="62"/>
      <c r="AY76" s="55"/>
      <c r="AZ76" s="63"/>
      <c r="BA76" s="63"/>
      <c r="BB76" s="64"/>
      <c r="BC76" s="55"/>
      <c r="BD76" s="56"/>
      <c r="BE76" s="56"/>
      <c r="BF76" s="76"/>
      <c r="BG76" s="77"/>
      <c r="BH76" s="78"/>
      <c r="BI76" s="78"/>
      <c r="BJ76" s="79"/>
      <c r="BK76" s="51"/>
      <c r="BL76" s="62"/>
      <c r="BM76" s="51"/>
      <c r="BN76" s="51"/>
      <c r="BO76" s="51"/>
      <c r="BP76" s="66"/>
      <c r="BQ76" s="75"/>
    </row>
    <row customHeight="true" ht="13.333333333333332" r="77">
      <c r="A77" s="50">
        <v>46066</v>
      </c>
      <c r="B77" s="51" t="s">
        <v>78</v>
      </c>
      <c r="C77" s="68"/>
      <c r="D77" s="69">
        <v>54.99</v>
      </c>
      <c r="E77" s="70"/>
      <c r="F77" s="70">
        <v>0</v>
      </c>
      <c r="G77" s="70">
        <v>0</v>
      </c>
      <c r="H77" s="71">
        <v>33.43</v>
      </c>
      <c r="I77" s="70" t="s">
        <v>73</v>
      </c>
      <c r="J77" s="72" t="s">
        <v>73</v>
      </c>
      <c r="K77" s="69">
        <f>'德国ERP数据'!BC276</f>
      </c>
      <c r="L77" s="69">
        <f>'德国ERP数据'!BA276</f>
      </c>
      <c r="M77" s="69">
        <f t="shared" si="2"/>
      </c>
      <c r="N77" s="70">
        <f t="shared" si="4"/>
      </c>
      <c r="O77" s="73">
        <f t="shared" si="6"/>
      </c>
      <c r="P77" s="73">
        <f t="shared" si="8"/>
      </c>
      <c r="Q77" s="69">
        <f>'德国ERP数据'!R276</f>
      </c>
      <c r="R77" s="69" t="s">
        <v>73</v>
      </c>
      <c r="S77" s="69">
        <f>'德国ERP数据'!Z276</f>
      </c>
      <c r="T77" s="69">
        <v>0</v>
      </c>
      <c r="U77" s="69">
        <v>0</v>
      </c>
      <c r="V77" s="70">
        <v>0</v>
      </c>
      <c r="W77" s="69">
        <v>0</v>
      </c>
      <c r="X77" s="74">
        <f>'德国ERP数据'!Q276</f>
      </c>
      <c r="Y77" s="69" t="s">
        <v>74</v>
      </c>
      <c r="Z77" s="51"/>
      <c r="AA77" s="51"/>
      <c r="AB77" s="51"/>
      <c r="AC77" s="51"/>
      <c r="AD77" s="51"/>
      <c r="AE77" s="51"/>
      <c r="AF77" s="51"/>
      <c r="AG77" s="51"/>
      <c r="AH77" s="58"/>
      <c r="AI77" s="52"/>
      <c r="AJ77" s="51"/>
      <c r="AK77" s="51"/>
      <c r="AL77" s="59"/>
      <c r="AM77" s="51"/>
      <c r="AN77" s="55"/>
      <c r="AO77" s="51"/>
      <c r="AP77" s="60"/>
      <c r="AQ77" s="61"/>
      <c r="AR77" s="53"/>
      <c r="AS77" s="55"/>
      <c r="AT77" s="60"/>
      <c r="AU77" s="53"/>
      <c r="AV77" s="56"/>
      <c r="AW77" s="56"/>
      <c r="AX77" s="62"/>
      <c r="AY77" s="55"/>
      <c r="AZ77" s="63"/>
      <c r="BA77" s="63"/>
      <c r="BB77" s="64"/>
      <c r="BC77" s="55"/>
      <c r="BD77" s="56"/>
      <c r="BE77" s="56"/>
      <c r="BF77" s="76"/>
      <c r="BG77" s="77"/>
      <c r="BH77" s="78"/>
      <c r="BI77" s="78"/>
      <c r="BJ77" s="79"/>
      <c r="BK77" s="51"/>
      <c r="BL77" s="62"/>
      <c r="BM77" s="51"/>
      <c r="BN77" s="51"/>
      <c r="BO77" s="51"/>
      <c r="BP77" s="66"/>
      <c r="BQ77" s="75"/>
    </row>
    <row customHeight="true" ht="13.333333333333332" r="78">
      <c r="A78" s="50">
        <v>46067</v>
      </c>
      <c r="B78" s="51" t="s">
        <v>79</v>
      </c>
      <c r="C78" s="52"/>
      <c r="D78" s="51"/>
      <c r="E78" s="53"/>
      <c r="F78" s="53"/>
      <c r="G78" s="53"/>
      <c r="H78" s="54"/>
      <c r="I78" s="53"/>
      <c r="J78" s="57"/>
      <c r="K78" s="51"/>
      <c r="L78" s="51"/>
      <c r="M78" s="51"/>
      <c r="N78" s="53"/>
      <c r="O78" s="56"/>
      <c r="P78" s="56"/>
      <c r="Q78" s="51"/>
      <c r="R78" s="51"/>
      <c r="S78" s="51"/>
      <c r="T78" s="51"/>
      <c r="U78" s="51"/>
      <c r="V78" s="53"/>
      <c r="W78" s="51"/>
      <c r="X78" s="57"/>
      <c r="Y78" s="51"/>
      <c r="Z78" s="51"/>
      <c r="AA78" s="51"/>
      <c r="AB78" s="51"/>
      <c r="AC78" s="51"/>
      <c r="AD78" s="51"/>
      <c r="AE78" s="51"/>
      <c r="AF78" s="51"/>
      <c r="AG78" s="51"/>
      <c r="AH78" s="58"/>
      <c r="AI78" s="52"/>
      <c r="AJ78" s="51"/>
      <c r="AK78" s="51"/>
      <c r="AL78" s="59"/>
      <c r="AM78" s="51"/>
      <c r="AN78" s="55"/>
      <c r="AO78" s="51"/>
      <c r="AP78" s="60"/>
      <c r="AQ78" s="61"/>
      <c r="AR78" s="53"/>
      <c r="AS78" s="55"/>
      <c r="AT78" s="60"/>
      <c r="AU78" s="53"/>
      <c r="AV78" s="56"/>
      <c r="AW78" s="56"/>
      <c r="AX78" s="62"/>
      <c r="AY78" s="55"/>
      <c r="AZ78" s="63"/>
      <c r="BA78" s="63"/>
      <c r="BB78" s="64"/>
      <c r="BC78" s="55"/>
      <c r="BD78" s="56"/>
      <c r="BE78" s="56"/>
      <c r="BF78" s="76"/>
      <c r="BG78" s="77"/>
      <c r="BH78" s="78"/>
      <c r="BI78" s="78"/>
      <c r="BJ78" s="79"/>
      <c r="BK78" s="51"/>
      <c r="BL78" s="62"/>
      <c r="BM78" s="51"/>
      <c r="BN78" s="51"/>
      <c r="BO78" s="51"/>
      <c r="BP78" s="66"/>
      <c r="BQ78" s="75"/>
    </row>
    <row customHeight="true" ht="13.333333333333332" r="79">
      <c r="A79" s="50">
        <v>46068</v>
      </c>
      <c r="B79" s="51" t="s">
        <v>80</v>
      </c>
      <c r="C79" s="52"/>
      <c r="D79" s="51"/>
      <c r="E79" s="53"/>
      <c r="F79" s="53"/>
      <c r="G79" s="53"/>
      <c r="H79" s="54"/>
      <c r="I79" s="53"/>
      <c r="J79" s="57"/>
      <c r="K79" s="51"/>
      <c r="L79" s="51"/>
      <c r="M79" s="51"/>
      <c r="N79" s="53"/>
      <c r="O79" s="56"/>
      <c r="P79" s="56"/>
      <c r="Q79" s="51"/>
      <c r="R79" s="51"/>
      <c r="S79" s="51"/>
      <c r="T79" s="51"/>
      <c r="U79" s="51"/>
      <c r="V79" s="53"/>
      <c r="W79" s="51"/>
      <c r="X79" s="57"/>
      <c r="Y79" s="51"/>
      <c r="Z79" s="51"/>
      <c r="AA79" s="51"/>
      <c r="AB79" s="51"/>
      <c r="AC79" s="51"/>
      <c r="AD79" s="51"/>
      <c r="AE79" s="51"/>
      <c r="AF79" s="51"/>
      <c r="AG79" s="51"/>
      <c r="AH79" s="58"/>
      <c r="AI79" s="52"/>
      <c r="AJ79" s="51"/>
      <c r="AK79" s="51"/>
      <c r="AL79" s="59"/>
      <c r="AM79" s="51"/>
      <c r="AN79" s="55"/>
      <c r="AO79" s="51"/>
      <c r="AP79" s="60"/>
      <c r="AQ79" s="61"/>
      <c r="AR79" s="53"/>
      <c r="AS79" s="55"/>
      <c r="AT79" s="60"/>
      <c r="AU79" s="53"/>
      <c r="AV79" s="56"/>
      <c r="AW79" s="56"/>
      <c r="AX79" s="62"/>
      <c r="AY79" s="55"/>
      <c r="AZ79" s="63"/>
      <c r="BA79" s="63"/>
      <c r="BB79" s="64"/>
      <c r="BC79" s="55"/>
      <c r="BD79" s="56"/>
      <c r="BE79" s="56"/>
      <c r="BF79" s="76"/>
      <c r="BG79" s="77"/>
      <c r="BH79" s="78"/>
      <c r="BI79" s="78"/>
      <c r="BJ79" s="79"/>
      <c r="BK79" s="51"/>
      <c r="BL79" s="62"/>
      <c r="BM79" s="51"/>
      <c r="BN79" s="51"/>
      <c r="BO79" s="51"/>
      <c r="BP79" s="66"/>
      <c r="BQ79" s="75"/>
    </row>
    <row customHeight="true" ht="13.333333333333332" r="80">
      <c r="A80" s="50">
        <v>46069</v>
      </c>
      <c r="B80" s="51" t="s">
        <v>71</v>
      </c>
      <c r="C80" s="52"/>
      <c r="D80" s="51"/>
      <c r="E80" s="53"/>
      <c r="F80" s="53"/>
      <c r="G80" s="53"/>
      <c r="H80" s="54"/>
      <c r="I80" s="53"/>
      <c r="J80" s="57"/>
      <c r="K80" s="51"/>
      <c r="L80" s="51"/>
      <c r="M80" s="51"/>
      <c r="N80" s="53"/>
      <c r="O80" s="56"/>
      <c r="P80" s="56"/>
      <c r="Q80" s="51"/>
      <c r="R80" s="51"/>
      <c r="S80" s="51"/>
      <c r="T80" s="51"/>
      <c r="U80" s="51"/>
      <c r="V80" s="53"/>
      <c r="W80" s="51"/>
      <c r="X80" s="57"/>
      <c r="Y80" s="51"/>
      <c r="Z80" s="51"/>
      <c r="AA80" s="51"/>
      <c r="AB80" s="51"/>
      <c r="AC80" s="51"/>
      <c r="AD80" s="51"/>
      <c r="AE80" s="51"/>
      <c r="AF80" s="51"/>
      <c r="AG80" s="51"/>
      <c r="AH80" s="58"/>
      <c r="AI80" s="52"/>
      <c r="AJ80" s="51"/>
      <c r="AK80" s="51"/>
      <c r="AL80" s="59"/>
      <c r="AM80" s="51"/>
      <c r="AN80" s="55"/>
      <c r="AO80" s="51"/>
      <c r="AP80" s="60"/>
      <c r="AQ80" s="61"/>
      <c r="AR80" s="53"/>
      <c r="AS80" s="55"/>
      <c r="AT80" s="60"/>
      <c r="AU80" s="53"/>
      <c r="AV80" s="56"/>
      <c r="AW80" s="56"/>
      <c r="AX80" s="62"/>
      <c r="AY80" s="55"/>
      <c r="AZ80" s="63"/>
      <c r="BA80" s="63"/>
      <c r="BB80" s="64"/>
      <c r="BC80" s="55"/>
      <c r="BD80" s="56"/>
      <c r="BE80" s="56"/>
      <c r="BF80" s="76"/>
      <c r="BG80" s="77"/>
      <c r="BH80" s="78"/>
      <c r="BI80" s="78"/>
      <c r="BJ80" s="79"/>
      <c r="BK80" s="51"/>
      <c r="BL80" s="62"/>
      <c r="BM80" s="51"/>
      <c r="BN80" s="51"/>
      <c r="BO80" s="51"/>
      <c r="BP80" s="66"/>
      <c r="BQ80" s="75"/>
    </row>
    <row customHeight="true" ht="13.333333333333332" r="81">
      <c r="A81" s="50">
        <v>46070</v>
      </c>
      <c r="B81" s="51" t="s">
        <v>75</v>
      </c>
      <c r="C81" s="52"/>
      <c r="D81" s="51"/>
      <c r="E81" s="53"/>
      <c r="F81" s="53"/>
      <c r="G81" s="53"/>
      <c r="H81" s="54"/>
      <c r="I81" s="53"/>
      <c r="J81" s="57"/>
      <c r="K81" s="51"/>
      <c r="L81" s="51"/>
      <c r="M81" s="51"/>
      <c r="N81" s="53"/>
      <c r="O81" s="56"/>
      <c r="P81" s="56"/>
      <c r="Q81" s="51"/>
      <c r="R81" s="51"/>
      <c r="S81" s="51"/>
      <c r="T81" s="51"/>
      <c r="U81" s="51"/>
      <c r="V81" s="53"/>
      <c r="W81" s="51"/>
      <c r="X81" s="57"/>
      <c r="Y81" s="51"/>
      <c r="Z81" s="51"/>
      <c r="AA81" s="51"/>
      <c r="AB81" s="51"/>
      <c r="AC81" s="51"/>
      <c r="AD81" s="51"/>
      <c r="AE81" s="51"/>
      <c r="AF81" s="51"/>
      <c r="AG81" s="51"/>
      <c r="AH81" s="58"/>
      <c r="AI81" s="52"/>
      <c r="AJ81" s="51"/>
      <c r="AK81" s="51"/>
      <c r="AL81" s="59"/>
      <c r="AM81" s="51"/>
      <c r="AN81" s="55"/>
      <c r="AO81" s="51"/>
      <c r="AP81" s="60"/>
      <c r="AQ81" s="61"/>
      <c r="AR81" s="53"/>
      <c r="AS81" s="55"/>
      <c r="AT81" s="60"/>
      <c r="AU81" s="53"/>
      <c r="AV81" s="56"/>
      <c r="AW81" s="56"/>
      <c r="AX81" s="62"/>
      <c r="AY81" s="55"/>
      <c r="AZ81" s="63"/>
      <c r="BA81" s="63"/>
      <c r="BB81" s="64"/>
      <c r="BC81" s="55"/>
      <c r="BD81" s="56"/>
      <c r="BE81" s="56"/>
      <c r="BF81" s="76"/>
      <c r="BG81" s="77"/>
      <c r="BH81" s="78"/>
      <c r="BI81" s="78"/>
      <c r="BJ81" s="79"/>
      <c r="BK81" s="51"/>
      <c r="BL81" s="62"/>
      <c r="BM81" s="51"/>
      <c r="BN81" s="51"/>
      <c r="BO81" s="51"/>
      <c r="BP81" s="66"/>
      <c r="BQ81" s="75"/>
    </row>
    <row customHeight="true" ht="13.333333333333332" r="82">
      <c r="A82" s="50">
        <v>46071</v>
      </c>
      <c r="B82" s="51" t="s">
        <v>76</v>
      </c>
      <c r="C82" s="52"/>
      <c r="D82" s="51"/>
      <c r="E82" s="53"/>
      <c r="F82" s="53"/>
      <c r="G82" s="53"/>
      <c r="H82" s="54"/>
      <c r="I82" s="53"/>
      <c r="J82" s="57"/>
      <c r="K82" s="51"/>
      <c r="L82" s="51"/>
      <c r="M82" s="51"/>
      <c r="N82" s="53"/>
      <c r="O82" s="56"/>
      <c r="P82" s="56"/>
      <c r="Q82" s="51"/>
      <c r="R82" s="51"/>
      <c r="S82" s="51"/>
      <c r="T82" s="51"/>
      <c r="U82" s="51"/>
      <c r="V82" s="53"/>
      <c r="W82" s="51"/>
      <c r="X82" s="57"/>
      <c r="Y82" s="51"/>
      <c r="Z82" s="51"/>
      <c r="AA82" s="51"/>
      <c r="AB82" s="51"/>
      <c r="AC82" s="51"/>
      <c r="AD82" s="51"/>
      <c r="AE82" s="51"/>
      <c r="AF82" s="51"/>
      <c r="AG82" s="51"/>
      <c r="AH82" s="58"/>
      <c r="AI82" s="52"/>
      <c r="AJ82" s="51"/>
      <c r="AK82" s="51"/>
      <c r="AL82" s="59"/>
      <c r="AM82" s="51"/>
      <c r="AN82" s="55"/>
      <c r="AO82" s="51"/>
      <c r="AP82" s="60"/>
      <c r="AQ82" s="61"/>
      <c r="AR82" s="53"/>
      <c r="AS82" s="55"/>
      <c r="AT82" s="60"/>
      <c r="AU82" s="53"/>
      <c r="AV82" s="56"/>
      <c r="AW82" s="56"/>
      <c r="AX82" s="62"/>
      <c r="AY82" s="55"/>
      <c r="AZ82" s="63"/>
      <c r="BA82" s="63"/>
      <c r="BB82" s="64"/>
      <c r="BC82" s="55"/>
      <c r="BD82" s="56"/>
      <c r="BE82" s="56"/>
      <c r="BF82" s="76"/>
      <c r="BG82" s="77"/>
      <c r="BH82" s="78"/>
      <c r="BI82" s="78"/>
      <c r="BJ82" s="79"/>
      <c r="BK82" s="51"/>
      <c r="BL82" s="62"/>
      <c r="BM82" s="51"/>
      <c r="BN82" s="51"/>
      <c r="BO82" s="51"/>
      <c r="BP82" s="66"/>
      <c r="BQ82" s="75"/>
    </row>
    <row customHeight="true" ht="13.333333333333332" r="83">
      <c r="A83" s="50">
        <v>46072</v>
      </c>
      <c r="B83" s="51" t="s">
        <v>77</v>
      </c>
      <c r="C83" s="52"/>
      <c r="D83" s="51"/>
      <c r="E83" s="53"/>
      <c r="F83" s="53"/>
      <c r="G83" s="53"/>
      <c r="H83" s="54"/>
      <c r="I83" s="53"/>
      <c r="J83" s="57"/>
      <c r="K83" s="51"/>
      <c r="L83" s="51"/>
      <c r="M83" s="51"/>
      <c r="N83" s="53"/>
      <c r="O83" s="56"/>
      <c r="P83" s="56"/>
      <c r="Q83" s="51"/>
      <c r="R83" s="51"/>
      <c r="S83" s="51"/>
      <c r="T83" s="51"/>
      <c r="U83" s="51"/>
      <c r="V83" s="53"/>
      <c r="W83" s="51"/>
      <c r="X83" s="57"/>
      <c r="Y83" s="51"/>
      <c r="Z83" s="51"/>
      <c r="AA83" s="51"/>
      <c r="AB83" s="51"/>
      <c r="AC83" s="51"/>
      <c r="AD83" s="51"/>
      <c r="AE83" s="51"/>
      <c r="AF83" s="51"/>
      <c r="AG83" s="51"/>
      <c r="AH83" s="58"/>
      <c r="AI83" s="52"/>
      <c r="AJ83" s="51"/>
      <c r="AK83" s="51"/>
      <c r="AL83" s="59"/>
      <c r="AM83" s="51"/>
      <c r="AN83" s="55"/>
      <c r="AO83" s="51"/>
      <c r="AP83" s="60"/>
      <c r="AQ83" s="61"/>
      <c r="AR83" s="53"/>
      <c r="AS83" s="55"/>
      <c r="AT83" s="60"/>
      <c r="AU83" s="53"/>
      <c r="AV83" s="56"/>
      <c r="AW83" s="56"/>
      <c r="AX83" s="62"/>
      <c r="AY83" s="55"/>
      <c r="AZ83" s="63"/>
      <c r="BA83" s="63"/>
      <c r="BB83" s="64"/>
      <c r="BC83" s="55"/>
      <c r="BD83" s="56"/>
      <c r="BE83" s="56"/>
      <c r="BF83" s="76"/>
      <c r="BG83" s="77"/>
      <c r="BH83" s="78"/>
      <c r="BI83" s="78"/>
      <c r="BJ83" s="79"/>
      <c r="BK83" s="51"/>
      <c r="BL83" s="62"/>
      <c r="BM83" s="51"/>
      <c r="BN83" s="51"/>
      <c r="BO83" s="51"/>
      <c r="BQ83" s="80"/>
    </row>
    <row customHeight="true" ht="13.333333333333332" r="84">
      <c r="A84" s="50">
        <v>46073</v>
      </c>
      <c r="B84" s="51" t="s">
        <v>78</v>
      </c>
      <c r="C84" s="52"/>
      <c r="D84" s="51"/>
      <c r="E84" s="53"/>
      <c r="F84" s="53"/>
      <c r="G84" s="53"/>
      <c r="H84" s="54"/>
      <c r="I84" s="53"/>
      <c r="J84" s="57"/>
      <c r="K84" s="51"/>
      <c r="L84" s="51"/>
      <c r="M84" s="51"/>
      <c r="N84" s="53"/>
      <c r="O84" s="56"/>
      <c r="P84" s="56"/>
      <c r="Q84" s="51"/>
      <c r="R84" s="51"/>
      <c r="S84" s="51"/>
      <c r="T84" s="51"/>
      <c r="U84" s="51"/>
      <c r="V84" s="53"/>
      <c r="W84" s="51"/>
      <c r="X84" s="57"/>
      <c r="Y84" s="51"/>
      <c r="Z84" s="51"/>
      <c r="AA84" s="51"/>
      <c r="AB84" s="51"/>
      <c r="AC84" s="51"/>
      <c r="AD84" s="51"/>
      <c r="AE84" s="51"/>
      <c r="AF84" s="51"/>
      <c r="AG84" s="51"/>
      <c r="AH84" s="58"/>
      <c r="AI84" s="52"/>
      <c r="AJ84" s="51"/>
      <c r="AK84" s="51"/>
      <c r="AL84" s="59"/>
      <c r="AM84" s="51"/>
      <c r="AN84" s="55"/>
      <c r="AO84" s="51"/>
      <c r="AP84" s="60"/>
      <c r="AQ84" s="61"/>
      <c r="AR84" s="53"/>
      <c r="AS84" s="55"/>
      <c r="AT84" s="60"/>
      <c r="AU84" s="53"/>
      <c r="AV84" s="56"/>
      <c r="AW84" s="56"/>
      <c r="AX84" s="62"/>
      <c r="AY84" s="55"/>
      <c r="AZ84" s="63"/>
      <c r="BA84" s="63"/>
      <c r="BB84" s="64"/>
      <c r="BC84" s="55"/>
      <c r="BD84" s="56"/>
      <c r="BE84" s="56"/>
      <c r="BF84" s="76"/>
      <c r="BG84" s="77"/>
      <c r="BH84" s="78"/>
      <c r="BI84" s="78"/>
      <c r="BJ84" s="79"/>
      <c r="BK84" s="51"/>
      <c r="BL84" s="62"/>
      <c r="BM84" s="51"/>
      <c r="BN84" s="51"/>
      <c r="BO84" s="51"/>
      <c r="BQ84" s="80"/>
    </row>
    <row customHeight="true" ht="13.333333333333332" r="85">
      <c r="A85" s="50">
        <v>46074</v>
      </c>
      <c r="B85" s="51" t="s">
        <v>79</v>
      </c>
      <c r="C85" s="52"/>
      <c r="D85" s="51"/>
      <c r="E85" s="53"/>
      <c r="F85" s="53"/>
      <c r="G85" s="53"/>
      <c r="H85" s="54"/>
      <c r="I85" s="53"/>
      <c r="J85" s="57"/>
      <c r="K85" s="51"/>
      <c r="L85" s="51"/>
      <c r="M85" s="51"/>
      <c r="N85" s="53"/>
      <c r="O85" s="56"/>
      <c r="P85" s="56"/>
      <c r="Q85" s="51"/>
      <c r="R85" s="51"/>
      <c r="S85" s="51"/>
      <c r="T85" s="51"/>
      <c r="U85" s="51"/>
      <c r="V85" s="53"/>
      <c r="W85" s="51"/>
      <c r="X85" s="57"/>
      <c r="Y85" s="51"/>
      <c r="Z85" s="51"/>
      <c r="AA85" s="51"/>
      <c r="AB85" s="51"/>
      <c r="AC85" s="51"/>
      <c r="AD85" s="51"/>
      <c r="AE85" s="51"/>
      <c r="AF85" s="51"/>
      <c r="AG85" s="51"/>
      <c r="AH85" s="58"/>
      <c r="AI85" s="52"/>
      <c r="AJ85" s="51"/>
      <c r="AK85" s="51"/>
      <c r="AL85" s="59"/>
      <c r="AM85" s="51"/>
      <c r="AN85" s="55"/>
      <c r="AO85" s="51"/>
      <c r="AP85" s="60"/>
      <c r="AQ85" s="61"/>
      <c r="AR85" s="53"/>
      <c r="AS85" s="55"/>
      <c r="AT85" s="60"/>
      <c r="AU85" s="53"/>
      <c r="AV85" s="56"/>
      <c r="AW85" s="56"/>
      <c r="AX85" s="62"/>
      <c r="AY85" s="55"/>
      <c r="AZ85" s="63"/>
      <c r="BA85" s="63"/>
      <c r="BB85" s="64"/>
      <c r="BC85" s="55"/>
      <c r="BD85" s="56"/>
      <c r="BE85" s="56"/>
      <c r="BF85" s="76"/>
      <c r="BG85" s="77"/>
      <c r="BH85" s="78"/>
      <c r="BI85" s="78"/>
      <c r="BJ85" s="79"/>
      <c r="BK85" s="51"/>
      <c r="BL85" s="62"/>
      <c r="BM85" s="51"/>
      <c r="BN85" s="51"/>
      <c r="BO85" s="51"/>
      <c r="BQ85" s="80"/>
    </row>
    <row customHeight="true" ht="13.333333333333332" r="86">
      <c r="A86" s="50">
        <v>46075</v>
      </c>
      <c r="B86" s="51" t="s">
        <v>80</v>
      </c>
      <c r="C86" s="52"/>
      <c r="D86" s="51"/>
      <c r="E86" s="53"/>
      <c r="F86" s="53"/>
      <c r="G86" s="53"/>
      <c r="H86" s="54"/>
      <c r="I86" s="53"/>
      <c r="J86" s="57"/>
      <c r="K86" s="51"/>
      <c r="L86" s="51"/>
      <c r="M86" s="51"/>
      <c r="N86" s="53"/>
      <c r="O86" s="56"/>
      <c r="P86" s="56"/>
      <c r="Q86" s="51"/>
      <c r="R86" s="51"/>
      <c r="S86" s="51"/>
      <c r="T86" s="51"/>
      <c r="U86" s="51"/>
      <c r="V86" s="53"/>
      <c r="W86" s="51"/>
      <c r="X86" s="57"/>
      <c r="Y86" s="51"/>
      <c r="Z86" s="51"/>
      <c r="AA86" s="51"/>
      <c r="AB86" s="51"/>
      <c r="AC86" s="51"/>
      <c r="AD86" s="51"/>
      <c r="AE86" s="51"/>
      <c r="AF86" s="51"/>
      <c r="AG86" s="51"/>
      <c r="AH86" s="58"/>
      <c r="AI86" s="52"/>
      <c r="AJ86" s="51"/>
      <c r="AK86" s="51"/>
      <c r="AL86" s="59"/>
      <c r="AM86" s="51"/>
      <c r="AN86" s="55"/>
      <c r="AO86" s="51"/>
      <c r="AP86" s="60"/>
      <c r="AQ86" s="61"/>
      <c r="AR86" s="53"/>
      <c r="AS86" s="55"/>
      <c r="AT86" s="60"/>
      <c r="AU86" s="53"/>
      <c r="AV86" s="56"/>
      <c r="AW86" s="56"/>
      <c r="AX86" s="62"/>
      <c r="AY86" s="55"/>
      <c r="AZ86" s="63"/>
      <c r="BA86" s="63"/>
      <c r="BB86" s="64"/>
      <c r="BC86" s="55"/>
      <c r="BD86" s="56"/>
      <c r="BE86" s="56"/>
      <c r="BF86" s="76"/>
      <c r="BG86" s="77"/>
      <c r="BH86" s="78"/>
      <c r="BI86" s="78"/>
      <c r="BJ86" s="79"/>
      <c r="BK86" s="51"/>
      <c r="BL86" s="62"/>
      <c r="BM86" s="51"/>
      <c r="BN86" s="51"/>
      <c r="BO86" s="51"/>
      <c r="BQ86" s="80"/>
    </row>
    <row customHeight="true" ht="13.333333333333332" r="87">
      <c r="A87" s="50">
        <v>46076</v>
      </c>
      <c r="B87" s="51" t="s">
        <v>71</v>
      </c>
      <c r="C87" s="52"/>
      <c r="D87" s="51"/>
      <c r="E87" s="53"/>
      <c r="F87" s="53"/>
      <c r="G87" s="53"/>
      <c r="H87" s="54"/>
      <c r="I87" s="53"/>
      <c r="J87" s="57"/>
      <c r="K87" s="51"/>
      <c r="L87" s="51"/>
      <c r="M87" s="51"/>
      <c r="N87" s="53"/>
      <c r="O87" s="56"/>
      <c r="P87" s="56"/>
      <c r="Q87" s="51"/>
      <c r="R87" s="51"/>
      <c r="S87" s="51"/>
      <c r="T87" s="51"/>
      <c r="U87" s="51"/>
      <c r="V87" s="53"/>
      <c r="W87" s="51"/>
      <c r="X87" s="57"/>
      <c r="Y87" s="51"/>
      <c r="Z87" s="51"/>
      <c r="AA87" s="51"/>
      <c r="AB87" s="51"/>
      <c r="AC87" s="51"/>
      <c r="AD87" s="51"/>
      <c r="AE87" s="51"/>
      <c r="AF87" s="51"/>
      <c r="AG87" s="51"/>
      <c r="AH87" s="58"/>
      <c r="AI87" s="52"/>
      <c r="AJ87" s="51"/>
      <c r="AK87" s="51"/>
      <c r="AL87" s="59"/>
      <c r="AM87" s="51"/>
      <c r="AN87" s="55"/>
      <c r="AO87" s="51"/>
      <c r="AP87" s="60"/>
      <c r="AQ87" s="61"/>
      <c r="AR87" s="53"/>
      <c r="AS87" s="55"/>
      <c r="AT87" s="60"/>
      <c r="AU87" s="53"/>
      <c r="AV87" s="56"/>
      <c r="AW87" s="56"/>
      <c r="AX87" s="62"/>
      <c r="AY87" s="55"/>
      <c r="AZ87" s="63"/>
      <c r="BA87" s="63"/>
      <c r="BB87" s="64"/>
      <c r="BC87" s="55"/>
      <c r="BD87" s="56"/>
      <c r="BE87" s="56"/>
      <c r="BF87" s="76"/>
      <c r="BG87" s="77"/>
      <c r="BH87" s="78"/>
      <c r="BI87" s="78"/>
      <c r="BJ87" s="79"/>
      <c r="BK87" s="51"/>
      <c r="BL87" s="62"/>
      <c r="BM87" s="51"/>
      <c r="BN87" s="51"/>
      <c r="BO87" s="51"/>
      <c r="BQ87" s="80"/>
    </row>
    <row customHeight="true" ht="13.333333333333332" r="88">
      <c r="A88" s="50">
        <v>46077</v>
      </c>
      <c r="B88" s="51" t="s">
        <v>75</v>
      </c>
      <c r="C88" s="52"/>
      <c r="D88" s="51"/>
      <c r="E88" s="53"/>
      <c r="F88" s="53"/>
      <c r="G88" s="53"/>
      <c r="H88" s="54"/>
      <c r="I88" s="53"/>
      <c r="J88" s="57"/>
      <c r="K88" s="51"/>
      <c r="L88" s="51"/>
      <c r="M88" s="51"/>
      <c r="N88" s="53"/>
      <c r="O88" s="56"/>
      <c r="P88" s="56"/>
      <c r="Q88" s="51"/>
      <c r="R88" s="51"/>
      <c r="S88" s="51"/>
      <c r="T88" s="51"/>
      <c r="U88" s="51"/>
      <c r="V88" s="53"/>
      <c r="W88" s="51"/>
      <c r="X88" s="57"/>
      <c r="Y88" s="51"/>
      <c r="Z88" s="51"/>
      <c r="AA88" s="51"/>
      <c r="AB88" s="51"/>
      <c r="AC88" s="51"/>
      <c r="AD88" s="51"/>
      <c r="AE88" s="51"/>
      <c r="AF88" s="51"/>
      <c r="AG88" s="51"/>
      <c r="AH88" s="58"/>
      <c r="AI88" s="52"/>
      <c r="AJ88" s="51"/>
      <c r="AK88" s="51"/>
      <c r="AL88" s="59"/>
      <c r="AM88" s="51"/>
      <c r="AN88" s="55"/>
      <c r="AO88" s="51"/>
      <c r="AP88" s="60"/>
      <c r="AQ88" s="61"/>
      <c r="AR88" s="53"/>
      <c r="AS88" s="55"/>
      <c r="AT88" s="60"/>
      <c r="AU88" s="53"/>
      <c r="AV88" s="56"/>
      <c r="AW88" s="56"/>
      <c r="AX88" s="62"/>
      <c r="AY88" s="55"/>
      <c r="AZ88" s="63"/>
      <c r="BA88" s="63"/>
      <c r="BB88" s="64"/>
      <c r="BC88" s="55"/>
      <c r="BD88" s="56"/>
      <c r="BE88" s="56"/>
      <c r="BF88" s="76"/>
      <c r="BG88" s="77"/>
      <c r="BH88" s="78"/>
      <c r="BI88" s="78"/>
      <c r="BJ88" s="79"/>
      <c r="BK88" s="51"/>
      <c r="BL88" s="62"/>
      <c r="BM88" s="51"/>
      <c r="BN88" s="51"/>
      <c r="BO88" s="51"/>
      <c r="BQ88" s="80"/>
    </row>
    <row customHeight="true" ht="13.333333333333332" r="89">
      <c r="A89" s="50">
        <v>46078</v>
      </c>
      <c r="B89" s="51" t="s">
        <v>76</v>
      </c>
      <c r="C89" s="52"/>
      <c r="D89" s="51"/>
      <c r="E89" s="53"/>
      <c r="F89" s="53"/>
      <c r="G89" s="53"/>
      <c r="H89" s="54"/>
      <c r="I89" s="53"/>
      <c r="J89" s="57"/>
      <c r="K89" s="51"/>
      <c r="L89" s="51"/>
      <c r="M89" s="51"/>
      <c r="N89" s="53"/>
      <c r="O89" s="56"/>
      <c r="P89" s="56"/>
      <c r="Q89" s="51"/>
      <c r="R89" s="51"/>
      <c r="S89" s="51"/>
      <c r="T89" s="51"/>
      <c r="U89" s="51"/>
      <c r="V89" s="53"/>
      <c r="W89" s="51"/>
      <c r="X89" s="57"/>
      <c r="Y89" s="51"/>
      <c r="Z89" s="51"/>
      <c r="AA89" s="51"/>
      <c r="AB89" s="51"/>
      <c r="AC89" s="51"/>
      <c r="AD89" s="51"/>
      <c r="AE89" s="51"/>
      <c r="AF89" s="51"/>
      <c r="AG89" s="51"/>
      <c r="AH89" s="58"/>
      <c r="AI89" s="52"/>
      <c r="AJ89" s="51"/>
      <c r="AK89" s="51"/>
      <c r="AL89" s="59"/>
      <c r="AM89" s="51"/>
      <c r="AN89" s="55"/>
      <c r="AO89" s="51"/>
      <c r="AP89" s="60"/>
      <c r="AQ89" s="61"/>
      <c r="AR89" s="53"/>
      <c r="AS89" s="55"/>
      <c r="AT89" s="60"/>
      <c r="AU89" s="53"/>
      <c r="AV89" s="56"/>
      <c r="AW89" s="56"/>
      <c r="AX89" s="62"/>
      <c r="AY89" s="55"/>
      <c r="AZ89" s="63"/>
      <c r="BA89" s="63"/>
      <c r="BB89" s="64"/>
      <c r="BC89" s="55"/>
      <c r="BD89" s="56"/>
      <c r="BE89" s="56"/>
      <c r="BF89" s="76"/>
      <c r="BG89" s="77"/>
      <c r="BH89" s="78"/>
      <c r="BI89" s="78"/>
      <c r="BJ89" s="79"/>
      <c r="BK89" s="51"/>
      <c r="BL89" s="62"/>
      <c r="BM89" s="51"/>
      <c r="BN89" s="51"/>
      <c r="BO89" s="51"/>
      <c r="BQ89" s="80"/>
    </row>
    <row customHeight="true" ht="13.333333333333332" r="90">
      <c r="A90" s="50">
        <v>46079</v>
      </c>
      <c r="B90" s="51" t="s">
        <v>77</v>
      </c>
      <c r="C90" s="52"/>
      <c r="D90" s="51"/>
      <c r="E90" s="53"/>
      <c r="F90" s="53"/>
      <c r="G90" s="53"/>
      <c r="H90" s="54"/>
      <c r="I90" s="53"/>
      <c r="J90" s="57"/>
      <c r="K90" s="51"/>
      <c r="L90" s="51"/>
      <c r="M90" s="51"/>
      <c r="N90" s="53"/>
      <c r="O90" s="56"/>
      <c r="P90" s="56"/>
      <c r="Q90" s="51"/>
      <c r="R90" s="51"/>
      <c r="S90" s="51"/>
      <c r="T90" s="51"/>
      <c r="U90" s="51"/>
      <c r="V90" s="53"/>
      <c r="W90" s="51"/>
      <c r="X90" s="57"/>
      <c r="Y90" s="51"/>
      <c r="Z90" s="51"/>
      <c r="AA90" s="51"/>
      <c r="AB90" s="51"/>
      <c r="AC90" s="51"/>
      <c r="AD90" s="51"/>
      <c r="AE90" s="51"/>
      <c r="AF90" s="51"/>
      <c r="AG90" s="51"/>
      <c r="AH90" s="58"/>
      <c r="AI90" s="52"/>
      <c r="AJ90" s="51"/>
      <c r="AK90" s="51"/>
      <c r="AL90" s="59"/>
      <c r="AM90" s="51"/>
      <c r="AN90" s="55"/>
      <c r="AO90" s="51"/>
      <c r="AP90" s="60"/>
      <c r="AQ90" s="61"/>
      <c r="AR90" s="53"/>
      <c r="AS90" s="55"/>
      <c r="AT90" s="60"/>
      <c r="AU90" s="53"/>
      <c r="AV90" s="56"/>
      <c r="AW90" s="56"/>
      <c r="AX90" s="62"/>
      <c r="AY90" s="55"/>
      <c r="AZ90" s="63"/>
      <c r="BA90" s="63"/>
      <c r="BB90" s="64"/>
      <c r="BC90" s="55"/>
      <c r="BD90" s="56"/>
      <c r="BE90" s="56"/>
      <c r="BF90" s="76"/>
      <c r="BG90" s="77"/>
      <c r="BH90" s="78"/>
      <c r="BI90" s="78"/>
      <c r="BJ90" s="79"/>
      <c r="BK90" s="51"/>
      <c r="BL90" s="62"/>
      <c r="BM90" s="51"/>
      <c r="BN90" s="51"/>
      <c r="BO90" s="51"/>
      <c r="BQ90" s="80"/>
    </row>
    <row customHeight="true" ht="13.333333333333332" r="91">
      <c r="A91" s="50">
        <v>46080</v>
      </c>
      <c r="B91" s="51" t="s">
        <v>78</v>
      </c>
      <c r="C91" s="52"/>
      <c r="D91" s="51"/>
      <c r="E91" s="53"/>
      <c r="F91" s="53"/>
      <c r="G91" s="53"/>
      <c r="H91" s="54"/>
      <c r="I91" s="53"/>
      <c r="J91" s="57"/>
      <c r="K91" s="51"/>
      <c r="L91" s="51"/>
      <c r="M91" s="51"/>
      <c r="N91" s="53"/>
      <c r="O91" s="56"/>
      <c r="P91" s="56"/>
      <c r="Q91" s="51"/>
      <c r="R91" s="51"/>
      <c r="S91" s="51"/>
      <c r="T91" s="51"/>
      <c r="U91" s="51"/>
      <c r="V91" s="53"/>
      <c r="W91" s="51"/>
      <c r="X91" s="57"/>
      <c r="Y91" s="51"/>
      <c r="Z91" s="51"/>
      <c r="AA91" s="51"/>
      <c r="AB91" s="51"/>
      <c r="AC91" s="51"/>
      <c r="AD91" s="51"/>
      <c r="AE91" s="51"/>
      <c r="AF91" s="51"/>
      <c r="AG91" s="51"/>
      <c r="AH91" s="58"/>
      <c r="AI91" s="52"/>
      <c r="AJ91" s="51"/>
      <c r="AK91" s="51"/>
      <c r="AL91" s="59"/>
      <c r="AM91" s="51"/>
      <c r="AN91" s="55"/>
      <c r="AO91" s="51"/>
      <c r="AP91" s="60"/>
      <c r="AQ91" s="61"/>
      <c r="AR91" s="53"/>
      <c r="AS91" s="55"/>
      <c r="AT91" s="60"/>
      <c r="AU91" s="53"/>
      <c r="AV91" s="56"/>
      <c r="AW91" s="56"/>
      <c r="AX91" s="62"/>
      <c r="AY91" s="55"/>
      <c r="AZ91" s="63"/>
      <c r="BA91" s="63"/>
      <c r="BB91" s="64"/>
      <c r="BC91" s="55"/>
      <c r="BD91" s="56"/>
      <c r="BE91" s="56"/>
      <c r="BF91" s="76"/>
      <c r="BG91" s="77"/>
      <c r="BH91" s="78"/>
      <c r="BI91" s="78"/>
      <c r="BJ91" s="79"/>
      <c r="BK91" s="51"/>
      <c r="BL91" s="62"/>
      <c r="BM91" s="51"/>
      <c r="BN91" s="51"/>
      <c r="BO91" s="51"/>
      <c r="BQ91" s="80"/>
    </row>
    <row customHeight="true" ht="13.333333333333332" r="92">
      <c r="A92" s="50">
        <v>46081</v>
      </c>
      <c r="B92" s="51" t="s">
        <v>79</v>
      </c>
      <c r="C92" s="52"/>
      <c r="D92" s="51"/>
      <c r="E92" s="53"/>
      <c r="F92" s="53"/>
      <c r="G92" s="53"/>
      <c r="H92" s="54"/>
      <c r="I92" s="53"/>
      <c r="J92" s="57"/>
      <c r="K92" s="51"/>
      <c r="L92" s="51"/>
      <c r="M92" s="51"/>
      <c r="N92" s="53"/>
      <c r="O92" s="56"/>
      <c r="P92" s="56"/>
      <c r="Q92" s="51"/>
      <c r="R92" s="51"/>
      <c r="S92" s="51"/>
      <c r="T92" s="51"/>
      <c r="U92" s="51"/>
      <c r="V92" s="53"/>
      <c r="W92" s="51"/>
      <c r="X92" s="57"/>
      <c r="Y92" s="51"/>
      <c r="Z92" s="51"/>
      <c r="AA92" s="51"/>
      <c r="AB92" s="51"/>
      <c r="AC92" s="51"/>
      <c r="AD92" s="51"/>
      <c r="AE92" s="51"/>
      <c r="AF92" s="51"/>
      <c r="AG92" s="51"/>
      <c r="AH92" s="58"/>
      <c r="AI92" s="52"/>
      <c r="AJ92" s="51"/>
      <c r="AK92" s="51"/>
      <c r="AL92" s="59"/>
      <c r="AM92" s="51"/>
      <c r="AN92" s="55"/>
      <c r="AO92" s="51"/>
      <c r="AP92" s="60"/>
      <c r="AQ92" s="61"/>
      <c r="AR92" s="53"/>
      <c r="AS92" s="55"/>
      <c r="AT92" s="60"/>
      <c r="AU92" s="53"/>
      <c r="AV92" s="56"/>
      <c r="AW92" s="56"/>
      <c r="AX92" s="62"/>
      <c r="AY92" s="55"/>
      <c r="AZ92" s="63"/>
      <c r="BA92" s="63"/>
      <c r="BB92" s="64"/>
      <c r="BC92" s="55"/>
      <c r="BD92" s="56"/>
      <c r="BE92" s="56"/>
      <c r="BF92" s="76"/>
      <c r="BG92" s="77"/>
      <c r="BH92" s="78"/>
      <c r="BI92" s="78"/>
      <c r="BJ92" s="79"/>
      <c r="BK92" s="51"/>
      <c r="BL92" s="62"/>
      <c r="BM92" s="51"/>
      <c r="BN92" s="51"/>
      <c r="BO92" s="51"/>
      <c r="BQ92" s="80"/>
    </row>
    <row customHeight="true" ht="13.333333333333332" r="93">
      <c r="A93" s="50">
        <v>46082</v>
      </c>
      <c r="B93" s="51" t="s">
        <v>80</v>
      </c>
      <c r="C93" s="52"/>
      <c r="D93" s="51"/>
      <c r="E93" s="53"/>
      <c r="F93" s="53"/>
      <c r="G93" s="53"/>
      <c r="H93" s="54"/>
      <c r="I93" s="53"/>
      <c r="J93" s="57"/>
      <c r="K93" s="51"/>
      <c r="L93" s="51"/>
      <c r="M93" s="51"/>
      <c r="N93" s="53"/>
      <c r="O93" s="56"/>
      <c r="P93" s="56"/>
      <c r="Q93" s="51"/>
      <c r="R93" s="51"/>
      <c r="S93" s="51"/>
      <c r="T93" s="51"/>
      <c r="U93" s="51"/>
      <c r="V93" s="53"/>
      <c r="W93" s="51"/>
      <c r="X93" s="57"/>
      <c r="Y93" s="51"/>
      <c r="Z93" s="51"/>
      <c r="AA93" s="51"/>
      <c r="AB93" s="51"/>
      <c r="AC93" s="51"/>
      <c r="AD93" s="51"/>
      <c r="AE93" s="51"/>
      <c r="AF93" s="51"/>
      <c r="AG93" s="51"/>
      <c r="AH93" s="58"/>
      <c r="AI93" s="52"/>
      <c r="AJ93" s="51"/>
      <c r="AK93" s="51"/>
      <c r="AL93" s="59"/>
      <c r="AM93" s="51"/>
      <c r="AN93" s="55"/>
      <c r="AO93" s="51"/>
      <c r="AP93" s="60"/>
      <c r="AQ93" s="61"/>
      <c r="AR93" s="53"/>
      <c r="AS93" s="55"/>
      <c r="AT93" s="60"/>
      <c r="AU93" s="53"/>
      <c r="AV93" s="56"/>
      <c r="AW93" s="56"/>
      <c r="AX93" s="62"/>
      <c r="AY93" s="55"/>
      <c r="AZ93" s="63"/>
      <c r="BA93" s="63"/>
      <c r="BB93" s="64"/>
      <c r="BC93" s="55"/>
      <c r="BD93" s="56"/>
      <c r="BE93" s="56"/>
      <c r="BF93" s="76"/>
      <c r="BG93" s="77"/>
      <c r="BH93" s="78"/>
      <c r="BI93" s="78"/>
      <c r="BJ93" s="79"/>
      <c r="BK93" s="51"/>
      <c r="BL93" s="62"/>
      <c r="BM93" s="51"/>
      <c r="BN93" s="51"/>
      <c r="BO93" s="51"/>
      <c r="BQ93" s="80"/>
    </row>
    <row customHeight="true" ht="13.333333333333332" r="94">
      <c r="A94" s="50">
        <v>46083</v>
      </c>
      <c r="B94" s="51" t="s">
        <v>71</v>
      </c>
      <c r="C94" s="52"/>
      <c r="D94" s="51"/>
      <c r="E94" s="53"/>
      <c r="F94" s="53"/>
      <c r="G94" s="53"/>
      <c r="H94" s="54"/>
      <c r="I94" s="53"/>
      <c r="J94" s="57"/>
      <c r="K94" s="51"/>
      <c r="L94" s="51"/>
      <c r="M94" s="51"/>
      <c r="N94" s="53"/>
      <c r="O94" s="56"/>
      <c r="P94" s="56"/>
      <c r="Q94" s="51"/>
      <c r="R94" s="51"/>
      <c r="S94" s="51"/>
      <c r="T94" s="51"/>
      <c r="U94" s="51"/>
      <c r="V94" s="53"/>
      <c r="W94" s="51"/>
      <c r="X94" s="57"/>
      <c r="Y94" s="51"/>
      <c r="Z94" s="51"/>
      <c r="AA94" s="51"/>
      <c r="AB94" s="51"/>
      <c r="AC94" s="51"/>
      <c r="AD94" s="51"/>
      <c r="AE94" s="51"/>
      <c r="AF94" s="51"/>
      <c r="AG94" s="51"/>
      <c r="AH94" s="58"/>
      <c r="AI94" s="52"/>
      <c r="AJ94" s="51"/>
      <c r="AK94" s="51"/>
      <c r="AL94" s="59"/>
      <c r="AM94" s="51"/>
      <c r="AN94" s="55"/>
      <c r="AO94" s="51"/>
      <c r="AP94" s="60"/>
      <c r="AQ94" s="61"/>
      <c r="AR94" s="53"/>
      <c r="AS94" s="55"/>
      <c r="AT94" s="60"/>
      <c r="AU94" s="53"/>
      <c r="AV94" s="56"/>
      <c r="AW94" s="56"/>
      <c r="AX94" s="62"/>
      <c r="AY94" s="55"/>
      <c r="AZ94" s="63"/>
      <c r="BA94" s="63"/>
      <c r="BB94" s="64"/>
      <c r="BC94" s="55"/>
      <c r="BD94" s="56"/>
      <c r="BE94" s="56"/>
      <c r="BF94" s="76"/>
      <c r="BG94" s="77"/>
      <c r="BH94" s="78"/>
      <c r="BI94" s="78"/>
      <c r="BJ94" s="79"/>
      <c r="BK94" s="51"/>
      <c r="BL94" s="62"/>
      <c r="BM94" s="51"/>
      <c r="BN94" s="51"/>
      <c r="BO94" s="51"/>
      <c r="BQ94" s="80"/>
    </row>
    <row customHeight="true" ht="13.333333333333332" r="95">
      <c r="A95" s="50">
        <v>46084</v>
      </c>
      <c r="B95" s="51" t="s">
        <v>75</v>
      </c>
      <c r="C95" s="52"/>
      <c r="D95" s="51"/>
      <c r="E95" s="53"/>
      <c r="F95" s="53"/>
      <c r="G95" s="53"/>
      <c r="H95" s="54"/>
      <c r="I95" s="53"/>
      <c r="J95" s="57"/>
      <c r="K95" s="51"/>
      <c r="L95" s="51"/>
      <c r="M95" s="51"/>
      <c r="N95" s="53"/>
      <c r="O95" s="56"/>
      <c r="P95" s="56"/>
      <c r="Q95" s="51"/>
      <c r="R95" s="51"/>
      <c r="S95" s="51"/>
      <c r="T95" s="51"/>
      <c r="U95" s="51"/>
      <c r="V95" s="53"/>
      <c r="W95" s="51"/>
      <c r="X95" s="57"/>
      <c r="Y95" s="51"/>
      <c r="Z95" s="51"/>
      <c r="AA95" s="51"/>
      <c r="AB95" s="51"/>
      <c r="AC95" s="51"/>
      <c r="AD95" s="51"/>
      <c r="AE95" s="51"/>
      <c r="AF95" s="51"/>
      <c r="AG95" s="51"/>
      <c r="AH95" s="58"/>
      <c r="AI95" s="52"/>
      <c r="AJ95" s="51"/>
      <c r="AK95" s="51"/>
      <c r="AL95" s="59"/>
      <c r="AM95" s="51"/>
      <c r="AN95" s="55"/>
      <c r="AO95" s="51"/>
      <c r="AP95" s="60"/>
      <c r="AQ95" s="61"/>
      <c r="AR95" s="53"/>
      <c r="AS95" s="55"/>
      <c r="AT95" s="60"/>
      <c r="AU95" s="53"/>
      <c r="AV95" s="56"/>
      <c r="AW95" s="56"/>
      <c r="AX95" s="62"/>
      <c r="AY95" s="55"/>
      <c r="AZ95" s="63"/>
      <c r="BA95" s="63"/>
      <c r="BB95" s="64"/>
      <c r="BC95" s="55"/>
      <c r="BD95" s="56"/>
      <c r="BE95" s="56"/>
      <c r="BF95" s="76"/>
      <c r="BG95" s="77"/>
      <c r="BH95" s="78"/>
      <c r="BI95" s="78"/>
      <c r="BJ95" s="79"/>
      <c r="BK95" s="51"/>
      <c r="BL95" s="62"/>
      <c r="BM95" s="51"/>
      <c r="BN95" s="51"/>
      <c r="BO95" s="51"/>
      <c r="BQ95" s="80"/>
    </row>
    <row customHeight="true" ht="13.333333333333332" r="96">
      <c r="A96" s="50">
        <v>46085</v>
      </c>
      <c r="B96" s="51" t="s">
        <v>76</v>
      </c>
      <c r="C96" s="52"/>
      <c r="D96" s="51"/>
      <c r="E96" s="53"/>
      <c r="F96" s="53"/>
      <c r="G96" s="53"/>
      <c r="H96" s="54"/>
      <c r="I96" s="53"/>
      <c r="J96" s="57"/>
      <c r="K96" s="51"/>
      <c r="L96" s="51"/>
      <c r="M96" s="51"/>
      <c r="N96" s="53"/>
      <c r="O96" s="56"/>
      <c r="P96" s="56"/>
      <c r="Q96" s="51"/>
      <c r="R96" s="51"/>
      <c r="S96" s="51"/>
      <c r="T96" s="51"/>
      <c r="U96" s="51"/>
      <c r="V96" s="53"/>
      <c r="W96" s="51"/>
      <c r="X96" s="57"/>
      <c r="Y96" s="51"/>
      <c r="Z96" s="51"/>
      <c r="AA96" s="51"/>
      <c r="AB96" s="51"/>
      <c r="AC96" s="51"/>
      <c r="AD96" s="51"/>
      <c r="AE96" s="51"/>
      <c r="AF96" s="51"/>
      <c r="AG96" s="51"/>
      <c r="AH96" s="58"/>
      <c r="AI96" s="52"/>
      <c r="AJ96" s="51"/>
      <c r="AK96" s="51"/>
      <c r="AL96" s="59"/>
      <c r="AM96" s="51"/>
      <c r="AN96" s="55"/>
      <c r="AO96" s="51"/>
      <c r="AP96" s="60"/>
      <c r="AQ96" s="61"/>
      <c r="AR96" s="53"/>
      <c r="AS96" s="55"/>
      <c r="AT96" s="60"/>
      <c r="AU96" s="53"/>
      <c r="AV96" s="56"/>
      <c r="AW96" s="56"/>
      <c r="AX96" s="62"/>
      <c r="AY96" s="55"/>
      <c r="AZ96" s="63"/>
      <c r="BA96" s="63"/>
      <c r="BB96" s="64"/>
      <c r="BC96" s="55"/>
      <c r="BD96" s="56"/>
      <c r="BE96" s="56"/>
      <c r="BF96" s="76"/>
      <c r="BG96" s="77"/>
      <c r="BH96" s="78"/>
      <c r="BI96" s="78"/>
      <c r="BJ96" s="79"/>
      <c r="BK96" s="51"/>
      <c r="BL96" s="62"/>
      <c r="BM96" s="51"/>
      <c r="BN96" s="51"/>
      <c r="BO96" s="51"/>
      <c r="BQ96" s="80"/>
    </row>
    <row customHeight="true" ht="13.333333333333332" r="97">
      <c r="A97" s="50">
        <v>46086</v>
      </c>
      <c r="B97" s="51" t="s">
        <v>77</v>
      </c>
      <c r="C97" s="52"/>
      <c r="D97" s="51"/>
      <c r="E97" s="53"/>
      <c r="F97" s="53"/>
      <c r="G97" s="53"/>
      <c r="H97" s="54"/>
      <c r="I97" s="53"/>
      <c r="J97" s="57"/>
      <c r="K97" s="51"/>
      <c r="L97" s="51"/>
      <c r="M97" s="51"/>
      <c r="N97" s="53"/>
      <c r="O97" s="56"/>
      <c r="P97" s="56"/>
      <c r="Q97" s="51"/>
      <c r="R97" s="51"/>
      <c r="S97" s="51"/>
      <c r="T97" s="51"/>
      <c r="U97" s="51"/>
      <c r="V97" s="53"/>
      <c r="W97" s="51"/>
      <c r="X97" s="57"/>
      <c r="Y97" s="51"/>
      <c r="Z97" s="51"/>
      <c r="AA97" s="51"/>
      <c r="AB97" s="51"/>
      <c r="AC97" s="51"/>
      <c r="AD97" s="51"/>
      <c r="AE97" s="51"/>
      <c r="AF97" s="51"/>
      <c r="AG97" s="51"/>
      <c r="AH97" s="58"/>
      <c r="AI97" s="52"/>
      <c r="AJ97" s="51"/>
      <c r="AK97" s="51"/>
      <c r="AL97" s="59"/>
      <c r="AM97" s="51"/>
      <c r="AN97" s="55"/>
      <c r="AO97" s="51"/>
      <c r="AP97" s="60"/>
      <c r="AQ97" s="61"/>
      <c r="AR97" s="53"/>
      <c r="AS97" s="55"/>
      <c r="AT97" s="60"/>
      <c r="AU97" s="53"/>
      <c r="AV97" s="56"/>
      <c r="AW97" s="56"/>
      <c r="AX97" s="62"/>
      <c r="AY97" s="55"/>
      <c r="AZ97" s="63"/>
      <c r="BA97" s="63"/>
      <c r="BB97" s="64"/>
      <c r="BC97" s="55"/>
      <c r="BD97" s="56"/>
      <c r="BE97" s="56"/>
      <c r="BF97" s="76"/>
      <c r="BG97" s="77"/>
      <c r="BH97" s="78"/>
      <c r="BI97" s="78"/>
      <c r="BJ97" s="79"/>
      <c r="BK97" s="51"/>
      <c r="BL97" s="62"/>
      <c r="BM97" s="51"/>
      <c r="BN97" s="51"/>
      <c r="BO97" s="51"/>
      <c r="BQ97" s="80"/>
    </row>
    <row customHeight="true" ht="13.333333333333332" r="98">
      <c r="A98" s="50">
        <v>46087</v>
      </c>
      <c r="B98" s="51" t="s">
        <v>78</v>
      </c>
      <c r="C98" s="52"/>
      <c r="D98" s="51"/>
      <c r="E98" s="53"/>
      <c r="F98" s="53"/>
      <c r="G98" s="53"/>
      <c r="H98" s="54"/>
      <c r="I98" s="53"/>
      <c r="J98" s="57"/>
      <c r="K98" s="51"/>
      <c r="L98" s="51"/>
      <c r="M98" s="51"/>
      <c r="N98" s="53"/>
      <c r="O98" s="56"/>
      <c r="P98" s="56"/>
      <c r="Q98" s="51"/>
      <c r="R98" s="51"/>
      <c r="S98" s="51"/>
      <c r="T98" s="51"/>
      <c r="U98" s="51"/>
      <c r="V98" s="53"/>
      <c r="W98" s="51"/>
      <c r="X98" s="57"/>
      <c r="Y98" s="51"/>
      <c r="Z98" s="51"/>
      <c r="AA98" s="51"/>
      <c r="AB98" s="51"/>
      <c r="AC98" s="51"/>
      <c r="AD98" s="51"/>
      <c r="AE98" s="51"/>
      <c r="AF98" s="51"/>
      <c r="AG98" s="51"/>
      <c r="AH98" s="58"/>
      <c r="AI98" s="52"/>
      <c r="AJ98" s="51"/>
      <c r="AK98" s="51"/>
      <c r="AL98" s="59"/>
      <c r="AM98" s="51"/>
      <c r="AN98" s="55"/>
      <c r="AO98" s="51"/>
      <c r="AP98" s="60"/>
      <c r="AQ98" s="61"/>
      <c r="AR98" s="53"/>
      <c r="AS98" s="55"/>
      <c r="AT98" s="60"/>
      <c r="AU98" s="53"/>
      <c r="AV98" s="56"/>
      <c r="AW98" s="56"/>
      <c r="AX98" s="62"/>
      <c r="AY98" s="55"/>
      <c r="AZ98" s="63"/>
      <c r="BA98" s="63"/>
      <c r="BB98" s="64"/>
      <c r="BC98" s="55"/>
      <c r="BD98" s="56"/>
      <c r="BE98" s="56"/>
      <c r="BF98" s="76"/>
      <c r="BG98" s="77"/>
      <c r="BH98" s="78"/>
      <c r="BI98" s="78"/>
      <c r="BJ98" s="79"/>
      <c r="BK98" s="51"/>
      <c r="BL98" s="62"/>
      <c r="BM98" s="51"/>
      <c r="BN98" s="51"/>
      <c r="BO98" s="51"/>
      <c r="BQ98" s="80"/>
    </row>
    <row customHeight="true" ht="13.333333333333332" r="99">
      <c r="A99" s="50">
        <v>46088</v>
      </c>
      <c r="B99" s="51" t="s">
        <v>79</v>
      </c>
      <c r="C99" s="52"/>
      <c r="D99" s="51"/>
      <c r="E99" s="53"/>
      <c r="F99" s="53"/>
      <c r="G99" s="53"/>
      <c r="H99" s="54"/>
      <c r="I99" s="53"/>
      <c r="J99" s="57"/>
      <c r="K99" s="51"/>
      <c r="L99" s="51"/>
      <c r="M99" s="51"/>
      <c r="N99" s="53"/>
      <c r="O99" s="56"/>
      <c r="P99" s="56"/>
      <c r="Q99" s="51"/>
      <c r="R99" s="51"/>
      <c r="S99" s="51"/>
      <c r="T99" s="51"/>
      <c r="U99" s="51"/>
      <c r="V99" s="53"/>
      <c r="W99" s="51"/>
      <c r="X99" s="57"/>
      <c r="Y99" s="51"/>
      <c r="Z99" s="51"/>
      <c r="AA99" s="51"/>
      <c r="AB99" s="51"/>
      <c r="AC99" s="51"/>
      <c r="AD99" s="51"/>
      <c r="AE99" s="51"/>
      <c r="AF99" s="51"/>
      <c r="AG99" s="51"/>
      <c r="AH99" s="58"/>
      <c r="AI99" s="52"/>
      <c r="AJ99" s="51"/>
      <c r="AK99" s="51"/>
      <c r="AL99" s="59"/>
      <c r="AM99" s="51"/>
      <c r="AN99" s="55"/>
      <c r="AO99" s="51"/>
      <c r="AP99" s="60"/>
      <c r="AQ99" s="61"/>
      <c r="AR99" s="53"/>
      <c r="AS99" s="55"/>
      <c r="AT99" s="60"/>
      <c r="AU99" s="53"/>
      <c r="AV99" s="56"/>
      <c r="AW99" s="56"/>
      <c r="AX99" s="62"/>
      <c r="AY99" s="55"/>
      <c r="AZ99" s="63"/>
      <c r="BA99" s="63"/>
      <c r="BB99" s="64"/>
      <c r="BC99" s="55"/>
      <c r="BD99" s="56"/>
      <c r="BE99" s="56"/>
      <c r="BF99" s="76"/>
      <c r="BG99" s="77"/>
      <c r="BH99" s="78"/>
      <c r="BI99" s="78"/>
      <c r="BJ99" s="79"/>
      <c r="BK99" s="51"/>
      <c r="BL99" s="62"/>
      <c r="BM99" s="51"/>
      <c r="BN99" s="51"/>
      <c r="BO99" s="51"/>
      <c r="BQ99" s="80"/>
    </row>
    <row customHeight="true" ht="13.333333333333332" r="100">
      <c r="A100" s="50">
        <v>46089</v>
      </c>
      <c r="B100" s="51" t="s">
        <v>80</v>
      </c>
      <c r="C100" s="52"/>
      <c r="D100" s="51"/>
      <c r="E100" s="53"/>
      <c r="F100" s="53"/>
      <c r="G100" s="53"/>
      <c r="H100" s="54"/>
      <c r="I100" s="53"/>
      <c r="J100" s="57"/>
      <c r="K100" s="51"/>
      <c r="L100" s="51"/>
      <c r="M100" s="51"/>
      <c r="N100" s="53"/>
      <c r="O100" s="56"/>
      <c r="P100" s="56"/>
      <c r="Q100" s="51"/>
      <c r="R100" s="51"/>
      <c r="S100" s="51"/>
      <c r="T100" s="51"/>
      <c r="U100" s="51"/>
      <c r="V100" s="53"/>
      <c r="W100" s="51"/>
      <c r="X100" s="57"/>
      <c r="Y100" s="51"/>
      <c r="Z100" s="51"/>
      <c r="AA100" s="51"/>
      <c r="AB100" s="51"/>
      <c r="AC100" s="51"/>
      <c r="AD100" s="51"/>
      <c r="AE100" s="51"/>
      <c r="AF100" s="51"/>
      <c r="AG100" s="51"/>
      <c r="AH100" s="58"/>
      <c r="AI100" s="52"/>
      <c r="AJ100" s="51"/>
      <c r="AK100" s="51"/>
      <c r="AL100" s="59"/>
      <c r="AM100" s="51"/>
      <c r="AN100" s="55"/>
      <c r="AO100" s="51"/>
      <c r="AP100" s="60"/>
      <c r="AQ100" s="61"/>
      <c r="AR100" s="53"/>
      <c r="AS100" s="55"/>
      <c r="AT100" s="60"/>
      <c r="AU100" s="53"/>
      <c r="AV100" s="56"/>
      <c r="AW100" s="56"/>
      <c r="AX100" s="62"/>
      <c r="AY100" s="55"/>
      <c r="AZ100" s="63"/>
      <c r="BA100" s="63"/>
      <c r="BB100" s="64"/>
      <c r="BC100" s="55"/>
      <c r="BD100" s="56"/>
      <c r="BE100" s="56"/>
      <c r="BF100" s="76"/>
      <c r="BG100" s="77"/>
      <c r="BH100" s="78"/>
      <c r="BI100" s="78"/>
      <c r="BJ100" s="79"/>
      <c r="BK100" s="51"/>
      <c r="BL100" s="62"/>
      <c r="BM100" s="51"/>
      <c r="BN100" s="51"/>
      <c r="BO100" s="51"/>
      <c r="BQ100" s="80"/>
    </row>
    <row customHeight="true" ht="13.333333333333332" r="101">
      <c r="A101" s="50">
        <v>46090</v>
      </c>
      <c r="B101" s="51" t="s">
        <v>71</v>
      </c>
      <c r="C101" s="52"/>
      <c r="D101" s="51"/>
      <c r="E101" s="53"/>
      <c r="F101" s="53"/>
      <c r="G101" s="53"/>
      <c r="H101" s="54"/>
      <c r="I101" s="53"/>
      <c r="J101" s="57"/>
      <c r="K101" s="51"/>
      <c r="L101" s="51"/>
      <c r="M101" s="51"/>
      <c r="N101" s="53"/>
      <c r="O101" s="56"/>
      <c r="P101" s="56"/>
      <c r="Q101" s="51"/>
      <c r="R101" s="51"/>
      <c r="S101" s="51"/>
      <c r="T101" s="51"/>
      <c r="U101" s="51"/>
      <c r="V101" s="53"/>
      <c r="W101" s="51"/>
      <c r="X101" s="57"/>
      <c r="Y101" s="51"/>
      <c r="Z101" s="51"/>
      <c r="AA101" s="51"/>
      <c r="AB101" s="51"/>
      <c r="AC101" s="51"/>
      <c r="AD101" s="51"/>
      <c r="AE101" s="51"/>
      <c r="AF101" s="51"/>
      <c r="AG101" s="51"/>
      <c r="AH101" s="58"/>
      <c r="AI101" s="52"/>
      <c r="AJ101" s="51"/>
      <c r="AK101" s="51"/>
      <c r="AL101" s="59"/>
      <c r="AM101" s="51"/>
      <c r="AN101" s="55"/>
      <c r="AO101" s="51"/>
      <c r="AP101" s="60"/>
      <c r="AQ101" s="61"/>
      <c r="AR101" s="53"/>
      <c r="AS101" s="55"/>
      <c r="AT101" s="60"/>
      <c r="AU101" s="53"/>
      <c r="AV101" s="56"/>
      <c r="AW101" s="56"/>
      <c r="AX101" s="62"/>
      <c r="AY101" s="55"/>
      <c r="AZ101" s="63"/>
      <c r="BA101" s="63"/>
      <c r="BB101" s="64"/>
      <c r="BC101" s="55"/>
      <c r="BD101" s="56"/>
      <c r="BE101" s="56"/>
      <c r="BF101" s="76"/>
      <c r="BG101" s="77"/>
      <c r="BH101" s="78"/>
      <c r="BI101" s="78"/>
      <c r="BJ101" s="79"/>
      <c r="BK101" s="51"/>
      <c r="BL101" s="62"/>
      <c r="BM101" s="51"/>
      <c r="BN101" s="51"/>
      <c r="BO101" s="51"/>
      <c r="BQ101" s="80"/>
    </row>
    <row customHeight="true" ht="13.333333333333332" r="102">
      <c r="A102" s="50">
        <v>46091</v>
      </c>
      <c r="B102" s="51" t="s">
        <v>75</v>
      </c>
      <c r="C102" s="52"/>
      <c r="D102" s="51"/>
      <c r="E102" s="53"/>
      <c r="F102" s="53"/>
      <c r="G102" s="53"/>
      <c r="H102" s="54"/>
      <c r="I102" s="53"/>
      <c r="J102" s="57"/>
      <c r="K102" s="51"/>
      <c r="L102" s="51"/>
      <c r="M102" s="51"/>
      <c r="N102" s="53"/>
      <c r="O102" s="56"/>
      <c r="P102" s="56"/>
      <c r="Q102" s="51"/>
      <c r="R102" s="51"/>
      <c r="S102" s="51"/>
      <c r="T102" s="51"/>
      <c r="U102" s="51"/>
      <c r="V102" s="53"/>
      <c r="W102" s="51"/>
      <c r="X102" s="57"/>
      <c r="Y102" s="51"/>
      <c r="Z102" s="51"/>
      <c r="AA102" s="51"/>
      <c r="AB102" s="51"/>
      <c r="AC102" s="51"/>
      <c r="AD102" s="51"/>
      <c r="AE102" s="51"/>
      <c r="AF102" s="51"/>
      <c r="AG102" s="51"/>
      <c r="AH102" s="58"/>
      <c r="AI102" s="52"/>
      <c r="AJ102" s="51"/>
      <c r="AK102" s="51"/>
      <c r="AL102" s="59"/>
      <c r="AM102" s="51"/>
      <c r="AN102" s="55"/>
      <c r="AO102" s="51"/>
      <c r="AP102" s="60"/>
      <c r="AQ102" s="61"/>
      <c r="AR102" s="53"/>
      <c r="AS102" s="55"/>
      <c r="AT102" s="60"/>
      <c r="AU102" s="53"/>
      <c r="AV102" s="56"/>
      <c r="AW102" s="56"/>
      <c r="AX102" s="62"/>
      <c r="AY102" s="55"/>
      <c r="AZ102" s="63"/>
      <c r="BA102" s="63"/>
      <c r="BB102" s="64"/>
      <c r="BC102" s="55"/>
      <c r="BD102" s="56"/>
      <c r="BE102" s="56"/>
      <c r="BF102" s="76"/>
      <c r="BG102" s="77"/>
      <c r="BH102" s="78"/>
      <c r="BI102" s="78"/>
      <c r="BJ102" s="79"/>
      <c r="BK102" s="51"/>
      <c r="BL102" s="62"/>
      <c r="BM102" s="51"/>
      <c r="BN102" s="51"/>
      <c r="BO102" s="51"/>
      <c r="BQ102" s="80"/>
    </row>
    <row customHeight="true" ht="13.333333333333332" r="103">
      <c r="A103" s="50">
        <v>46092</v>
      </c>
      <c r="B103" s="51" t="s">
        <v>76</v>
      </c>
      <c r="C103" s="52"/>
      <c r="D103" s="51"/>
      <c r="E103" s="53"/>
      <c r="F103" s="53"/>
      <c r="G103" s="53"/>
      <c r="H103" s="54"/>
      <c r="I103" s="53"/>
      <c r="J103" s="57"/>
      <c r="K103" s="51"/>
      <c r="L103" s="51"/>
      <c r="M103" s="51"/>
      <c r="N103" s="53"/>
      <c r="O103" s="56"/>
      <c r="P103" s="56"/>
      <c r="Q103" s="51"/>
      <c r="R103" s="51"/>
      <c r="S103" s="51"/>
      <c r="T103" s="51"/>
      <c r="U103" s="51"/>
      <c r="V103" s="53"/>
      <c r="W103" s="51"/>
      <c r="X103" s="57"/>
      <c r="Y103" s="51"/>
      <c r="Z103" s="51"/>
      <c r="AA103" s="51"/>
      <c r="AB103" s="51"/>
      <c r="AC103" s="51"/>
      <c r="AD103" s="51"/>
      <c r="AE103" s="51"/>
      <c r="AF103" s="51"/>
      <c r="AG103" s="51"/>
      <c r="AH103" s="58"/>
      <c r="AI103" s="52"/>
      <c r="AJ103" s="51"/>
      <c r="AK103" s="51"/>
      <c r="AL103" s="59"/>
      <c r="AM103" s="51"/>
      <c r="AN103" s="55"/>
      <c r="AO103" s="51"/>
      <c r="AP103" s="60"/>
      <c r="AQ103" s="61"/>
      <c r="AR103" s="53"/>
      <c r="AS103" s="55"/>
      <c r="AT103" s="60"/>
      <c r="AU103" s="53"/>
      <c r="AV103" s="56"/>
      <c r="AW103" s="56"/>
      <c r="AX103" s="62"/>
      <c r="AY103" s="55"/>
      <c r="AZ103" s="63"/>
      <c r="BA103" s="63"/>
      <c r="BB103" s="64"/>
      <c r="BC103" s="55"/>
      <c r="BD103" s="56"/>
      <c r="BE103" s="56"/>
      <c r="BF103" s="76"/>
      <c r="BG103" s="77"/>
      <c r="BH103" s="78"/>
      <c r="BI103" s="78"/>
      <c r="BJ103" s="79"/>
      <c r="BK103" s="51"/>
      <c r="BL103" s="62"/>
      <c r="BM103" s="51"/>
      <c r="BN103" s="51"/>
      <c r="BO103" s="51"/>
      <c r="BQ103" s="81"/>
    </row>
    <row customHeight="true" ht="13.333333333333332" r="104">
      <c r="A104" s="50">
        <v>46093</v>
      </c>
      <c r="B104" s="51" t="s">
        <v>77</v>
      </c>
      <c r="C104" s="52"/>
      <c r="D104" s="51"/>
      <c r="E104" s="53"/>
      <c r="F104" s="53"/>
      <c r="G104" s="53"/>
      <c r="H104" s="54"/>
      <c r="I104" s="53"/>
      <c r="J104" s="57"/>
      <c r="K104" s="51"/>
      <c r="L104" s="51"/>
      <c r="M104" s="51"/>
      <c r="N104" s="53"/>
      <c r="O104" s="56"/>
      <c r="P104" s="56"/>
      <c r="Q104" s="51"/>
      <c r="R104" s="51"/>
      <c r="S104" s="51"/>
      <c r="T104" s="51"/>
      <c r="U104" s="51"/>
      <c r="V104" s="53"/>
      <c r="W104" s="51"/>
      <c r="X104" s="57"/>
      <c r="Y104" s="51"/>
      <c r="Z104" s="51"/>
      <c r="AA104" s="51"/>
      <c r="AB104" s="51"/>
      <c r="AC104" s="51"/>
      <c r="AD104" s="51"/>
      <c r="AE104" s="51"/>
      <c r="AF104" s="51"/>
      <c r="AG104" s="51"/>
      <c r="AH104" s="58"/>
      <c r="AI104" s="52"/>
      <c r="AJ104" s="51"/>
      <c r="AK104" s="51"/>
      <c r="AL104" s="59"/>
      <c r="AM104" s="51"/>
      <c r="AN104" s="55"/>
      <c r="AO104" s="51"/>
      <c r="AP104" s="60"/>
      <c r="AQ104" s="61"/>
      <c r="AR104" s="53"/>
      <c r="AS104" s="55"/>
      <c r="AT104" s="60"/>
      <c r="AU104" s="53"/>
      <c r="AV104" s="56"/>
      <c r="AW104" s="56"/>
      <c r="AX104" s="62"/>
      <c r="AY104" s="55"/>
      <c r="AZ104" s="63"/>
      <c r="BA104" s="63"/>
      <c r="BB104" s="64"/>
      <c r="BC104" s="55"/>
      <c r="BD104" s="56"/>
      <c r="BE104" s="56"/>
      <c r="BF104" s="76"/>
      <c r="BG104" s="77"/>
      <c r="BH104" s="78"/>
      <c r="BI104" s="78"/>
      <c r="BJ104" s="79"/>
      <c r="BK104" s="51"/>
      <c r="BL104" s="62"/>
      <c r="BM104" s="51"/>
      <c r="BN104" s="51"/>
      <c r="BO104" s="51"/>
      <c r="BQ104" s="81"/>
    </row>
    <row customHeight="true" ht="13.333333333333332" r="105">
      <c r="A105" s="50">
        <v>46094</v>
      </c>
      <c r="B105" s="51" t="s">
        <v>78</v>
      </c>
      <c r="C105" s="52"/>
      <c r="D105" s="51"/>
      <c r="E105" s="53"/>
      <c r="F105" s="53"/>
      <c r="G105" s="53"/>
      <c r="H105" s="54"/>
      <c r="I105" s="53"/>
      <c r="J105" s="57"/>
      <c r="K105" s="51"/>
      <c r="L105" s="51"/>
      <c r="M105" s="51"/>
      <c r="N105" s="53"/>
      <c r="O105" s="56"/>
      <c r="P105" s="56"/>
      <c r="Q105" s="51"/>
      <c r="R105" s="51"/>
      <c r="S105" s="51"/>
      <c r="T105" s="51"/>
      <c r="U105" s="51"/>
      <c r="V105" s="53"/>
      <c r="W105" s="51"/>
      <c r="X105" s="57"/>
      <c r="Y105" s="51"/>
      <c r="Z105" s="51"/>
      <c r="AA105" s="51"/>
      <c r="AB105" s="51"/>
      <c r="AC105" s="51"/>
      <c r="AD105" s="51"/>
      <c r="AE105" s="51"/>
      <c r="AF105" s="51"/>
      <c r="AG105" s="51"/>
      <c r="AH105" s="58"/>
      <c r="AI105" s="52"/>
      <c r="AJ105" s="51"/>
      <c r="AK105" s="51"/>
      <c r="AL105" s="59"/>
      <c r="AM105" s="51"/>
      <c r="AN105" s="55"/>
      <c r="AO105" s="51"/>
      <c r="AP105" s="60"/>
      <c r="AQ105" s="61"/>
      <c r="AR105" s="53"/>
      <c r="AS105" s="55"/>
      <c r="AT105" s="60"/>
      <c r="AU105" s="53"/>
      <c r="AV105" s="56"/>
      <c r="AW105" s="56"/>
      <c r="AX105" s="62"/>
      <c r="AY105" s="55"/>
      <c r="AZ105" s="63"/>
      <c r="BA105" s="63"/>
      <c r="BB105" s="64"/>
      <c r="BC105" s="55"/>
      <c r="BD105" s="56"/>
      <c r="BE105" s="56"/>
      <c r="BF105" s="76"/>
      <c r="BG105" s="77"/>
      <c r="BH105" s="78"/>
      <c r="BI105" s="78"/>
      <c r="BJ105" s="79"/>
      <c r="BK105" s="51"/>
      <c r="BL105" s="62"/>
      <c r="BM105" s="51"/>
      <c r="BN105" s="51"/>
      <c r="BO105" s="51"/>
      <c r="BQ105" s="81"/>
    </row>
    <row customHeight="true" ht="13.333333333333332" r="106">
      <c r="A106" s="50">
        <v>46095</v>
      </c>
      <c r="B106" s="51" t="s">
        <v>79</v>
      </c>
      <c r="C106" s="52"/>
      <c r="D106" s="51"/>
      <c r="E106" s="53"/>
      <c r="F106" s="53"/>
      <c r="G106" s="53"/>
      <c r="H106" s="54"/>
      <c r="I106" s="53"/>
      <c r="J106" s="57"/>
      <c r="K106" s="51"/>
      <c r="L106" s="51"/>
      <c r="M106" s="51"/>
      <c r="N106" s="53"/>
      <c r="O106" s="56"/>
      <c r="P106" s="56"/>
      <c r="Q106" s="51"/>
      <c r="R106" s="51"/>
      <c r="S106" s="51"/>
      <c r="T106" s="51"/>
      <c r="U106" s="51"/>
      <c r="V106" s="53"/>
      <c r="W106" s="51"/>
      <c r="X106" s="57"/>
      <c r="Y106" s="51"/>
      <c r="Z106" s="51"/>
      <c r="AA106" s="51"/>
      <c r="AB106" s="51"/>
      <c r="AC106" s="51"/>
      <c r="AD106" s="51"/>
      <c r="AE106" s="51"/>
      <c r="AF106" s="51"/>
      <c r="AG106" s="51"/>
      <c r="AH106" s="58"/>
      <c r="AI106" s="52"/>
      <c r="AJ106" s="51"/>
      <c r="AK106" s="51"/>
      <c r="AL106" s="59"/>
      <c r="AM106" s="51"/>
      <c r="AN106" s="55"/>
      <c r="AO106" s="51"/>
      <c r="AP106" s="60"/>
      <c r="AQ106" s="61"/>
      <c r="AR106" s="53"/>
      <c r="AS106" s="55"/>
      <c r="AT106" s="60"/>
      <c r="AU106" s="53"/>
      <c r="AV106" s="56"/>
      <c r="AW106" s="56"/>
      <c r="AX106" s="62"/>
      <c r="AY106" s="55"/>
      <c r="AZ106" s="63"/>
      <c r="BA106" s="63"/>
      <c r="BB106" s="64"/>
      <c r="BC106" s="55"/>
      <c r="BD106" s="56"/>
      <c r="BE106" s="56"/>
      <c r="BF106" s="76"/>
      <c r="BG106" s="77"/>
      <c r="BH106" s="78"/>
      <c r="BI106" s="78"/>
      <c r="BJ106" s="79"/>
      <c r="BK106" s="51"/>
      <c r="BL106" s="62"/>
      <c r="BM106" s="51"/>
      <c r="BN106" s="51"/>
      <c r="BO106" s="51"/>
      <c r="BQ106" s="81"/>
    </row>
    <row customHeight="true" ht="13.333333333333332" r="107">
      <c r="A107" s="50">
        <v>46096</v>
      </c>
      <c r="B107" s="51" t="s">
        <v>80</v>
      </c>
      <c r="C107" s="52"/>
      <c r="D107" s="51"/>
      <c r="E107" s="53"/>
      <c r="F107" s="53"/>
      <c r="G107" s="53"/>
      <c r="H107" s="54"/>
      <c r="I107" s="53"/>
      <c r="J107" s="57"/>
      <c r="K107" s="51"/>
      <c r="L107" s="51"/>
      <c r="M107" s="51"/>
      <c r="N107" s="53"/>
      <c r="O107" s="56"/>
      <c r="P107" s="56"/>
      <c r="Q107" s="51"/>
      <c r="R107" s="51"/>
      <c r="S107" s="51"/>
      <c r="T107" s="51"/>
      <c r="U107" s="51"/>
      <c r="V107" s="53"/>
      <c r="W107" s="51"/>
      <c r="X107" s="57"/>
      <c r="Y107" s="51"/>
      <c r="Z107" s="51"/>
      <c r="AA107" s="51"/>
      <c r="AB107" s="51"/>
      <c r="AC107" s="51"/>
      <c r="AD107" s="51"/>
      <c r="AE107" s="51"/>
      <c r="AF107" s="51"/>
      <c r="AG107" s="51"/>
      <c r="AH107" s="58"/>
      <c r="AI107" s="52"/>
      <c r="AJ107" s="51"/>
      <c r="AK107" s="51"/>
      <c r="AL107" s="59"/>
      <c r="AM107" s="51"/>
      <c r="AN107" s="55"/>
      <c r="AO107" s="51"/>
      <c r="AP107" s="60"/>
      <c r="AQ107" s="61"/>
      <c r="AR107" s="53"/>
      <c r="AS107" s="55"/>
      <c r="AT107" s="60"/>
      <c r="AU107" s="53"/>
      <c r="AV107" s="56"/>
      <c r="AW107" s="56"/>
      <c r="AX107" s="62"/>
      <c r="AY107" s="55"/>
      <c r="AZ107" s="63"/>
      <c r="BA107" s="63"/>
      <c r="BB107" s="64"/>
      <c r="BC107" s="55"/>
      <c r="BD107" s="56"/>
      <c r="BE107" s="56"/>
      <c r="BF107" s="76"/>
      <c r="BG107" s="77"/>
      <c r="BH107" s="78"/>
      <c r="BI107" s="78"/>
      <c r="BJ107" s="79"/>
      <c r="BK107" s="51"/>
      <c r="BL107" s="62"/>
      <c r="BM107" s="51"/>
      <c r="BN107" s="51"/>
      <c r="BO107" s="51"/>
      <c r="BP107" s="81"/>
      <c r="BQ107" s="81"/>
    </row>
    <row customHeight="true" ht="13.333333333333332" r="108">
      <c r="A108" s="50">
        <v>46097</v>
      </c>
      <c r="B108" s="51" t="s">
        <v>71</v>
      </c>
      <c r="C108" s="52"/>
      <c r="D108" s="51"/>
      <c r="E108" s="53"/>
      <c r="F108" s="53"/>
      <c r="G108" s="53"/>
      <c r="H108" s="54"/>
      <c r="I108" s="53"/>
      <c r="J108" s="57"/>
      <c r="K108" s="51"/>
      <c r="L108" s="51"/>
      <c r="M108" s="51"/>
      <c r="N108" s="53"/>
      <c r="O108" s="56"/>
      <c r="P108" s="56"/>
      <c r="Q108" s="51"/>
      <c r="R108" s="51"/>
      <c r="S108" s="51"/>
      <c r="T108" s="51"/>
      <c r="U108" s="51"/>
      <c r="V108" s="53"/>
      <c r="W108" s="51"/>
      <c r="X108" s="57"/>
      <c r="Y108" s="51"/>
      <c r="Z108" s="51"/>
      <c r="AA108" s="51"/>
      <c r="AB108" s="51"/>
      <c r="AC108" s="51"/>
      <c r="AD108" s="51"/>
      <c r="AE108" s="51"/>
      <c r="AF108" s="51"/>
      <c r="AG108" s="51"/>
      <c r="AH108" s="58"/>
      <c r="AI108" s="52"/>
      <c r="AJ108" s="51"/>
      <c r="AK108" s="51"/>
      <c r="AL108" s="59"/>
      <c r="AM108" s="51"/>
      <c r="AN108" s="55"/>
      <c r="AO108" s="51"/>
      <c r="AP108" s="60"/>
      <c r="AQ108" s="61"/>
      <c r="AR108" s="53"/>
      <c r="AS108" s="55"/>
      <c r="AT108" s="60"/>
      <c r="AU108" s="53"/>
      <c r="AV108" s="56"/>
      <c r="AW108" s="56"/>
      <c r="AX108" s="62"/>
      <c r="AY108" s="55"/>
      <c r="AZ108" s="63"/>
      <c r="BA108" s="63"/>
      <c r="BB108" s="64"/>
      <c r="BC108" s="55"/>
      <c r="BD108" s="56"/>
      <c r="BE108" s="56"/>
      <c r="BF108" s="76"/>
      <c r="BG108" s="77"/>
      <c r="BH108" s="78"/>
      <c r="BI108" s="78"/>
      <c r="BJ108" s="79"/>
      <c r="BK108" s="51"/>
      <c r="BL108" s="62"/>
      <c r="BM108" s="51"/>
      <c r="BN108" s="51"/>
      <c r="BO108" s="51"/>
      <c r="BP108" s="81"/>
      <c r="BQ108" s="81"/>
    </row>
    <row customHeight="true" ht="13.333333333333332" r="109">
      <c r="A109" s="50">
        <v>46098</v>
      </c>
      <c r="B109" s="51" t="s">
        <v>75</v>
      </c>
      <c r="C109" s="52"/>
      <c r="D109" s="51"/>
      <c r="E109" s="53"/>
      <c r="F109" s="53"/>
      <c r="G109" s="53"/>
      <c r="H109" s="54"/>
      <c r="I109" s="53"/>
      <c r="J109" s="57"/>
      <c r="K109" s="51"/>
      <c r="L109" s="51"/>
      <c r="M109" s="51"/>
      <c r="N109" s="53"/>
      <c r="O109" s="56"/>
      <c r="P109" s="56"/>
      <c r="Q109" s="51"/>
      <c r="R109" s="51"/>
      <c r="S109" s="51"/>
      <c r="T109" s="51"/>
      <c r="U109" s="51"/>
      <c r="V109" s="53"/>
      <c r="W109" s="51"/>
      <c r="X109" s="57"/>
      <c r="Y109" s="51"/>
      <c r="Z109" s="51"/>
      <c r="AA109" s="51"/>
      <c r="AB109" s="51"/>
      <c r="AC109" s="51"/>
      <c r="AD109" s="51"/>
      <c r="AE109" s="51"/>
      <c r="AF109" s="51"/>
      <c r="AG109" s="51"/>
      <c r="AH109" s="58"/>
      <c r="AI109" s="52"/>
      <c r="AJ109" s="51"/>
      <c r="AK109" s="51"/>
      <c r="AL109" s="59"/>
      <c r="AM109" s="51"/>
      <c r="AN109" s="55"/>
      <c r="AO109" s="51"/>
      <c r="AP109" s="60"/>
      <c r="AQ109" s="61"/>
      <c r="AR109" s="53"/>
      <c r="AS109" s="55"/>
      <c r="AT109" s="60"/>
      <c r="AU109" s="53"/>
      <c r="AV109" s="56"/>
      <c r="AW109" s="56"/>
      <c r="AX109" s="62"/>
      <c r="AY109" s="55"/>
      <c r="AZ109" s="63"/>
      <c r="BA109" s="63"/>
      <c r="BB109" s="64"/>
      <c r="BC109" s="55"/>
      <c r="BD109" s="56"/>
      <c r="BE109" s="56"/>
      <c r="BF109" s="76"/>
      <c r="BG109" s="77"/>
      <c r="BH109" s="78"/>
      <c r="BI109" s="78"/>
      <c r="BJ109" s="79"/>
      <c r="BK109" s="51"/>
      <c r="BL109" s="62"/>
      <c r="BM109" s="51"/>
      <c r="BN109" s="51"/>
      <c r="BO109" s="51"/>
      <c r="BP109" s="81"/>
      <c r="BQ109" s="81"/>
    </row>
    <row customHeight="true" ht="13.333333333333332" r="110">
      <c r="A110" s="50">
        <v>46099</v>
      </c>
      <c r="B110" s="51" t="s">
        <v>76</v>
      </c>
      <c r="C110" s="52"/>
      <c r="D110" s="51"/>
      <c r="E110" s="53"/>
      <c r="F110" s="53"/>
      <c r="G110" s="53"/>
      <c r="H110" s="54"/>
      <c r="I110" s="53"/>
      <c r="J110" s="57"/>
      <c r="K110" s="51"/>
      <c r="L110" s="51"/>
      <c r="M110" s="51"/>
      <c r="N110" s="53"/>
      <c r="O110" s="56"/>
      <c r="P110" s="56"/>
      <c r="Q110" s="51"/>
      <c r="R110" s="51"/>
      <c r="S110" s="51"/>
      <c r="T110" s="51"/>
      <c r="U110" s="51"/>
      <c r="V110" s="53"/>
      <c r="W110" s="51"/>
      <c r="X110" s="57"/>
      <c r="Y110" s="51"/>
      <c r="Z110" s="51"/>
      <c r="AA110" s="51"/>
      <c r="AB110" s="51"/>
      <c r="AC110" s="51"/>
      <c r="AD110" s="51"/>
      <c r="AE110" s="51"/>
      <c r="AF110" s="51"/>
      <c r="AG110" s="51"/>
      <c r="AH110" s="58"/>
      <c r="AI110" s="52"/>
      <c r="AJ110" s="51"/>
      <c r="AK110" s="51"/>
      <c r="AL110" s="59"/>
      <c r="AM110" s="51"/>
      <c r="AN110" s="55"/>
      <c r="AO110" s="51"/>
      <c r="AP110" s="60"/>
      <c r="AQ110" s="61"/>
      <c r="AR110" s="53"/>
      <c r="AS110" s="55"/>
      <c r="AT110" s="60"/>
      <c r="AU110" s="53"/>
      <c r="AV110" s="56"/>
      <c r="AW110" s="56"/>
      <c r="AX110" s="62"/>
      <c r="AY110" s="55"/>
      <c r="AZ110" s="63"/>
      <c r="BA110" s="63"/>
      <c r="BB110" s="64"/>
      <c r="BC110" s="55"/>
      <c r="BD110" s="56"/>
      <c r="BE110" s="56"/>
      <c r="BF110" s="76"/>
      <c r="BG110" s="77"/>
      <c r="BH110" s="78"/>
      <c r="BI110" s="78"/>
      <c r="BJ110" s="79"/>
      <c r="BK110" s="51"/>
      <c r="BL110" s="62"/>
      <c r="BM110" s="51"/>
      <c r="BN110" s="51"/>
      <c r="BO110" s="51"/>
      <c r="BP110" s="81"/>
      <c r="BQ110" s="81"/>
    </row>
    <row customHeight="true" ht="13.333333333333332" r="111">
      <c r="A111" s="50">
        <v>46100</v>
      </c>
      <c r="B111" s="51" t="s">
        <v>77</v>
      </c>
      <c r="C111" s="52"/>
      <c r="D111" s="51"/>
      <c r="E111" s="53"/>
      <c r="F111" s="53"/>
      <c r="G111" s="53"/>
      <c r="H111" s="54"/>
      <c r="I111" s="53"/>
      <c r="J111" s="57"/>
      <c r="K111" s="51"/>
      <c r="L111" s="51"/>
      <c r="M111" s="51"/>
      <c r="N111" s="53"/>
      <c r="O111" s="56"/>
      <c r="P111" s="56"/>
      <c r="Q111" s="51"/>
      <c r="R111" s="51"/>
      <c r="S111" s="51"/>
      <c r="T111" s="51"/>
      <c r="U111" s="51"/>
      <c r="V111" s="53"/>
      <c r="W111" s="51"/>
      <c r="X111" s="57"/>
      <c r="Y111" s="51"/>
      <c r="Z111" s="51"/>
      <c r="AA111" s="51"/>
      <c r="AB111" s="51"/>
      <c r="AC111" s="51"/>
      <c r="AD111" s="51"/>
      <c r="AE111" s="51"/>
      <c r="AF111" s="51"/>
      <c r="AG111" s="51"/>
      <c r="AH111" s="58"/>
      <c r="AI111" s="52"/>
      <c r="AJ111" s="51"/>
      <c r="AK111" s="51"/>
      <c r="AL111" s="59"/>
      <c r="AM111" s="51"/>
      <c r="AN111" s="55"/>
      <c r="AO111" s="51"/>
      <c r="AP111" s="60"/>
      <c r="AQ111" s="61"/>
      <c r="AR111" s="53"/>
      <c r="AS111" s="55"/>
      <c r="AT111" s="60"/>
      <c r="AU111" s="53"/>
      <c r="AV111" s="56"/>
      <c r="AW111" s="56"/>
      <c r="AX111" s="62"/>
      <c r="AY111" s="55"/>
      <c r="AZ111" s="63"/>
      <c r="BA111" s="63"/>
      <c r="BB111" s="64"/>
      <c r="BC111" s="55"/>
      <c r="BD111" s="56"/>
      <c r="BE111" s="56"/>
      <c r="BF111" s="76"/>
      <c r="BG111" s="77"/>
      <c r="BH111" s="78"/>
      <c r="BI111" s="78"/>
      <c r="BJ111" s="79"/>
      <c r="BK111" s="51"/>
      <c r="BL111" s="62"/>
      <c r="BM111" s="51"/>
      <c r="BN111" s="51"/>
      <c r="BO111" s="51"/>
      <c r="BP111" s="81"/>
      <c r="BQ111" s="81"/>
    </row>
    <row customHeight="true" ht="13.333333333333332" r="112">
      <c r="A112" s="50">
        <v>46101</v>
      </c>
      <c r="B112" s="51" t="s">
        <v>78</v>
      </c>
      <c r="C112" s="52"/>
      <c r="D112" s="51"/>
      <c r="E112" s="53"/>
      <c r="F112" s="53"/>
      <c r="G112" s="53"/>
      <c r="H112" s="54"/>
      <c r="I112" s="53"/>
      <c r="J112" s="57"/>
      <c r="K112" s="51"/>
      <c r="L112" s="51"/>
      <c r="M112" s="51"/>
      <c r="N112" s="53"/>
      <c r="O112" s="56"/>
      <c r="P112" s="56"/>
      <c r="Q112" s="51"/>
      <c r="R112" s="51"/>
      <c r="S112" s="51"/>
      <c r="T112" s="51"/>
      <c r="U112" s="51"/>
      <c r="V112" s="53"/>
      <c r="W112" s="51"/>
      <c r="X112" s="57"/>
      <c r="Y112" s="51"/>
      <c r="Z112" s="51"/>
      <c r="AA112" s="51"/>
      <c r="AB112" s="51"/>
      <c r="AC112" s="51"/>
      <c r="AD112" s="51"/>
      <c r="AE112" s="51"/>
      <c r="AF112" s="51"/>
      <c r="AG112" s="51"/>
      <c r="AH112" s="58"/>
      <c r="AI112" s="52"/>
      <c r="AJ112" s="51"/>
      <c r="AK112" s="51"/>
      <c r="AL112" s="59"/>
      <c r="AM112" s="51"/>
      <c r="AN112" s="55"/>
      <c r="AO112" s="51"/>
      <c r="AP112" s="60"/>
      <c r="AQ112" s="61"/>
      <c r="AR112" s="53"/>
      <c r="AS112" s="55"/>
      <c r="AT112" s="60"/>
      <c r="AU112" s="53"/>
      <c r="AV112" s="56"/>
      <c r="AW112" s="56"/>
      <c r="AX112" s="62"/>
      <c r="AY112" s="55"/>
      <c r="AZ112" s="63"/>
      <c r="BA112" s="63"/>
      <c r="BB112" s="64"/>
      <c r="BC112" s="55"/>
      <c r="BD112" s="56"/>
      <c r="BE112" s="56"/>
      <c r="BF112" s="76"/>
      <c r="BG112" s="77"/>
      <c r="BH112" s="78"/>
      <c r="BI112" s="78"/>
      <c r="BJ112" s="79"/>
      <c r="BK112" s="51"/>
      <c r="BL112" s="62"/>
      <c r="BM112" s="51"/>
      <c r="BN112" s="51"/>
      <c r="BO112" s="51"/>
      <c r="BP112" s="81"/>
      <c r="BQ112" s="81"/>
    </row>
    <row customHeight="true" ht="13.333333333333332" r="113">
      <c r="A113" s="50">
        <v>46102</v>
      </c>
      <c r="B113" s="51" t="s">
        <v>79</v>
      </c>
      <c r="C113" s="52"/>
      <c r="D113" s="51"/>
      <c r="E113" s="53"/>
      <c r="F113" s="53"/>
      <c r="G113" s="53"/>
      <c r="H113" s="54"/>
      <c r="I113" s="53"/>
      <c r="J113" s="57"/>
      <c r="K113" s="51"/>
      <c r="L113" s="51"/>
      <c r="M113" s="51"/>
      <c r="N113" s="53"/>
      <c r="O113" s="56"/>
      <c r="P113" s="56"/>
      <c r="Q113" s="51"/>
      <c r="R113" s="51"/>
      <c r="S113" s="51"/>
      <c r="T113" s="51"/>
      <c r="U113" s="51"/>
      <c r="V113" s="53"/>
      <c r="W113" s="51"/>
      <c r="X113" s="57"/>
      <c r="Y113" s="51"/>
      <c r="Z113" s="51"/>
      <c r="AA113" s="51"/>
      <c r="AB113" s="51"/>
      <c r="AC113" s="51"/>
      <c r="AD113" s="51"/>
      <c r="AE113" s="51"/>
      <c r="AF113" s="51"/>
      <c r="AG113" s="51"/>
      <c r="AH113" s="58"/>
      <c r="AI113" s="52"/>
      <c r="AJ113" s="51"/>
      <c r="AK113" s="51"/>
      <c r="AL113" s="59"/>
      <c r="AM113" s="51"/>
      <c r="AN113" s="55"/>
      <c r="AO113" s="51"/>
      <c r="AP113" s="60"/>
      <c r="AQ113" s="61"/>
      <c r="AR113" s="53"/>
      <c r="AS113" s="55"/>
      <c r="AT113" s="60"/>
      <c r="AU113" s="53"/>
      <c r="AV113" s="56"/>
      <c r="AW113" s="56"/>
      <c r="AX113" s="62"/>
      <c r="AY113" s="55"/>
      <c r="AZ113" s="63"/>
      <c r="BA113" s="63"/>
      <c r="BB113" s="64"/>
      <c r="BC113" s="55"/>
      <c r="BD113" s="56"/>
      <c r="BE113" s="56"/>
      <c r="BF113" s="76"/>
      <c r="BG113" s="77"/>
      <c r="BH113" s="78"/>
      <c r="BI113" s="78"/>
      <c r="BJ113" s="79"/>
      <c r="BK113" s="51"/>
      <c r="BL113" s="62"/>
      <c r="BM113" s="51"/>
      <c r="BN113" s="51"/>
      <c r="BO113" s="51"/>
      <c r="BP113" s="81"/>
      <c r="BQ113" s="81"/>
    </row>
    <row customHeight="true" ht="13.333333333333332" r="114">
      <c r="A114" s="50">
        <v>46103</v>
      </c>
      <c r="B114" s="51" t="s">
        <v>80</v>
      </c>
      <c r="C114" s="52"/>
      <c r="D114" s="51"/>
      <c r="E114" s="53"/>
      <c r="F114" s="53"/>
      <c r="G114" s="53"/>
      <c r="H114" s="54"/>
      <c r="I114" s="53"/>
      <c r="J114" s="57"/>
      <c r="K114" s="51"/>
      <c r="L114" s="51"/>
      <c r="M114" s="51"/>
      <c r="N114" s="53"/>
      <c r="O114" s="56"/>
      <c r="P114" s="56"/>
      <c r="Q114" s="51"/>
      <c r="R114" s="51"/>
      <c r="S114" s="51"/>
      <c r="T114" s="51"/>
      <c r="U114" s="51"/>
      <c r="V114" s="53"/>
      <c r="W114" s="51"/>
      <c r="X114" s="57"/>
      <c r="Y114" s="51"/>
      <c r="Z114" s="51"/>
      <c r="AA114" s="51"/>
      <c r="AB114" s="51"/>
      <c r="AC114" s="51"/>
      <c r="AD114" s="51"/>
      <c r="AE114" s="51"/>
      <c r="AF114" s="51"/>
      <c r="AG114" s="51"/>
      <c r="AH114" s="58"/>
      <c r="AI114" s="52"/>
      <c r="AJ114" s="51"/>
      <c r="AK114" s="51"/>
      <c r="AL114" s="59"/>
      <c r="AM114" s="51"/>
      <c r="AN114" s="55"/>
      <c r="AO114" s="51"/>
      <c r="AP114" s="60"/>
      <c r="AQ114" s="61"/>
      <c r="AR114" s="53"/>
      <c r="AS114" s="55"/>
      <c r="AT114" s="60"/>
      <c r="AU114" s="53"/>
      <c r="AV114" s="56"/>
      <c r="AW114" s="56"/>
      <c r="AX114" s="62"/>
      <c r="AY114" s="55"/>
      <c r="AZ114" s="63"/>
      <c r="BA114" s="63"/>
      <c r="BB114" s="64"/>
      <c r="BC114" s="55"/>
      <c r="BD114" s="56"/>
      <c r="BE114" s="56"/>
      <c r="BF114" s="76"/>
      <c r="BG114" s="77"/>
      <c r="BH114" s="78"/>
      <c r="BI114" s="78"/>
      <c r="BJ114" s="79"/>
      <c r="BK114" s="51"/>
      <c r="BL114" s="62"/>
      <c r="BM114" s="51"/>
      <c r="BN114" s="51"/>
      <c r="BO114" s="51"/>
      <c r="BP114" s="81"/>
      <c r="BQ114" s="81"/>
    </row>
    <row customHeight="true" ht="13.333333333333332" r="115">
      <c r="A115" s="50">
        <v>46104</v>
      </c>
      <c r="B115" s="51" t="s">
        <v>71</v>
      </c>
      <c r="C115" s="52"/>
      <c r="D115" s="51"/>
      <c r="E115" s="53"/>
      <c r="F115" s="53"/>
      <c r="G115" s="53"/>
      <c r="H115" s="54"/>
      <c r="I115" s="53"/>
      <c r="J115" s="57"/>
      <c r="K115" s="51"/>
      <c r="L115" s="51"/>
      <c r="M115" s="51"/>
      <c r="N115" s="53"/>
      <c r="O115" s="56"/>
      <c r="P115" s="56"/>
      <c r="Q115" s="51"/>
      <c r="R115" s="51"/>
      <c r="S115" s="51"/>
      <c r="T115" s="51"/>
      <c r="U115" s="51"/>
      <c r="V115" s="53"/>
      <c r="W115" s="51"/>
      <c r="X115" s="57"/>
      <c r="Y115" s="51"/>
      <c r="Z115" s="51"/>
      <c r="AA115" s="51"/>
      <c r="AB115" s="51"/>
      <c r="AC115" s="51"/>
      <c r="AD115" s="51"/>
      <c r="AE115" s="51"/>
      <c r="AF115" s="51"/>
      <c r="AG115" s="51"/>
      <c r="AH115" s="58"/>
      <c r="AI115" s="52"/>
      <c r="AJ115" s="51"/>
      <c r="AK115" s="51"/>
      <c r="AL115" s="59"/>
      <c r="AM115" s="51"/>
      <c r="AN115" s="55"/>
      <c r="AO115" s="51"/>
      <c r="AP115" s="60"/>
      <c r="AQ115" s="61"/>
      <c r="AR115" s="53"/>
      <c r="AS115" s="55"/>
      <c r="AT115" s="60"/>
      <c r="AU115" s="53"/>
      <c r="AV115" s="56"/>
      <c r="AW115" s="56"/>
      <c r="AX115" s="62"/>
      <c r="AY115" s="55"/>
      <c r="AZ115" s="63"/>
      <c r="BA115" s="63"/>
      <c r="BB115" s="64"/>
      <c r="BC115" s="55"/>
      <c r="BD115" s="56"/>
      <c r="BE115" s="56"/>
      <c r="BF115" s="76"/>
      <c r="BG115" s="77"/>
      <c r="BH115" s="78"/>
      <c r="BI115" s="78"/>
      <c r="BJ115" s="79"/>
      <c r="BK115" s="51"/>
      <c r="BL115" s="62"/>
      <c r="BM115" s="51"/>
      <c r="BN115" s="51"/>
      <c r="BO115" s="51"/>
      <c r="BP115" s="81"/>
      <c r="BQ115" s="81"/>
    </row>
    <row customHeight="true" ht="13.333333333333332" r="116">
      <c r="A116" s="50">
        <v>46105</v>
      </c>
      <c r="B116" s="51" t="s">
        <v>75</v>
      </c>
      <c r="C116" s="52"/>
      <c r="D116" s="51"/>
      <c r="E116" s="53"/>
      <c r="F116" s="53"/>
      <c r="G116" s="53"/>
      <c r="H116" s="54"/>
      <c r="I116" s="53"/>
      <c r="J116" s="57"/>
      <c r="K116" s="51"/>
      <c r="L116" s="51"/>
      <c r="M116" s="51"/>
      <c r="N116" s="53"/>
      <c r="O116" s="56"/>
      <c r="P116" s="56"/>
      <c r="Q116" s="51"/>
      <c r="R116" s="51"/>
      <c r="S116" s="51"/>
      <c r="T116" s="51"/>
      <c r="U116" s="51"/>
      <c r="V116" s="53"/>
      <c r="W116" s="51"/>
      <c r="X116" s="57"/>
      <c r="Y116" s="51"/>
      <c r="Z116" s="51"/>
      <c r="AA116" s="51"/>
      <c r="AB116" s="51"/>
      <c r="AC116" s="51"/>
      <c r="AD116" s="51"/>
      <c r="AE116" s="51"/>
      <c r="AF116" s="51"/>
      <c r="AG116" s="51"/>
      <c r="AH116" s="58"/>
      <c r="AI116" s="52"/>
      <c r="AJ116" s="51"/>
      <c r="AK116" s="51"/>
      <c r="AL116" s="59"/>
      <c r="AM116" s="51"/>
      <c r="AN116" s="55"/>
      <c r="AO116" s="51"/>
      <c r="AP116" s="60"/>
      <c r="AQ116" s="61"/>
      <c r="AR116" s="53"/>
      <c r="AS116" s="55"/>
      <c r="AT116" s="60"/>
      <c r="AU116" s="53"/>
      <c r="AV116" s="56"/>
      <c r="AW116" s="56"/>
      <c r="AX116" s="62"/>
      <c r="AY116" s="55"/>
      <c r="AZ116" s="63"/>
      <c r="BA116" s="63"/>
      <c r="BB116" s="64"/>
      <c r="BC116" s="55"/>
      <c r="BD116" s="56"/>
      <c r="BE116" s="56"/>
      <c r="BF116" s="76"/>
      <c r="BG116" s="77"/>
      <c r="BH116" s="78"/>
      <c r="BI116" s="78"/>
      <c r="BJ116" s="79"/>
      <c r="BK116" s="51"/>
      <c r="BL116" s="62"/>
      <c r="BM116" s="51"/>
      <c r="BN116" s="51"/>
      <c r="BO116" s="51"/>
      <c r="BP116" s="81"/>
      <c r="BQ116" s="81"/>
    </row>
    <row customHeight="true" ht="13.333333333333332" r="117">
      <c r="A117" s="50">
        <v>46106</v>
      </c>
      <c r="B117" s="51" t="s">
        <v>76</v>
      </c>
      <c r="C117" s="52"/>
      <c r="D117" s="51"/>
      <c r="E117" s="53"/>
      <c r="F117" s="53"/>
      <c r="G117" s="53"/>
      <c r="H117" s="54"/>
      <c r="I117" s="53"/>
      <c r="J117" s="57"/>
      <c r="K117" s="51"/>
      <c r="L117" s="51"/>
      <c r="M117" s="51"/>
      <c r="N117" s="53"/>
      <c r="O117" s="56"/>
      <c r="P117" s="56"/>
      <c r="Q117" s="51"/>
      <c r="R117" s="51"/>
      <c r="S117" s="51"/>
      <c r="T117" s="51"/>
      <c r="U117" s="51"/>
      <c r="V117" s="53"/>
      <c r="W117" s="51"/>
      <c r="X117" s="57"/>
      <c r="Y117" s="51"/>
      <c r="Z117" s="51"/>
      <c r="AA117" s="51"/>
      <c r="AB117" s="51"/>
      <c r="AC117" s="51"/>
      <c r="AD117" s="51"/>
      <c r="AE117" s="51"/>
      <c r="AF117" s="51"/>
      <c r="AG117" s="51"/>
      <c r="AH117" s="58"/>
      <c r="AI117" s="52"/>
      <c r="AJ117" s="51"/>
      <c r="AK117" s="51"/>
      <c r="AL117" s="59"/>
      <c r="AM117" s="51"/>
      <c r="AN117" s="55"/>
      <c r="AO117" s="51"/>
      <c r="AP117" s="60"/>
      <c r="AQ117" s="61"/>
      <c r="AR117" s="53"/>
      <c r="AS117" s="55"/>
      <c r="AT117" s="60"/>
      <c r="AU117" s="53"/>
      <c r="AV117" s="56"/>
      <c r="AW117" s="56"/>
      <c r="AX117" s="62"/>
      <c r="AY117" s="55"/>
      <c r="AZ117" s="63"/>
      <c r="BA117" s="63"/>
      <c r="BB117" s="64"/>
      <c r="BC117" s="55"/>
      <c r="BD117" s="56"/>
      <c r="BE117" s="56"/>
      <c r="BF117" s="76"/>
      <c r="BG117" s="77"/>
      <c r="BH117" s="78"/>
      <c r="BI117" s="78"/>
      <c r="BJ117" s="79"/>
      <c r="BK117" s="51"/>
      <c r="BL117" s="62"/>
      <c r="BM117" s="51"/>
      <c r="BN117" s="51"/>
      <c r="BO117" s="51"/>
      <c r="BP117" s="81"/>
      <c r="BQ117" s="81"/>
    </row>
    <row customHeight="true" ht="13.333333333333332" r="118">
      <c r="A118" s="50">
        <v>46107</v>
      </c>
      <c r="B118" s="51" t="s">
        <v>77</v>
      </c>
      <c r="C118" s="52"/>
      <c r="D118" s="51"/>
      <c r="E118" s="53"/>
      <c r="F118" s="53"/>
      <c r="G118" s="53"/>
      <c r="H118" s="54"/>
      <c r="I118" s="53"/>
      <c r="J118" s="57"/>
      <c r="K118" s="51"/>
      <c r="L118" s="51"/>
      <c r="M118" s="51"/>
      <c r="N118" s="53"/>
      <c r="O118" s="56"/>
      <c r="P118" s="56"/>
      <c r="Q118" s="51"/>
      <c r="R118" s="51"/>
      <c r="S118" s="51"/>
      <c r="T118" s="51"/>
      <c r="U118" s="51"/>
      <c r="V118" s="53"/>
      <c r="W118" s="51"/>
      <c r="X118" s="57"/>
      <c r="Y118" s="51"/>
      <c r="Z118" s="51"/>
      <c r="AA118" s="51"/>
      <c r="AB118" s="51"/>
      <c r="AC118" s="51"/>
      <c r="AD118" s="51"/>
      <c r="AE118" s="51"/>
      <c r="AF118" s="51"/>
      <c r="AG118" s="51"/>
      <c r="AH118" s="58"/>
      <c r="AI118" s="52"/>
      <c r="AJ118" s="51"/>
      <c r="AK118" s="51"/>
      <c r="AL118" s="59"/>
      <c r="AM118" s="51"/>
      <c r="AN118" s="55"/>
      <c r="AO118" s="51"/>
      <c r="AP118" s="60"/>
      <c r="AQ118" s="61"/>
      <c r="AR118" s="53"/>
      <c r="AS118" s="55"/>
      <c r="AT118" s="60"/>
      <c r="AU118" s="53"/>
      <c r="AV118" s="56"/>
      <c r="AW118" s="56"/>
      <c r="AX118" s="62"/>
      <c r="AY118" s="55"/>
      <c r="AZ118" s="63"/>
      <c r="BA118" s="63"/>
      <c r="BB118" s="64"/>
      <c r="BC118" s="55"/>
      <c r="BD118" s="56"/>
      <c r="BE118" s="56"/>
      <c r="BF118" s="76"/>
      <c r="BG118" s="77"/>
      <c r="BH118" s="78"/>
      <c r="BI118" s="78"/>
      <c r="BJ118" s="79"/>
      <c r="BK118" s="51"/>
      <c r="BL118" s="62"/>
      <c r="BM118" s="51"/>
      <c r="BN118" s="51"/>
      <c r="BO118" s="51"/>
      <c r="BP118" s="81"/>
      <c r="BQ118" s="81"/>
    </row>
    <row customHeight="true" ht="13.333333333333332" r="119">
      <c r="A119" s="50">
        <v>46108</v>
      </c>
      <c r="B119" s="51" t="s">
        <v>78</v>
      </c>
      <c r="C119" s="52"/>
      <c r="D119" s="51"/>
      <c r="E119" s="53"/>
      <c r="F119" s="53"/>
      <c r="G119" s="53"/>
      <c r="H119" s="54"/>
      <c r="I119" s="53"/>
      <c r="J119" s="57"/>
      <c r="K119" s="51"/>
      <c r="L119" s="51"/>
      <c r="M119" s="51"/>
      <c r="N119" s="53"/>
      <c r="O119" s="56"/>
      <c r="P119" s="56"/>
      <c r="Q119" s="51"/>
      <c r="R119" s="51"/>
      <c r="S119" s="51"/>
      <c r="T119" s="51"/>
      <c r="U119" s="51"/>
      <c r="V119" s="53"/>
      <c r="W119" s="51"/>
      <c r="X119" s="57"/>
      <c r="Y119" s="51"/>
      <c r="Z119" s="51"/>
      <c r="AA119" s="51"/>
      <c r="AB119" s="51"/>
      <c r="AC119" s="51"/>
      <c r="AD119" s="51"/>
      <c r="AE119" s="51"/>
      <c r="AF119" s="51"/>
      <c r="AG119" s="51"/>
      <c r="AH119" s="58"/>
      <c r="AI119" s="52"/>
      <c r="AJ119" s="51"/>
      <c r="AK119" s="51"/>
      <c r="AL119" s="59"/>
      <c r="AM119" s="51"/>
      <c r="AN119" s="55"/>
      <c r="AO119" s="51"/>
      <c r="AP119" s="60"/>
      <c r="AQ119" s="61"/>
      <c r="AR119" s="53"/>
      <c r="AS119" s="55"/>
      <c r="AT119" s="60"/>
      <c r="AU119" s="53"/>
      <c r="AV119" s="56"/>
      <c r="AW119" s="56"/>
      <c r="AX119" s="62"/>
      <c r="AY119" s="55"/>
      <c r="AZ119" s="63"/>
      <c r="BA119" s="63"/>
      <c r="BB119" s="64"/>
      <c r="BC119" s="55"/>
      <c r="BD119" s="56"/>
      <c r="BE119" s="56"/>
      <c r="BF119" s="76"/>
      <c r="BG119" s="77"/>
      <c r="BH119" s="78"/>
      <c r="BI119" s="78"/>
      <c r="BJ119" s="79"/>
      <c r="BK119" s="51"/>
      <c r="BL119" s="62"/>
      <c r="BM119" s="51"/>
      <c r="BN119" s="51"/>
      <c r="BO119" s="51"/>
      <c r="BP119" s="81"/>
      <c r="BQ119" s="81"/>
    </row>
    <row customHeight="true" ht="13.333333333333332" r="120">
      <c r="A120" s="50">
        <v>46109</v>
      </c>
      <c r="B120" s="51" t="s">
        <v>79</v>
      </c>
      <c r="C120" s="52"/>
      <c r="D120" s="51"/>
      <c r="E120" s="53"/>
      <c r="F120" s="53"/>
      <c r="G120" s="53"/>
      <c r="H120" s="54"/>
      <c r="I120" s="53"/>
      <c r="J120" s="57"/>
      <c r="K120" s="51"/>
      <c r="L120" s="51"/>
      <c r="M120" s="51"/>
      <c r="N120" s="53"/>
      <c r="O120" s="56"/>
      <c r="P120" s="56"/>
      <c r="Q120" s="51"/>
      <c r="R120" s="51"/>
      <c r="S120" s="51"/>
      <c r="T120" s="51"/>
      <c r="U120" s="51"/>
      <c r="V120" s="53"/>
      <c r="W120" s="51"/>
      <c r="X120" s="57"/>
      <c r="Y120" s="51"/>
      <c r="Z120" s="51"/>
      <c r="AA120" s="51"/>
      <c r="AB120" s="51"/>
      <c r="AC120" s="51"/>
      <c r="AD120" s="51"/>
      <c r="AE120" s="51"/>
      <c r="AF120" s="51"/>
      <c r="AG120" s="51"/>
      <c r="AH120" s="58"/>
      <c r="AI120" s="52"/>
      <c r="AJ120" s="51"/>
      <c r="AK120" s="51"/>
      <c r="AL120" s="59"/>
      <c r="AM120" s="51"/>
      <c r="AN120" s="55"/>
      <c r="AO120" s="51"/>
      <c r="AP120" s="60"/>
      <c r="AQ120" s="61"/>
      <c r="AR120" s="53"/>
      <c r="AS120" s="55"/>
      <c r="AT120" s="60"/>
      <c r="AU120" s="53"/>
      <c r="AV120" s="56"/>
      <c r="AW120" s="56"/>
      <c r="AX120" s="62"/>
      <c r="AY120" s="55"/>
      <c r="AZ120" s="63"/>
      <c r="BA120" s="63"/>
      <c r="BB120" s="64"/>
      <c r="BC120" s="55"/>
      <c r="BD120" s="56"/>
      <c r="BE120" s="56"/>
      <c r="BF120" s="76"/>
      <c r="BG120" s="77"/>
      <c r="BH120" s="78"/>
      <c r="BI120" s="78"/>
      <c r="BJ120" s="79"/>
      <c r="BK120" s="51"/>
      <c r="BL120" s="62"/>
      <c r="BM120" s="51"/>
      <c r="BN120" s="51"/>
      <c r="BO120" s="51"/>
      <c r="BP120" s="81"/>
      <c r="BQ120" s="81"/>
    </row>
    <row customHeight="true" ht="13.333333333333332" r="121">
      <c r="A121" s="50">
        <v>46110</v>
      </c>
      <c r="B121" s="51" t="s">
        <v>80</v>
      </c>
      <c r="C121" s="52"/>
      <c r="D121" s="51"/>
      <c r="E121" s="53"/>
      <c r="F121" s="53"/>
      <c r="G121" s="53"/>
      <c r="H121" s="54"/>
      <c r="I121" s="53"/>
      <c r="J121" s="57"/>
      <c r="K121" s="51"/>
      <c r="L121" s="51"/>
      <c r="M121" s="51"/>
      <c r="N121" s="53"/>
      <c r="O121" s="56"/>
      <c r="P121" s="56"/>
      <c r="Q121" s="51"/>
      <c r="R121" s="51"/>
      <c r="S121" s="51"/>
      <c r="T121" s="51"/>
      <c r="U121" s="51"/>
      <c r="V121" s="53"/>
      <c r="W121" s="51"/>
      <c r="X121" s="57"/>
      <c r="Y121" s="51"/>
      <c r="Z121" s="51"/>
      <c r="AA121" s="51"/>
      <c r="AB121" s="51"/>
      <c r="AC121" s="51"/>
      <c r="AD121" s="51"/>
      <c r="AE121" s="51"/>
      <c r="AF121" s="51"/>
      <c r="AG121" s="51"/>
      <c r="AH121" s="58"/>
      <c r="AI121" s="52"/>
      <c r="AJ121" s="51"/>
      <c r="AK121" s="51"/>
      <c r="AL121" s="59"/>
      <c r="AM121" s="51"/>
      <c r="AN121" s="55"/>
      <c r="AO121" s="51"/>
      <c r="AP121" s="60"/>
      <c r="AQ121" s="61"/>
      <c r="AR121" s="53"/>
      <c r="AS121" s="55"/>
      <c r="AT121" s="60"/>
      <c r="AU121" s="53"/>
      <c r="AV121" s="56"/>
      <c r="AW121" s="56"/>
      <c r="AX121" s="62"/>
      <c r="AY121" s="55"/>
      <c r="AZ121" s="63"/>
      <c r="BA121" s="63"/>
      <c r="BB121" s="64"/>
      <c r="BC121" s="55"/>
      <c r="BD121" s="56"/>
      <c r="BE121" s="56"/>
      <c r="BF121" s="76"/>
      <c r="BG121" s="77"/>
      <c r="BH121" s="78"/>
      <c r="BI121" s="78"/>
      <c r="BJ121" s="79"/>
      <c r="BK121" s="51"/>
      <c r="BL121" s="62"/>
      <c r="BM121" s="51"/>
      <c r="BN121" s="51"/>
      <c r="BO121" s="51"/>
      <c r="BP121" s="81"/>
      <c r="BQ121" s="81"/>
    </row>
    <row customHeight="true" ht="13.333333333333332" r="122">
      <c r="A122" s="50">
        <v>46111</v>
      </c>
      <c r="B122" s="51" t="s">
        <v>71</v>
      </c>
      <c r="C122" s="52"/>
      <c r="D122" s="51"/>
      <c r="E122" s="53"/>
      <c r="F122" s="53"/>
      <c r="G122" s="53"/>
      <c r="H122" s="54"/>
      <c r="I122" s="53"/>
      <c r="J122" s="57"/>
      <c r="K122" s="51"/>
      <c r="L122" s="51"/>
      <c r="M122" s="51"/>
      <c r="N122" s="53"/>
      <c r="O122" s="56"/>
      <c r="P122" s="56"/>
      <c r="Q122" s="51"/>
      <c r="R122" s="51"/>
      <c r="S122" s="51"/>
      <c r="T122" s="51"/>
      <c r="U122" s="51"/>
      <c r="V122" s="53"/>
      <c r="W122" s="51"/>
      <c r="X122" s="57"/>
      <c r="Y122" s="51"/>
      <c r="Z122" s="51"/>
      <c r="AA122" s="51"/>
      <c r="AB122" s="51"/>
      <c r="AC122" s="51"/>
      <c r="AD122" s="51"/>
      <c r="AE122" s="51"/>
      <c r="AF122" s="51"/>
      <c r="AG122" s="51"/>
      <c r="AH122" s="58"/>
      <c r="AI122" s="52"/>
      <c r="AJ122" s="51"/>
      <c r="AK122" s="51"/>
      <c r="AL122" s="59"/>
      <c r="AM122" s="51"/>
      <c r="AN122" s="55"/>
      <c r="AO122" s="51"/>
      <c r="AP122" s="60"/>
      <c r="AQ122" s="61"/>
      <c r="AR122" s="53"/>
      <c r="AS122" s="55"/>
      <c r="AT122" s="60"/>
      <c r="AU122" s="53"/>
      <c r="AV122" s="56"/>
      <c r="AW122" s="56"/>
      <c r="AX122" s="62"/>
      <c r="AY122" s="55"/>
      <c r="AZ122" s="63"/>
      <c r="BA122" s="63"/>
      <c r="BB122" s="64"/>
      <c r="BC122" s="55"/>
      <c r="BD122" s="56"/>
      <c r="BE122" s="56"/>
      <c r="BF122" s="76"/>
      <c r="BG122" s="77"/>
      <c r="BH122" s="78"/>
      <c r="BI122" s="78"/>
      <c r="BJ122" s="79"/>
      <c r="BK122" s="51"/>
      <c r="BL122" s="62"/>
      <c r="BM122" s="51"/>
      <c r="BN122" s="51"/>
      <c r="BO122" s="51"/>
      <c r="BP122" s="81"/>
      <c r="BQ122" s="81"/>
    </row>
    <row customHeight="true" ht="13.333333333333332" r="123">
      <c r="A123" s="50">
        <v>46112</v>
      </c>
      <c r="B123" s="51" t="s">
        <v>75</v>
      </c>
      <c r="C123" s="52"/>
      <c r="D123" s="51"/>
      <c r="E123" s="53"/>
      <c r="F123" s="53"/>
      <c r="G123" s="53"/>
      <c r="H123" s="54"/>
      <c r="I123" s="53"/>
      <c r="J123" s="57"/>
      <c r="K123" s="51"/>
      <c r="L123" s="51"/>
      <c r="M123" s="51"/>
      <c r="N123" s="53"/>
      <c r="O123" s="56"/>
      <c r="P123" s="56"/>
      <c r="Q123" s="51"/>
      <c r="R123" s="51"/>
      <c r="S123" s="51"/>
      <c r="T123" s="51"/>
      <c r="U123" s="51"/>
      <c r="V123" s="53"/>
      <c r="W123" s="51"/>
      <c r="X123" s="57"/>
      <c r="Y123" s="51"/>
      <c r="Z123" s="51"/>
      <c r="AA123" s="51"/>
      <c r="AB123" s="51"/>
      <c r="AC123" s="51"/>
      <c r="AD123" s="51"/>
      <c r="AE123" s="51"/>
      <c r="AF123" s="51"/>
      <c r="AG123" s="51"/>
      <c r="AH123" s="58"/>
      <c r="AI123" s="52"/>
      <c r="AJ123" s="51"/>
      <c r="AK123" s="51"/>
      <c r="AL123" s="59"/>
      <c r="AM123" s="51"/>
      <c r="AN123" s="55"/>
      <c r="AO123" s="51"/>
      <c r="AP123" s="60"/>
      <c r="AQ123" s="61"/>
      <c r="AR123" s="53"/>
      <c r="AS123" s="55"/>
      <c r="AT123" s="60"/>
      <c r="AU123" s="53"/>
      <c r="AV123" s="56"/>
      <c r="AW123" s="56"/>
      <c r="AX123" s="62"/>
      <c r="AY123" s="55"/>
      <c r="AZ123" s="63"/>
      <c r="BA123" s="63"/>
      <c r="BB123" s="64"/>
      <c r="BC123" s="55"/>
      <c r="BD123" s="56"/>
      <c r="BE123" s="56"/>
      <c r="BF123" s="76"/>
      <c r="BG123" s="77"/>
      <c r="BH123" s="78"/>
      <c r="BI123" s="78"/>
      <c r="BJ123" s="79"/>
      <c r="BK123" s="51"/>
      <c r="BL123" s="62"/>
      <c r="BM123" s="51"/>
      <c r="BN123" s="51"/>
      <c r="BO123" s="51"/>
      <c r="BP123" s="81"/>
      <c r="BQ123" s="81"/>
    </row>
    <row customHeight="true" ht="13.333333333333332" r="124">
      <c r="A124" s="50">
        <v>46113</v>
      </c>
      <c r="B124" s="51" t="s">
        <v>76</v>
      </c>
      <c r="C124" s="52"/>
      <c r="D124" s="51"/>
      <c r="E124" s="53"/>
      <c r="F124" s="53"/>
      <c r="G124" s="53"/>
      <c r="H124" s="54"/>
      <c r="I124" s="53"/>
      <c r="J124" s="57"/>
      <c r="K124" s="51"/>
      <c r="L124" s="51"/>
      <c r="M124" s="51"/>
      <c r="N124" s="53"/>
      <c r="O124" s="56"/>
      <c r="P124" s="56"/>
      <c r="Q124" s="51"/>
      <c r="R124" s="51"/>
      <c r="S124" s="51"/>
      <c r="T124" s="51"/>
      <c r="U124" s="51"/>
      <c r="V124" s="53"/>
      <c r="W124" s="51"/>
      <c r="X124" s="57"/>
      <c r="Y124" s="51"/>
      <c r="Z124" s="51"/>
      <c r="AA124" s="51"/>
      <c r="AB124" s="51"/>
      <c r="AC124" s="51"/>
      <c r="AD124" s="51"/>
      <c r="AE124" s="51"/>
      <c r="AF124" s="51"/>
      <c r="AG124" s="51"/>
      <c r="AH124" s="58"/>
      <c r="AI124" s="52"/>
      <c r="AJ124" s="51"/>
      <c r="AK124" s="51"/>
      <c r="AL124" s="59"/>
      <c r="AM124" s="51"/>
      <c r="AN124" s="55"/>
      <c r="AO124" s="51"/>
      <c r="AP124" s="60"/>
      <c r="AQ124" s="61"/>
      <c r="AR124" s="53"/>
      <c r="AS124" s="55"/>
      <c r="AT124" s="60"/>
      <c r="AU124" s="53"/>
      <c r="AV124" s="56"/>
      <c r="AW124" s="56"/>
      <c r="AX124" s="62"/>
      <c r="AY124" s="55"/>
      <c r="AZ124" s="63"/>
      <c r="BA124" s="63"/>
      <c r="BB124" s="64"/>
      <c r="BC124" s="55"/>
      <c r="BD124" s="56"/>
      <c r="BE124" s="56"/>
      <c r="BF124" s="76"/>
      <c r="BG124" s="77"/>
      <c r="BH124" s="78"/>
      <c r="BI124" s="78"/>
      <c r="BJ124" s="79"/>
      <c r="BK124" s="51"/>
      <c r="BL124" s="62"/>
      <c r="BM124" s="51"/>
      <c r="BN124" s="51"/>
      <c r="BO124" s="51"/>
      <c r="BP124" s="81"/>
      <c r="BQ124" s="81"/>
    </row>
    <row customHeight="true" ht="13.333333333333332" r="125">
      <c r="A125" s="50">
        <v>46114</v>
      </c>
      <c r="B125" s="51" t="s">
        <v>77</v>
      </c>
      <c r="C125" s="52"/>
      <c r="D125" s="51"/>
      <c r="E125" s="53"/>
      <c r="F125" s="53"/>
      <c r="G125" s="53"/>
      <c r="H125" s="54"/>
      <c r="I125" s="53"/>
      <c r="J125" s="57"/>
      <c r="K125" s="51"/>
      <c r="L125" s="51"/>
      <c r="M125" s="51"/>
      <c r="N125" s="53"/>
      <c r="O125" s="56"/>
      <c r="P125" s="56"/>
      <c r="Q125" s="51"/>
      <c r="R125" s="51"/>
      <c r="S125" s="51"/>
      <c r="T125" s="51"/>
      <c r="U125" s="51"/>
      <c r="V125" s="53"/>
      <c r="W125" s="51"/>
      <c r="X125" s="57"/>
      <c r="Y125" s="51"/>
      <c r="Z125" s="51"/>
      <c r="AA125" s="51"/>
      <c r="AB125" s="51"/>
      <c r="AC125" s="51"/>
      <c r="AD125" s="51"/>
      <c r="AE125" s="51"/>
      <c r="AF125" s="51"/>
      <c r="AG125" s="51"/>
      <c r="AH125" s="58"/>
      <c r="AI125" s="52"/>
      <c r="AJ125" s="51"/>
      <c r="AK125" s="51"/>
      <c r="AL125" s="59"/>
      <c r="AM125" s="51"/>
      <c r="AN125" s="55"/>
      <c r="AO125" s="51"/>
      <c r="AP125" s="60"/>
      <c r="AQ125" s="61"/>
      <c r="AR125" s="53"/>
      <c r="AS125" s="55"/>
      <c r="AT125" s="60"/>
      <c r="AU125" s="53"/>
      <c r="AV125" s="56"/>
      <c r="AW125" s="56"/>
      <c r="AX125" s="62"/>
      <c r="AY125" s="55"/>
      <c r="AZ125" s="63"/>
      <c r="BA125" s="63"/>
      <c r="BB125" s="64"/>
      <c r="BC125" s="55"/>
      <c r="BD125" s="56"/>
      <c r="BE125" s="56"/>
      <c r="BF125" s="76"/>
      <c r="BG125" s="77"/>
      <c r="BH125" s="78"/>
      <c r="BI125" s="78"/>
      <c r="BJ125" s="79"/>
      <c r="BK125" s="51"/>
      <c r="BL125" s="62"/>
      <c r="BM125" s="51"/>
      <c r="BN125" s="51"/>
      <c r="BO125" s="51"/>
      <c r="BP125" s="81"/>
      <c r="BQ125" s="81"/>
    </row>
    <row customHeight="true" ht="13.333333333333332" r="126">
      <c r="A126" s="50">
        <v>46115</v>
      </c>
      <c r="B126" s="51" t="s">
        <v>78</v>
      </c>
      <c r="C126" s="52"/>
      <c r="D126" s="51"/>
      <c r="E126" s="53"/>
      <c r="F126" s="53"/>
      <c r="G126" s="53"/>
      <c r="H126" s="54"/>
      <c r="I126" s="53"/>
      <c r="J126" s="57"/>
      <c r="K126" s="51"/>
      <c r="L126" s="51"/>
      <c r="M126" s="51"/>
      <c r="N126" s="53"/>
      <c r="O126" s="56"/>
      <c r="P126" s="56"/>
      <c r="Q126" s="51"/>
      <c r="R126" s="51"/>
      <c r="S126" s="51"/>
      <c r="T126" s="51"/>
      <c r="U126" s="51"/>
      <c r="V126" s="53"/>
      <c r="W126" s="51"/>
      <c r="X126" s="57"/>
      <c r="Y126" s="51"/>
      <c r="Z126" s="51"/>
      <c r="AA126" s="51"/>
      <c r="AB126" s="51"/>
      <c r="AC126" s="51"/>
      <c r="AD126" s="51"/>
      <c r="AE126" s="51"/>
      <c r="AF126" s="51"/>
      <c r="AG126" s="51"/>
      <c r="AH126" s="58"/>
      <c r="AI126" s="52"/>
      <c r="AJ126" s="51"/>
      <c r="AK126" s="51"/>
      <c r="AL126" s="59"/>
      <c r="AM126" s="51"/>
      <c r="AN126" s="55"/>
      <c r="AO126" s="51"/>
      <c r="AP126" s="60"/>
      <c r="AQ126" s="61"/>
      <c r="AR126" s="53"/>
      <c r="AS126" s="55"/>
      <c r="AT126" s="60"/>
      <c r="AU126" s="53"/>
      <c r="AV126" s="56"/>
      <c r="AW126" s="56"/>
      <c r="AX126" s="62"/>
      <c r="AY126" s="55"/>
      <c r="AZ126" s="63"/>
      <c r="BA126" s="63"/>
      <c r="BB126" s="64"/>
      <c r="BC126" s="55"/>
      <c r="BD126" s="56"/>
      <c r="BE126" s="56"/>
      <c r="BF126" s="76"/>
      <c r="BG126" s="77"/>
      <c r="BH126" s="78"/>
      <c r="BI126" s="78"/>
      <c r="BJ126" s="79"/>
      <c r="BK126" s="51"/>
      <c r="BL126" s="62"/>
      <c r="BM126" s="51"/>
      <c r="BN126" s="51"/>
      <c r="BO126" s="51"/>
      <c r="BP126" s="81"/>
      <c r="BQ126" s="81"/>
    </row>
    <row customHeight="true" ht="13.333333333333332" r="127">
      <c r="A127" s="50">
        <v>46116</v>
      </c>
      <c r="B127" s="51" t="s">
        <v>79</v>
      </c>
      <c r="C127" s="52"/>
      <c r="D127" s="51"/>
      <c r="E127" s="53"/>
      <c r="F127" s="53"/>
      <c r="G127" s="53"/>
      <c r="H127" s="54"/>
      <c r="I127" s="53"/>
      <c r="J127" s="57"/>
      <c r="K127" s="51"/>
      <c r="L127" s="51"/>
      <c r="M127" s="51"/>
      <c r="N127" s="53"/>
      <c r="O127" s="56"/>
      <c r="P127" s="56"/>
      <c r="Q127" s="51"/>
      <c r="R127" s="51"/>
      <c r="S127" s="51"/>
      <c r="T127" s="51"/>
      <c r="U127" s="51"/>
      <c r="V127" s="53"/>
      <c r="W127" s="51"/>
      <c r="X127" s="57"/>
      <c r="Y127" s="51"/>
      <c r="Z127" s="51"/>
      <c r="AA127" s="51"/>
      <c r="AB127" s="51"/>
      <c r="AC127" s="51"/>
      <c r="AD127" s="51"/>
      <c r="AE127" s="51"/>
      <c r="AF127" s="51"/>
      <c r="AG127" s="51"/>
      <c r="AH127" s="58"/>
      <c r="AI127" s="52"/>
      <c r="AJ127" s="51"/>
      <c r="AK127" s="51"/>
      <c r="AL127" s="59"/>
      <c r="AM127" s="51"/>
      <c r="AN127" s="55"/>
      <c r="AO127" s="51"/>
      <c r="AP127" s="60"/>
      <c r="AQ127" s="61"/>
      <c r="AR127" s="53"/>
      <c r="AS127" s="55"/>
      <c r="AT127" s="60"/>
      <c r="AU127" s="53"/>
      <c r="AV127" s="56"/>
      <c r="AW127" s="56"/>
      <c r="AX127" s="62"/>
      <c r="AY127" s="55"/>
      <c r="AZ127" s="63"/>
      <c r="BA127" s="63"/>
      <c r="BB127" s="64"/>
      <c r="BC127" s="55"/>
      <c r="BD127" s="56"/>
      <c r="BE127" s="56"/>
      <c r="BF127" s="76"/>
      <c r="BG127" s="77"/>
      <c r="BH127" s="78"/>
      <c r="BI127" s="78"/>
      <c r="BJ127" s="79"/>
      <c r="BK127" s="51"/>
      <c r="BL127" s="62"/>
      <c r="BM127" s="51"/>
      <c r="BN127" s="51"/>
      <c r="BO127" s="51"/>
      <c r="BP127" s="81"/>
      <c r="BQ127" s="81"/>
    </row>
    <row customHeight="true" ht="13.333333333333332" r="128">
      <c r="A128" s="50">
        <v>46117</v>
      </c>
      <c r="B128" s="51" t="s">
        <v>80</v>
      </c>
      <c r="C128" s="52"/>
      <c r="D128" s="51"/>
      <c r="E128" s="53"/>
      <c r="F128" s="53"/>
      <c r="G128" s="53"/>
      <c r="H128" s="54"/>
      <c r="I128" s="53"/>
      <c r="J128" s="57"/>
      <c r="K128" s="51"/>
      <c r="L128" s="51"/>
      <c r="M128" s="51"/>
      <c r="N128" s="53"/>
      <c r="O128" s="56"/>
      <c r="P128" s="56"/>
      <c r="Q128" s="51"/>
      <c r="R128" s="51"/>
      <c r="S128" s="51"/>
      <c r="T128" s="51"/>
      <c r="U128" s="51"/>
      <c r="V128" s="53"/>
      <c r="W128" s="51"/>
      <c r="X128" s="57"/>
      <c r="Y128" s="51"/>
      <c r="Z128" s="51"/>
      <c r="AA128" s="51"/>
      <c r="AB128" s="51"/>
      <c r="AC128" s="51"/>
      <c r="AD128" s="51"/>
      <c r="AE128" s="51"/>
      <c r="AF128" s="51"/>
      <c r="AG128" s="51"/>
      <c r="AH128" s="58"/>
      <c r="AI128" s="52"/>
      <c r="AJ128" s="51"/>
      <c r="AK128" s="51"/>
      <c r="AL128" s="59"/>
      <c r="AM128" s="51"/>
      <c r="AN128" s="55"/>
      <c r="AO128" s="51"/>
      <c r="AP128" s="60"/>
      <c r="AQ128" s="61"/>
      <c r="AR128" s="53"/>
      <c r="AS128" s="55"/>
      <c r="AT128" s="60"/>
      <c r="AU128" s="53"/>
      <c r="AV128" s="56"/>
      <c r="AW128" s="56"/>
      <c r="AX128" s="62"/>
      <c r="AY128" s="55"/>
      <c r="AZ128" s="63"/>
      <c r="BA128" s="63"/>
      <c r="BB128" s="64"/>
      <c r="BC128" s="55"/>
      <c r="BD128" s="56"/>
      <c r="BE128" s="56"/>
      <c r="BF128" s="76"/>
      <c r="BG128" s="77"/>
      <c r="BH128" s="78"/>
      <c r="BI128" s="78"/>
      <c r="BJ128" s="79"/>
      <c r="BK128" s="51"/>
      <c r="BL128" s="62"/>
      <c r="BM128" s="51"/>
      <c r="BN128" s="51"/>
      <c r="BO128" s="51"/>
      <c r="BP128" s="81"/>
      <c r="BQ128" s="81"/>
    </row>
    <row customHeight="true" ht="13.333333333333332" r="129">
      <c r="A129" s="50">
        <v>46118</v>
      </c>
      <c r="B129" s="51" t="s">
        <v>71</v>
      </c>
      <c r="C129" s="52"/>
      <c r="D129" s="51"/>
      <c r="E129" s="53"/>
      <c r="F129" s="53"/>
      <c r="G129" s="53"/>
      <c r="H129" s="54"/>
      <c r="I129" s="53"/>
      <c r="J129" s="57"/>
      <c r="K129" s="51"/>
      <c r="L129" s="51"/>
      <c r="M129" s="51"/>
      <c r="N129" s="53"/>
      <c r="O129" s="56"/>
      <c r="P129" s="56"/>
      <c r="Q129" s="51"/>
      <c r="R129" s="51"/>
      <c r="S129" s="51"/>
      <c r="T129" s="51"/>
      <c r="U129" s="51"/>
      <c r="V129" s="53"/>
      <c r="W129" s="51"/>
      <c r="X129" s="57"/>
      <c r="Y129" s="51"/>
      <c r="Z129" s="51"/>
      <c r="AA129" s="51"/>
      <c r="AB129" s="51"/>
      <c r="AC129" s="51"/>
      <c r="AD129" s="51"/>
      <c r="AE129" s="51"/>
      <c r="AF129" s="51"/>
      <c r="AG129" s="51"/>
      <c r="AH129" s="58"/>
      <c r="AI129" s="52"/>
      <c r="AJ129" s="51"/>
      <c r="AK129" s="51"/>
      <c r="AL129" s="59"/>
      <c r="AM129" s="51"/>
      <c r="AN129" s="55"/>
      <c r="AO129" s="51"/>
      <c r="AP129" s="60"/>
      <c r="AQ129" s="61"/>
      <c r="AR129" s="53"/>
      <c r="AS129" s="55"/>
      <c r="AT129" s="60"/>
      <c r="AU129" s="53"/>
      <c r="AV129" s="56"/>
      <c r="AW129" s="56"/>
      <c r="AX129" s="62"/>
      <c r="AY129" s="55"/>
      <c r="AZ129" s="63"/>
      <c r="BA129" s="63"/>
      <c r="BB129" s="64"/>
      <c r="BC129" s="55"/>
      <c r="BD129" s="56"/>
      <c r="BE129" s="56"/>
      <c r="BF129" s="76"/>
      <c r="BG129" s="77"/>
      <c r="BH129" s="78"/>
      <c r="BI129" s="78"/>
      <c r="BJ129" s="79"/>
      <c r="BK129" s="51"/>
      <c r="BL129" s="62"/>
      <c r="BM129" s="51"/>
      <c r="BN129" s="51"/>
      <c r="BO129" s="51"/>
      <c r="BP129" s="81"/>
      <c r="BQ129" s="81"/>
    </row>
    <row customHeight="true" ht="13.333333333333332" r="130">
      <c r="A130" s="50">
        <v>46119</v>
      </c>
      <c r="B130" s="51" t="s">
        <v>75</v>
      </c>
      <c r="C130" s="52"/>
      <c r="D130" s="51"/>
      <c r="E130" s="53"/>
      <c r="F130" s="53"/>
      <c r="G130" s="53"/>
      <c r="H130" s="54"/>
      <c r="I130" s="53"/>
      <c r="J130" s="57"/>
      <c r="K130" s="51"/>
      <c r="L130" s="51"/>
      <c r="M130" s="51"/>
      <c r="N130" s="53"/>
      <c r="O130" s="56"/>
      <c r="P130" s="56"/>
      <c r="Q130" s="51"/>
      <c r="R130" s="51"/>
      <c r="S130" s="51"/>
      <c r="T130" s="51"/>
      <c r="U130" s="51"/>
      <c r="V130" s="53"/>
      <c r="W130" s="51"/>
      <c r="X130" s="57"/>
      <c r="Y130" s="51"/>
      <c r="Z130" s="51"/>
      <c r="AA130" s="51"/>
      <c r="AB130" s="51"/>
      <c r="AC130" s="51"/>
      <c r="AD130" s="51"/>
      <c r="AE130" s="51"/>
      <c r="AF130" s="51"/>
      <c r="AG130" s="51"/>
      <c r="AH130" s="58"/>
      <c r="AI130" s="52"/>
      <c r="AJ130" s="51"/>
      <c r="AK130" s="51"/>
      <c r="AL130" s="59"/>
      <c r="AM130" s="51"/>
      <c r="AN130" s="55"/>
      <c r="AO130" s="51"/>
      <c r="AP130" s="60"/>
      <c r="AQ130" s="61"/>
      <c r="AR130" s="53"/>
      <c r="AS130" s="55"/>
      <c r="AT130" s="60"/>
      <c r="AU130" s="53"/>
      <c r="AV130" s="56"/>
      <c r="AW130" s="56"/>
      <c r="AX130" s="62"/>
      <c r="AY130" s="55"/>
      <c r="AZ130" s="63"/>
      <c r="BA130" s="63"/>
      <c r="BB130" s="64"/>
      <c r="BC130" s="55"/>
      <c r="BD130" s="56"/>
      <c r="BE130" s="56"/>
      <c r="BF130" s="76"/>
      <c r="BG130" s="77"/>
      <c r="BH130" s="78"/>
      <c r="BI130" s="78"/>
      <c r="BJ130" s="79"/>
      <c r="BK130" s="51"/>
      <c r="BL130" s="62"/>
      <c r="BM130" s="51"/>
      <c r="BN130" s="51"/>
      <c r="BO130" s="51"/>
      <c r="BP130" s="81"/>
      <c r="BQ130" s="81"/>
    </row>
    <row customHeight="true" ht="13.333333333333332" r="131">
      <c r="A131" s="50">
        <v>46120</v>
      </c>
      <c r="B131" s="51" t="s">
        <v>76</v>
      </c>
      <c r="C131" s="52"/>
      <c r="D131" s="51"/>
      <c r="E131" s="53"/>
      <c r="F131" s="53"/>
      <c r="G131" s="53"/>
      <c r="H131" s="54"/>
      <c r="I131" s="53"/>
      <c r="J131" s="57"/>
      <c r="K131" s="51"/>
      <c r="L131" s="51"/>
      <c r="M131" s="51"/>
      <c r="N131" s="53"/>
      <c r="O131" s="56"/>
      <c r="P131" s="56"/>
      <c r="Q131" s="51"/>
      <c r="R131" s="51"/>
      <c r="S131" s="51"/>
      <c r="T131" s="51"/>
      <c r="U131" s="51"/>
      <c r="V131" s="53"/>
      <c r="W131" s="51"/>
      <c r="X131" s="57"/>
      <c r="Y131" s="51"/>
      <c r="Z131" s="51"/>
      <c r="AA131" s="51"/>
      <c r="AB131" s="51"/>
      <c r="AC131" s="51"/>
      <c r="AD131" s="51"/>
      <c r="AE131" s="51"/>
      <c r="AF131" s="51"/>
      <c r="AG131" s="51"/>
      <c r="AH131" s="58"/>
      <c r="AI131" s="52"/>
      <c r="AJ131" s="51"/>
      <c r="AK131" s="51"/>
      <c r="AL131" s="59"/>
      <c r="AM131" s="51"/>
      <c r="AN131" s="55"/>
      <c r="AO131" s="51"/>
      <c r="AP131" s="60"/>
      <c r="AQ131" s="61"/>
      <c r="AR131" s="53"/>
      <c r="AS131" s="55"/>
      <c r="AT131" s="60"/>
      <c r="AU131" s="53"/>
      <c r="AV131" s="56"/>
      <c r="AW131" s="56"/>
      <c r="AX131" s="62"/>
      <c r="AY131" s="55"/>
      <c r="AZ131" s="63"/>
      <c r="BA131" s="63"/>
      <c r="BB131" s="64"/>
      <c r="BC131" s="55"/>
      <c r="BD131" s="56"/>
      <c r="BE131" s="56"/>
      <c r="BF131" s="76"/>
      <c r="BG131" s="77"/>
      <c r="BH131" s="78"/>
      <c r="BI131" s="78"/>
      <c r="BJ131" s="79"/>
      <c r="BK131" s="51"/>
      <c r="BL131" s="62"/>
      <c r="BM131" s="51"/>
      <c r="BN131" s="51"/>
      <c r="BO131" s="51"/>
      <c r="BP131" s="81"/>
      <c r="BQ131" s="81"/>
    </row>
    <row customHeight="true" ht="13.333333333333332" r="132">
      <c r="A132" s="50">
        <v>46121</v>
      </c>
      <c r="B132" s="51" t="s">
        <v>77</v>
      </c>
      <c r="C132" s="52"/>
      <c r="D132" s="51"/>
      <c r="E132" s="53"/>
      <c r="F132" s="53"/>
      <c r="G132" s="53"/>
      <c r="H132" s="54"/>
      <c r="I132" s="53"/>
      <c r="J132" s="57"/>
      <c r="K132" s="51"/>
      <c r="L132" s="51"/>
      <c r="M132" s="51"/>
      <c r="N132" s="53"/>
      <c r="O132" s="56"/>
      <c r="P132" s="56"/>
      <c r="Q132" s="51"/>
      <c r="R132" s="51"/>
      <c r="S132" s="51"/>
      <c r="T132" s="51"/>
      <c r="U132" s="51"/>
      <c r="V132" s="53"/>
      <c r="W132" s="51"/>
      <c r="X132" s="57"/>
      <c r="Y132" s="51"/>
      <c r="Z132" s="51"/>
      <c r="AA132" s="51"/>
      <c r="AB132" s="51"/>
      <c r="AC132" s="51"/>
      <c r="AD132" s="51"/>
      <c r="AE132" s="51"/>
      <c r="AF132" s="51"/>
      <c r="AG132" s="51"/>
      <c r="AH132" s="58"/>
      <c r="AI132" s="52"/>
      <c r="AJ132" s="51"/>
      <c r="AK132" s="51"/>
      <c r="AL132" s="59"/>
      <c r="AM132" s="51"/>
      <c r="AN132" s="55"/>
      <c r="AO132" s="51"/>
      <c r="AP132" s="60"/>
      <c r="AQ132" s="61"/>
      <c r="AR132" s="53"/>
      <c r="AS132" s="55"/>
      <c r="AT132" s="60"/>
      <c r="AU132" s="53"/>
      <c r="AV132" s="56"/>
      <c r="AW132" s="56"/>
      <c r="AX132" s="62"/>
      <c r="AY132" s="55"/>
      <c r="AZ132" s="63"/>
      <c r="BA132" s="63"/>
      <c r="BB132" s="64"/>
      <c r="BC132" s="55"/>
      <c r="BD132" s="56"/>
      <c r="BE132" s="56"/>
      <c r="BF132" s="76"/>
      <c r="BG132" s="77"/>
      <c r="BH132" s="78"/>
      <c r="BI132" s="78"/>
      <c r="BJ132" s="79"/>
      <c r="BK132" s="51"/>
      <c r="BL132" s="62"/>
      <c r="BM132" s="51"/>
      <c r="BN132" s="51"/>
      <c r="BO132" s="51"/>
      <c r="BP132" s="81"/>
      <c r="BQ132" s="81"/>
    </row>
    <row customHeight="true" ht="13.333333333333332" r="133">
      <c r="A133" s="50">
        <v>46122</v>
      </c>
      <c r="B133" s="51" t="s">
        <v>78</v>
      </c>
      <c r="C133" s="52"/>
      <c r="D133" s="51"/>
      <c r="E133" s="53"/>
      <c r="F133" s="53"/>
      <c r="G133" s="53"/>
      <c r="H133" s="54"/>
      <c r="I133" s="53"/>
      <c r="J133" s="57"/>
      <c r="K133" s="51"/>
      <c r="L133" s="51"/>
      <c r="M133" s="51"/>
      <c r="N133" s="53"/>
      <c r="O133" s="56"/>
      <c r="P133" s="56"/>
      <c r="Q133" s="51"/>
      <c r="R133" s="51"/>
      <c r="S133" s="51"/>
      <c r="T133" s="51"/>
      <c r="U133" s="51"/>
      <c r="V133" s="53"/>
      <c r="W133" s="51"/>
      <c r="X133" s="57"/>
      <c r="Y133" s="51"/>
      <c r="Z133" s="51"/>
      <c r="AA133" s="51"/>
      <c r="AB133" s="51"/>
      <c r="AC133" s="51"/>
      <c r="AD133" s="51"/>
      <c r="AE133" s="51"/>
      <c r="AF133" s="51"/>
      <c r="AG133" s="51"/>
      <c r="AH133" s="58"/>
      <c r="AI133" s="52"/>
      <c r="AJ133" s="51"/>
      <c r="AK133" s="51"/>
      <c r="AL133" s="59"/>
      <c r="AM133" s="51"/>
      <c r="AN133" s="55"/>
      <c r="AO133" s="51"/>
      <c r="AP133" s="60"/>
      <c r="AQ133" s="61"/>
      <c r="AR133" s="53"/>
      <c r="AS133" s="55"/>
      <c r="AT133" s="60"/>
      <c r="AU133" s="53"/>
      <c r="AV133" s="56"/>
      <c r="AW133" s="56"/>
      <c r="AX133" s="62"/>
      <c r="AY133" s="55"/>
      <c r="AZ133" s="63"/>
      <c r="BA133" s="63"/>
      <c r="BB133" s="64"/>
      <c r="BC133" s="55"/>
      <c r="BD133" s="56"/>
      <c r="BE133" s="56"/>
      <c r="BF133" s="76"/>
      <c r="BG133" s="77"/>
      <c r="BH133" s="78"/>
      <c r="BI133" s="78"/>
      <c r="BJ133" s="79"/>
      <c r="BK133" s="51"/>
      <c r="BL133" s="62"/>
      <c r="BM133" s="51"/>
      <c r="BN133" s="51"/>
      <c r="BO133" s="51"/>
      <c r="BP133" s="81"/>
      <c r="BQ133" s="81"/>
    </row>
    <row customHeight="true" ht="13.333333333333332" r="134">
      <c r="A134" s="50">
        <v>46123</v>
      </c>
      <c r="B134" s="51" t="s">
        <v>79</v>
      </c>
      <c r="C134" s="52"/>
      <c r="D134" s="51"/>
      <c r="E134" s="53"/>
      <c r="F134" s="53"/>
      <c r="G134" s="53"/>
      <c r="H134" s="54"/>
      <c r="I134" s="53"/>
      <c r="J134" s="57"/>
      <c r="K134" s="51"/>
      <c r="L134" s="51"/>
      <c r="M134" s="51"/>
      <c r="N134" s="53"/>
      <c r="O134" s="56"/>
      <c r="P134" s="56"/>
      <c r="Q134" s="51"/>
      <c r="R134" s="51"/>
      <c r="S134" s="51"/>
      <c r="T134" s="51"/>
      <c r="U134" s="51"/>
      <c r="V134" s="53"/>
      <c r="W134" s="51"/>
      <c r="X134" s="57"/>
      <c r="Y134" s="51"/>
      <c r="Z134" s="51"/>
      <c r="AA134" s="51"/>
      <c r="AB134" s="51"/>
      <c r="AC134" s="51"/>
      <c r="AD134" s="51"/>
      <c r="AE134" s="51"/>
      <c r="AF134" s="51"/>
      <c r="AG134" s="51"/>
      <c r="AH134" s="58"/>
      <c r="AI134" s="52"/>
      <c r="AJ134" s="51"/>
      <c r="AK134" s="51"/>
      <c r="AL134" s="59"/>
      <c r="AM134" s="51"/>
      <c r="AN134" s="55"/>
      <c r="AO134" s="51"/>
      <c r="AP134" s="60"/>
      <c r="AQ134" s="61"/>
      <c r="AR134" s="53"/>
      <c r="AS134" s="55"/>
      <c r="AT134" s="60"/>
      <c r="AU134" s="53"/>
      <c r="AV134" s="56"/>
      <c r="AW134" s="56"/>
      <c r="AX134" s="62"/>
      <c r="AY134" s="55"/>
      <c r="AZ134" s="63"/>
      <c r="BA134" s="63"/>
      <c r="BB134" s="64"/>
      <c r="BC134" s="55"/>
      <c r="BD134" s="56"/>
      <c r="BE134" s="56"/>
      <c r="BF134" s="76"/>
      <c r="BG134" s="77"/>
      <c r="BH134" s="78"/>
      <c r="BI134" s="78"/>
      <c r="BJ134" s="79"/>
      <c r="BK134" s="51"/>
      <c r="BL134" s="62"/>
      <c r="BM134" s="51"/>
      <c r="BN134" s="51"/>
      <c r="BO134" s="51"/>
      <c r="BP134" s="81"/>
      <c r="BQ134" s="81"/>
    </row>
    <row customHeight="true" ht="13.333333333333332" r="135">
      <c r="A135" s="50">
        <v>46124</v>
      </c>
      <c r="B135" s="51" t="s">
        <v>80</v>
      </c>
      <c r="C135" s="52"/>
      <c r="D135" s="51"/>
      <c r="E135" s="53"/>
      <c r="F135" s="53"/>
      <c r="G135" s="53"/>
      <c r="H135" s="54"/>
      <c r="I135" s="53"/>
      <c r="J135" s="57"/>
      <c r="K135" s="51"/>
      <c r="L135" s="51"/>
      <c r="M135" s="51"/>
      <c r="N135" s="53"/>
      <c r="O135" s="56"/>
      <c r="P135" s="56"/>
      <c r="Q135" s="51"/>
      <c r="R135" s="51"/>
      <c r="S135" s="51"/>
      <c r="T135" s="51"/>
      <c r="U135" s="51"/>
      <c r="V135" s="53"/>
      <c r="W135" s="51"/>
      <c r="X135" s="57"/>
      <c r="Y135" s="51"/>
      <c r="Z135" s="51"/>
      <c r="AA135" s="51"/>
      <c r="AB135" s="51"/>
      <c r="AC135" s="51"/>
      <c r="AD135" s="51"/>
      <c r="AE135" s="51"/>
      <c r="AF135" s="51"/>
      <c r="AG135" s="51"/>
      <c r="AH135" s="58"/>
      <c r="AI135" s="52"/>
      <c r="AJ135" s="51"/>
      <c r="AK135" s="51"/>
      <c r="AL135" s="59"/>
      <c r="AM135" s="51"/>
      <c r="AN135" s="55"/>
      <c r="AO135" s="51"/>
      <c r="AP135" s="60"/>
      <c r="AQ135" s="61"/>
      <c r="AR135" s="53"/>
      <c r="AS135" s="55"/>
      <c r="AT135" s="60"/>
      <c r="AU135" s="53"/>
      <c r="AV135" s="56"/>
      <c r="AW135" s="56"/>
      <c r="AX135" s="62"/>
      <c r="AY135" s="55"/>
      <c r="AZ135" s="63"/>
      <c r="BA135" s="63"/>
      <c r="BB135" s="64"/>
      <c r="BC135" s="55"/>
      <c r="BD135" s="56"/>
      <c r="BE135" s="56"/>
      <c r="BF135" s="76"/>
      <c r="BG135" s="77"/>
      <c r="BH135" s="78"/>
      <c r="BI135" s="78"/>
      <c r="BJ135" s="79"/>
      <c r="BK135" s="51"/>
      <c r="BL135" s="62"/>
      <c r="BM135" s="51"/>
      <c r="BN135" s="51"/>
      <c r="BO135" s="51"/>
      <c r="BP135" s="81"/>
      <c r="BQ135" s="81"/>
    </row>
    <row customHeight="true" ht="13.333333333333332" r="136">
      <c r="A136" s="50">
        <v>46125</v>
      </c>
      <c r="B136" s="51" t="s">
        <v>71</v>
      </c>
      <c r="C136" s="52"/>
      <c r="D136" s="51"/>
      <c r="E136" s="53"/>
      <c r="F136" s="53"/>
      <c r="G136" s="53"/>
      <c r="H136" s="54"/>
      <c r="I136" s="53"/>
      <c r="J136" s="57"/>
      <c r="K136" s="51"/>
      <c r="L136" s="51"/>
      <c r="M136" s="51"/>
      <c r="N136" s="53"/>
      <c r="O136" s="56"/>
      <c r="P136" s="56"/>
      <c r="Q136" s="51"/>
      <c r="R136" s="51"/>
      <c r="S136" s="51"/>
      <c r="T136" s="51"/>
      <c r="U136" s="51"/>
      <c r="V136" s="53"/>
      <c r="W136" s="51"/>
      <c r="X136" s="57"/>
      <c r="Y136" s="51"/>
      <c r="Z136" s="51"/>
      <c r="AA136" s="51"/>
      <c r="AB136" s="51"/>
      <c r="AC136" s="51"/>
      <c r="AD136" s="51"/>
      <c r="AE136" s="51"/>
      <c r="AF136" s="51"/>
      <c r="AG136" s="51"/>
      <c r="AH136" s="58"/>
      <c r="AI136" s="52"/>
      <c r="AJ136" s="51"/>
      <c r="AK136" s="51"/>
      <c r="AL136" s="59"/>
      <c r="AM136" s="51"/>
      <c r="AN136" s="55"/>
      <c r="AO136" s="51"/>
      <c r="AP136" s="60"/>
      <c r="AQ136" s="61"/>
      <c r="AR136" s="53"/>
      <c r="AS136" s="55"/>
      <c r="AT136" s="60"/>
      <c r="AU136" s="53"/>
      <c r="AV136" s="56"/>
      <c r="AW136" s="56"/>
      <c r="AX136" s="62"/>
      <c r="AY136" s="55"/>
      <c r="AZ136" s="63"/>
      <c r="BA136" s="63"/>
      <c r="BB136" s="64"/>
      <c r="BC136" s="55"/>
      <c r="BD136" s="56"/>
      <c r="BE136" s="56"/>
      <c r="BF136" s="76"/>
      <c r="BG136" s="77"/>
      <c r="BH136" s="78"/>
      <c r="BI136" s="78"/>
      <c r="BJ136" s="79"/>
      <c r="BK136" s="51"/>
      <c r="BL136" s="62"/>
      <c r="BM136" s="51"/>
      <c r="BN136" s="51"/>
      <c r="BO136" s="51"/>
      <c r="BP136" s="81"/>
      <c r="BQ136" s="81"/>
    </row>
    <row customHeight="true" ht="13.333333333333332" r="137">
      <c r="A137" s="50">
        <v>46126</v>
      </c>
      <c r="B137" s="51" t="s">
        <v>75</v>
      </c>
      <c r="C137" s="52"/>
      <c r="D137" s="51"/>
      <c r="E137" s="53"/>
      <c r="F137" s="53"/>
      <c r="G137" s="53"/>
      <c r="H137" s="54"/>
      <c r="I137" s="53"/>
      <c r="J137" s="57"/>
      <c r="K137" s="51"/>
      <c r="L137" s="51"/>
      <c r="M137" s="51"/>
      <c r="N137" s="53"/>
      <c r="O137" s="56"/>
      <c r="P137" s="56"/>
      <c r="Q137" s="51"/>
      <c r="R137" s="51"/>
      <c r="S137" s="51"/>
      <c r="T137" s="51"/>
      <c r="U137" s="51"/>
      <c r="V137" s="53"/>
      <c r="W137" s="51"/>
      <c r="X137" s="57"/>
      <c r="Y137" s="51"/>
      <c r="Z137" s="51"/>
      <c r="AA137" s="51"/>
      <c r="AB137" s="51"/>
      <c r="AC137" s="51"/>
      <c r="AD137" s="51"/>
      <c r="AE137" s="51"/>
      <c r="AF137" s="51"/>
      <c r="AG137" s="51"/>
      <c r="AH137" s="58"/>
      <c r="AI137" s="52"/>
      <c r="AJ137" s="51"/>
      <c r="AK137" s="51"/>
      <c r="AL137" s="59"/>
      <c r="AM137" s="51"/>
      <c r="AN137" s="55"/>
      <c r="AO137" s="51"/>
      <c r="AP137" s="60"/>
      <c r="AQ137" s="61"/>
      <c r="AR137" s="53"/>
      <c r="AS137" s="55"/>
      <c r="AT137" s="60"/>
      <c r="AU137" s="53"/>
      <c r="AV137" s="56"/>
      <c r="AW137" s="56"/>
      <c r="AX137" s="62"/>
      <c r="AY137" s="55"/>
      <c r="AZ137" s="63"/>
      <c r="BA137" s="63"/>
      <c r="BB137" s="64"/>
      <c r="BC137" s="55"/>
      <c r="BD137" s="56"/>
      <c r="BE137" s="56"/>
      <c r="BF137" s="76"/>
      <c r="BG137" s="77"/>
      <c r="BH137" s="78"/>
      <c r="BI137" s="78"/>
      <c r="BJ137" s="79"/>
      <c r="BK137" s="51"/>
      <c r="BL137" s="62"/>
      <c r="BM137" s="51"/>
      <c r="BN137" s="51"/>
      <c r="BO137" s="51"/>
      <c r="BP137" s="81"/>
      <c r="BQ137" s="81"/>
    </row>
    <row customHeight="true" ht="13.333333333333332" r="138">
      <c r="A138" s="50">
        <v>46127</v>
      </c>
      <c r="B138" s="51" t="s">
        <v>76</v>
      </c>
      <c r="C138" s="52"/>
      <c r="D138" s="51"/>
      <c r="E138" s="53"/>
      <c r="F138" s="53"/>
      <c r="G138" s="53"/>
      <c r="H138" s="54"/>
      <c r="I138" s="53"/>
      <c r="J138" s="57"/>
      <c r="K138" s="51"/>
      <c r="L138" s="51"/>
      <c r="M138" s="51"/>
      <c r="N138" s="53"/>
      <c r="O138" s="56"/>
      <c r="P138" s="56"/>
      <c r="Q138" s="51"/>
      <c r="R138" s="51"/>
      <c r="S138" s="51"/>
      <c r="T138" s="51"/>
      <c r="U138" s="51"/>
      <c r="V138" s="53"/>
      <c r="W138" s="51"/>
      <c r="X138" s="57"/>
      <c r="Y138" s="51"/>
      <c r="Z138" s="51"/>
      <c r="AA138" s="51"/>
      <c r="AB138" s="51"/>
      <c r="AC138" s="51"/>
      <c r="AD138" s="51"/>
      <c r="AE138" s="51"/>
      <c r="AF138" s="51"/>
      <c r="AG138" s="51"/>
      <c r="AH138" s="58"/>
      <c r="AI138" s="52"/>
      <c r="AJ138" s="51"/>
      <c r="AK138" s="51"/>
      <c r="AL138" s="59"/>
      <c r="AM138" s="51"/>
      <c r="AN138" s="55"/>
      <c r="AO138" s="51"/>
      <c r="AP138" s="60"/>
      <c r="AQ138" s="61"/>
      <c r="AR138" s="53"/>
      <c r="AS138" s="55"/>
      <c r="AT138" s="60"/>
      <c r="AU138" s="53"/>
      <c r="AV138" s="56"/>
      <c r="AW138" s="56"/>
      <c r="AX138" s="62"/>
      <c r="AY138" s="55"/>
      <c r="AZ138" s="63"/>
      <c r="BA138" s="63"/>
      <c r="BB138" s="64"/>
      <c r="BC138" s="55"/>
      <c r="BD138" s="56"/>
      <c r="BE138" s="56"/>
      <c r="BF138" s="76"/>
      <c r="BG138" s="77"/>
      <c r="BH138" s="78"/>
      <c r="BI138" s="78"/>
      <c r="BJ138" s="79"/>
      <c r="BK138" s="51"/>
      <c r="BL138" s="62"/>
      <c r="BM138" s="51"/>
      <c r="BN138" s="51"/>
      <c r="BO138" s="51"/>
      <c r="BP138" s="81"/>
      <c r="BQ138" s="81"/>
    </row>
    <row customHeight="true" ht="13.333333333333332" r="139">
      <c r="A139" s="50">
        <v>46128</v>
      </c>
      <c r="B139" s="51" t="s">
        <v>77</v>
      </c>
      <c r="C139" s="52"/>
      <c r="D139" s="51"/>
      <c r="E139" s="53"/>
      <c r="F139" s="53"/>
      <c r="G139" s="53"/>
      <c r="H139" s="54"/>
      <c r="I139" s="53"/>
      <c r="J139" s="57"/>
      <c r="K139" s="51"/>
      <c r="L139" s="51"/>
      <c r="M139" s="51"/>
      <c r="N139" s="53"/>
      <c r="O139" s="56"/>
      <c r="P139" s="56"/>
      <c r="Q139" s="51"/>
      <c r="R139" s="51"/>
      <c r="S139" s="51"/>
      <c r="T139" s="51"/>
      <c r="U139" s="51"/>
      <c r="V139" s="53"/>
      <c r="W139" s="51"/>
      <c r="X139" s="57"/>
      <c r="Y139" s="51"/>
      <c r="Z139" s="51"/>
      <c r="AA139" s="51"/>
      <c r="AB139" s="51"/>
      <c r="AC139" s="51"/>
      <c r="AD139" s="51"/>
      <c r="AE139" s="51"/>
      <c r="AF139" s="51"/>
      <c r="AG139" s="51"/>
      <c r="AH139" s="58"/>
      <c r="AI139" s="52"/>
      <c r="AJ139" s="51"/>
      <c r="AK139" s="51"/>
      <c r="AL139" s="59"/>
      <c r="AM139" s="51"/>
      <c r="AN139" s="55"/>
      <c r="AO139" s="51"/>
      <c r="AP139" s="60"/>
      <c r="AQ139" s="61"/>
      <c r="AR139" s="53"/>
      <c r="AS139" s="55"/>
      <c r="AT139" s="60"/>
      <c r="AU139" s="53"/>
      <c r="AV139" s="56"/>
      <c r="AW139" s="56"/>
      <c r="AX139" s="62"/>
      <c r="AY139" s="55"/>
      <c r="AZ139" s="63"/>
      <c r="BA139" s="63"/>
      <c r="BB139" s="64"/>
      <c r="BC139" s="55"/>
      <c r="BD139" s="56"/>
      <c r="BE139" s="56"/>
      <c r="BF139" s="76"/>
      <c r="BG139" s="77"/>
      <c r="BH139" s="78"/>
      <c r="BI139" s="78"/>
      <c r="BJ139" s="79"/>
      <c r="BK139" s="51"/>
      <c r="BL139" s="62"/>
      <c r="BM139" s="51"/>
      <c r="BN139" s="51"/>
      <c r="BO139" s="51"/>
      <c r="BP139" s="81"/>
      <c r="BQ139" s="81"/>
    </row>
    <row customHeight="true" ht="13.333333333333332" r="140">
      <c r="A140" s="50">
        <v>46129</v>
      </c>
      <c r="B140" s="51" t="s">
        <v>78</v>
      </c>
      <c r="C140" s="52"/>
      <c r="D140" s="51"/>
      <c r="E140" s="53"/>
      <c r="F140" s="53"/>
      <c r="G140" s="53"/>
      <c r="H140" s="54"/>
      <c r="I140" s="53"/>
      <c r="J140" s="57"/>
      <c r="K140" s="51"/>
      <c r="L140" s="51"/>
      <c r="M140" s="51"/>
      <c r="N140" s="53"/>
      <c r="O140" s="56"/>
      <c r="P140" s="56"/>
      <c r="Q140" s="51"/>
      <c r="R140" s="51"/>
      <c r="S140" s="51"/>
      <c r="T140" s="51"/>
      <c r="U140" s="51"/>
      <c r="V140" s="53"/>
      <c r="W140" s="51"/>
      <c r="X140" s="57"/>
      <c r="Y140" s="51"/>
      <c r="Z140" s="51"/>
      <c r="AA140" s="51"/>
      <c r="AB140" s="51"/>
      <c r="AC140" s="51"/>
      <c r="AD140" s="51"/>
      <c r="AE140" s="51"/>
      <c r="AF140" s="51"/>
      <c r="AG140" s="51"/>
      <c r="AH140" s="58"/>
      <c r="AI140" s="52"/>
      <c r="AJ140" s="51"/>
      <c r="AK140" s="51"/>
      <c r="AL140" s="59"/>
      <c r="AM140" s="51"/>
      <c r="AN140" s="55"/>
      <c r="AO140" s="51"/>
      <c r="AP140" s="60"/>
      <c r="AQ140" s="61"/>
      <c r="AR140" s="53"/>
      <c r="AS140" s="55"/>
      <c r="AT140" s="60"/>
      <c r="AU140" s="53"/>
      <c r="AV140" s="56"/>
      <c r="AW140" s="56"/>
      <c r="AX140" s="62"/>
      <c r="AY140" s="55"/>
      <c r="AZ140" s="63"/>
      <c r="BA140" s="63"/>
      <c r="BB140" s="64"/>
      <c r="BC140" s="55"/>
      <c r="BD140" s="56"/>
      <c r="BE140" s="56"/>
      <c r="BF140" s="76"/>
      <c r="BG140" s="77"/>
      <c r="BH140" s="78"/>
      <c r="BI140" s="78"/>
      <c r="BJ140" s="79"/>
      <c r="BK140" s="51"/>
      <c r="BL140" s="62"/>
      <c r="BM140" s="51"/>
      <c r="BN140" s="51"/>
      <c r="BO140" s="51"/>
      <c r="BP140" s="81"/>
      <c r="BQ140" s="81"/>
    </row>
    <row customHeight="true" ht="13.333333333333332" r="141">
      <c r="A141" s="50">
        <v>46130</v>
      </c>
      <c r="B141" s="51" t="s">
        <v>79</v>
      </c>
      <c r="C141" s="52"/>
      <c r="D141" s="51"/>
      <c r="E141" s="53"/>
      <c r="F141" s="53"/>
      <c r="G141" s="53"/>
      <c r="H141" s="54"/>
      <c r="I141" s="53"/>
      <c r="J141" s="57"/>
      <c r="K141" s="51"/>
      <c r="L141" s="51"/>
      <c r="M141" s="51"/>
      <c r="N141" s="53"/>
      <c r="O141" s="56"/>
      <c r="P141" s="56"/>
      <c r="Q141" s="51"/>
      <c r="R141" s="51"/>
      <c r="S141" s="51"/>
      <c r="T141" s="51"/>
      <c r="U141" s="51"/>
      <c r="V141" s="53"/>
      <c r="W141" s="51"/>
      <c r="X141" s="57"/>
      <c r="Y141" s="51"/>
      <c r="Z141" s="51"/>
      <c r="AA141" s="51"/>
      <c r="AB141" s="51"/>
      <c r="AC141" s="51"/>
      <c r="AD141" s="51"/>
      <c r="AE141" s="51"/>
      <c r="AF141" s="51"/>
      <c r="AG141" s="51"/>
      <c r="AH141" s="58"/>
      <c r="AI141" s="52"/>
      <c r="AJ141" s="51"/>
      <c r="AK141" s="51"/>
      <c r="AL141" s="59"/>
      <c r="AM141" s="51"/>
      <c r="AN141" s="55"/>
      <c r="AO141" s="51"/>
      <c r="AP141" s="60"/>
      <c r="AQ141" s="61"/>
      <c r="AR141" s="53"/>
      <c r="AS141" s="55"/>
      <c r="AT141" s="60"/>
      <c r="AU141" s="53"/>
      <c r="AV141" s="56"/>
      <c r="AW141" s="56"/>
      <c r="AX141" s="62"/>
      <c r="AY141" s="55"/>
      <c r="AZ141" s="63"/>
      <c r="BA141" s="63"/>
      <c r="BB141" s="64"/>
      <c r="BC141" s="55"/>
      <c r="BD141" s="56"/>
      <c r="BE141" s="56"/>
      <c r="BF141" s="76"/>
      <c r="BG141" s="77"/>
      <c r="BH141" s="78"/>
      <c r="BI141" s="78"/>
      <c r="BJ141" s="79"/>
      <c r="BK141" s="51"/>
      <c r="BL141" s="62"/>
      <c r="BM141" s="51"/>
      <c r="BN141" s="51"/>
      <c r="BO141" s="51"/>
      <c r="BP141" s="81"/>
      <c r="BQ141" s="81"/>
    </row>
    <row customHeight="true" ht="13.333333333333332" r="142">
      <c r="A142" s="50">
        <v>46131</v>
      </c>
      <c r="B142" s="51" t="s">
        <v>80</v>
      </c>
      <c r="C142" s="52"/>
      <c r="D142" s="51"/>
      <c r="E142" s="53"/>
      <c r="F142" s="53"/>
      <c r="G142" s="53"/>
      <c r="H142" s="54"/>
      <c r="I142" s="53"/>
      <c r="J142" s="57"/>
      <c r="K142" s="51"/>
      <c r="L142" s="51"/>
      <c r="M142" s="51"/>
      <c r="N142" s="53"/>
      <c r="O142" s="56"/>
      <c r="P142" s="56"/>
      <c r="Q142" s="51"/>
      <c r="R142" s="51"/>
      <c r="S142" s="51"/>
      <c r="T142" s="51"/>
      <c r="U142" s="51"/>
      <c r="V142" s="53"/>
      <c r="W142" s="51"/>
      <c r="X142" s="57"/>
      <c r="Y142" s="51"/>
      <c r="Z142" s="51"/>
      <c r="AA142" s="51"/>
      <c r="AB142" s="51"/>
      <c r="AC142" s="51"/>
      <c r="AD142" s="51"/>
      <c r="AE142" s="51"/>
      <c r="AF142" s="51"/>
      <c r="AG142" s="51"/>
      <c r="AH142" s="58"/>
      <c r="AI142" s="52"/>
      <c r="AJ142" s="51"/>
      <c r="AK142" s="51"/>
      <c r="AL142" s="59"/>
      <c r="AM142" s="51"/>
      <c r="AN142" s="55"/>
      <c r="AO142" s="51"/>
      <c r="AP142" s="60"/>
      <c r="AQ142" s="61"/>
      <c r="AR142" s="53"/>
      <c r="AS142" s="55"/>
      <c r="AT142" s="60"/>
      <c r="AU142" s="53"/>
      <c r="AV142" s="56"/>
      <c r="AW142" s="56"/>
      <c r="AX142" s="62"/>
      <c r="AY142" s="55"/>
      <c r="AZ142" s="63"/>
      <c r="BA142" s="63"/>
      <c r="BB142" s="64"/>
      <c r="BC142" s="55"/>
      <c r="BD142" s="56"/>
      <c r="BE142" s="56"/>
      <c r="BF142" s="76"/>
      <c r="BG142" s="77"/>
      <c r="BH142" s="78"/>
      <c r="BI142" s="78"/>
      <c r="BJ142" s="79"/>
      <c r="BK142" s="51"/>
      <c r="BL142" s="62"/>
      <c r="BM142" s="51"/>
      <c r="BN142" s="51"/>
      <c r="BO142" s="51"/>
      <c r="BP142" s="81"/>
      <c r="BQ142" s="81"/>
    </row>
    <row customHeight="true" ht="13.333333333333332" r="143">
      <c r="A143" s="50">
        <v>46132</v>
      </c>
      <c r="B143" s="51" t="s">
        <v>71</v>
      </c>
      <c r="C143" s="52"/>
      <c r="D143" s="51"/>
      <c r="E143" s="53"/>
      <c r="F143" s="53"/>
      <c r="G143" s="53"/>
      <c r="H143" s="54"/>
      <c r="I143" s="53"/>
      <c r="J143" s="57"/>
      <c r="K143" s="51"/>
      <c r="L143" s="51"/>
      <c r="M143" s="51"/>
      <c r="N143" s="53"/>
      <c r="O143" s="56"/>
      <c r="P143" s="56"/>
      <c r="Q143" s="51"/>
      <c r="R143" s="51"/>
      <c r="S143" s="51"/>
      <c r="T143" s="51"/>
      <c r="U143" s="51"/>
      <c r="V143" s="53"/>
      <c r="W143" s="51"/>
      <c r="X143" s="57"/>
      <c r="Y143" s="51"/>
      <c r="Z143" s="51"/>
      <c r="AA143" s="51"/>
      <c r="AB143" s="51"/>
      <c r="AC143" s="51"/>
      <c r="AD143" s="51"/>
      <c r="AE143" s="51"/>
      <c r="AF143" s="51"/>
      <c r="AG143" s="51"/>
      <c r="AH143" s="58"/>
      <c r="AI143" s="52"/>
      <c r="AJ143" s="51"/>
      <c r="AK143" s="51"/>
      <c r="AL143" s="59"/>
      <c r="AM143" s="51"/>
      <c r="AN143" s="55"/>
      <c r="AO143" s="51"/>
      <c r="AP143" s="60"/>
      <c r="AQ143" s="61"/>
      <c r="AR143" s="53"/>
      <c r="AS143" s="55"/>
      <c r="AT143" s="60"/>
      <c r="AU143" s="53"/>
      <c r="AV143" s="56"/>
      <c r="AW143" s="56"/>
      <c r="AX143" s="62"/>
      <c r="AY143" s="55"/>
      <c r="AZ143" s="63"/>
      <c r="BA143" s="63"/>
      <c r="BB143" s="64"/>
      <c r="BC143" s="55"/>
      <c r="BD143" s="56"/>
      <c r="BE143" s="56"/>
      <c r="BF143" s="76"/>
      <c r="BG143" s="77"/>
      <c r="BH143" s="78"/>
      <c r="BI143" s="78"/>
      <c r="BJ143" s="79"/>
      <c r="BK143" s="51"/>
      <c r="BL143" s="62"/>
      <c r="BM143" s="51"/>
      <c r="BN143" s="51"/>
      <c r="BO143" s="51"/>
      <c r="BP143" s="81"/>
      <c r="BQ143" s="81"/>
    </row>
    <row customHeight="true" ht="13.333333333333332" r="144">
      <c r="A144" s="50">
        <v>46133</v>
      </c>
      <c r="B144" s="51" t="s">
        <v>75</v>
      </c>
      <c r="C144" s="52"/>
      <c r="D144" s="51"/>
      <c r="E144" s="53"/>
      <c r="F144" s="53"/>
      <c r="G144" s="53"/>
      <c r="H144" s="54"/>
      <c r="I144" s="53"/>
      <c r="J144" s="57"/>
      <c r="K144" s="51"/>
      <c r="L144" s="51"/>
      <c r="M144" s="51"/>
      <c r="N144" s="53"/>
      <c r="O144" s="56"/>
      <c r="P144" s="56"/>
      <c r="Q144" s="51"/>
      <c r="R144" s="51"/>
      <c r="S144" s="51"/>
      <c r="T144" s="51"/>
      <c r="U144" s="51"/>
      <c r="V144" s="53"/>
      <c r="W144" s="51"/>
      <c r="X144" s="57"/>
      <c r="Y144" s="51"/>
      <c r="Z144" s="51"/>
      <c r="AA144" s="51"/>
      <c r="AB144" s="51"/>
      <c r="AC144" s="51"/>
      <c r="AD144" s="51"/>
      <c r="AE144" s="51"/>
      <c r="AF144" s="51"/>
      <c r="AG144" s="51"/>
      <c r="AH144" s="58"/>
      <c r="AI144" s="52"/>
      <c r="AJ144" s="51"/>
      <c r="AK144" s="51"/>
      <c r="AL144" s="59"/>
      <c r="AM144" s="51"/>
      <c r="AN144" s="55"/>
      <c r="AO144" s="51"/>
      <c r="AP144" s="60"/>
      <c r="AQ144" s="61"/>
      <c r="AR144" s="53"/>
      <c r="AS144" s="55"/>
      <c r="AT144" s="60"/>
      <c r="AU144" s="53"/>
      <c r="AV144" s="56"/>
      <c r="AW144" s="56"/>
      <c r="AX144" s="62"/>
      <c r="AY144" s="55"/>
      <c r="AZ144" s="63"/>
      <c r="BA144" s="63"/>
      <c r="BB144" s="64"/>
      <c r="BC144" s="55"/>
      <c r="BD144" s="56"/>
      <c r="BE144" s="56"/>
      <c r="BF144" s="76"/>
      <c r="BG144" s="77"/>
      <c r="BH144" s="78"/>
      <c r="BI144" s="78"/>
      <c r="BJ144" s="79"/>
      <c r="BK144" s="51"/>
      <c r="BL144" s="62"/>
      <c r="BM144" s="51"/>
      <c r="BN144" s="51"/>
      <c r="BO144" s="51"/>
      <c r="BP144" s="81"/>
      <c r="BQ144" s="81"/>
    </row>
    <row customHeight="true" ht="13.333333333333332" r="145">
      <c r="A145" s="50">
        <v>46134</v>
      </c>
      <c r="B145" s="51" t="s">
        <v>76</v>
      </c>
      <c r="C145" s="52"/>
      <c r="D145" s="51"/>
      <c r="E145" s="53"/>
      <c r="F145" s="53"/>
      <c r="G145" s="53"/>
      <c r="H145" s="54"/>
      <c r="I145" s="53"/>
      <c r="J145" s="57"/>
      <c r="K145" s="51"/>
      <c r="L145" s="51"/>
      <c r="M145" s="51"/>
      <c r="N145" s="53"/>
      <c r="O145" s="56"/>
      <c r="P145" s="56"/>
      <c r="Q145" s="51"/>
      <c r="R145" s="51"/>
      <c r="S145" s="51"/>
      <c r="T145" s="51"/>
      <c r="U145" s="51"/>
      <c r="V145" s="53"/>
      <c r="W145" s="51"/>
      <c r="X145" s="57"/>
      <c r="Y145" s="51"/>
      <c r="Z145" s="51"/>
      <c r="AA145" s="51"/>
      <c r="AB145" s="51"/>
      <c r="AC145" s="51"/>
      <c r="AD145" s="51"/>
      <c r="AE145" s="51"/>
      <c r="AF145" s="51"/>
      <c r="AG145" s="51"/>
      <c r="AH145" s="58"/>
      <c r="AI145" s="52"/>
      <c r="AJ145" s="51"/>
      <c r="AK145" s="51"/>
      <c r="AL145" s="59"/>
      <c r="AM145" s="51"/>
      <c r="AN145" s="55"/>
      <c r="AO145" s="51"/>
      <c r="AP145" s="60"/>
      <c r="AQ145" s="61"/>
      <c r="AR145" s="53"/>
      <c r="AS145" s="55"/>
      <c r="AT145" s="60"/>
      <c r="AU145" s="53"/>
      <c r="AV145" s="56"/>
      <c r="AW145" s="56"/>
      <c r="AX145" s="62"/>
      <c r="AY145" s="55"/>
      <c r="AZ145" s="63"/>
      <c r="BA145" s="63"/>
      <c r="BB145" s="64"/>
      <c r="BC145" s="55"/>
      <c r="BD145" s="56"/>
      <c r="BE145" s="56"/>
      <c r="BF145" s="76"/>
      <c r="BG145" s="77"/>
      <c r="BH145" s="78"/>
      <c r="BI145" s="78"/>
      <c r="BJ145" s="79"/>
      <c r="BK145" s="51"/>
      <c r="BL145" s="62"/>
      <c r="BM145" s="51"/>
      <c r="BN145" s="51"/>
      <c r="BO145" s="51"/>
      <c r="BP145" s="81"/>
      <c r="BQ145" s="81"/>
    </row>
    <row customHeight="true" ht="13.333333333333332" r="146">
      <c r="A146" s="50">
        <v>46135</v>
      </c>
      <c r="B146" s="51" t="s">
        <v>77</v>
      </c>
      <c r="C146" s="52"/>
      <c r="D146" s="51"/>
      <c r="E146" s="53"/>
      <c r="F146" s="53"/>
      <c r="G146" s="53"/>
      <c r="H146" s="54"/>
      <c r="I146" s="53"/>
      <c r="J146" s="57"/>
      <c r="K146" s="51"/>
      <c r="L146" s="51"/>
      <c r="M146" s="51"/>
      <c r="N146" s="53"/>
      <c r="O146" s="56"/>
      <c r="P146" s="56"/>
      <c r="Q146" s="51"/>
      <c r="R146" s="51"/>
      <c r="S146" s="51"/>
      <c r="T146" s="51"/>
      <c r="U146" s="51"/>
      <c r="V146" s="53"/>
      <c r="W146" s="51"/>
      <c r="X146" s="57"/>
      <c r="Y146" s="51"/>
      <c r="Z146" s="51"/>
      <c r="AA146" s="51"/>
      <c r="AB146" s="51"/>
      <c r="AC146" s="51"/>
      <c r="AD146" s="51"/>
      <c r="AE146" s="51"/>
      <c r="AF146" s="51"/>
      <c r="AG146" s="51"/>
      <c r="AH146" s="58"/>
      <c r="AI146" s="52"/>
      <c r="AJ146" s="51"/>
      <c r="AK146" s="51"/>
      <c r="AL146" s="59"/>
      <c r="AM146" s="51"/>
      <c r="AN146" s="55"/>
      <c r="AO146" s="51"/>
      <c r="AP146" s="60"/>
      <c r="AQ146" s="61"/>
      <c r="AR146" s="53"/>
      <c r="AS146" s="55"/>
      <c r="AT146" s="60"/>
      <c r="AU146" s="53"/>
      <c r="AV146" s="56"/>
      <c r="AW146" s="56"/>
      <c r="AX146" s="62"/>
      <c r="AY146" s="55"/>
      <c r="AZ146" s="63"/>
      <c r="BA146" s="63"/>
      <c r="BB146" s="64"/>
      <c r="BC146" s="55"/>
      <c r="BD146" s="56"/>
      <c r="BE146" s="56"/>
      <c r="BF146" s="76"/>
      <c r="BG146" s="77"/>
      <c r="BH146" s="78"/>
      <c r="BI146" s="78"/>
      <c r="BJ146" s="79"/>
      <c r="BK146" s="51"/>
      <c r="BL146" s="62"/>
      <c r="BM146" s="51"/>
      <c r="BN146" s="51"/>
      <c r="BO146" s="51"/>
      <c r="BP146" s="81"/>
      <c r="BQ146" s="81"/>
    </row>
    <row customHeight="true" ht="13.333333333333332" r="147">
      <c r="A147" s="50">
        <v>46136</v>
      </c>
      <c r="B147" s="51" t="s">
        <v>78</v>
      </c>
      <c r="C147" s="52"/>
      <c r="D147" s="51"/>
      <c r="E147" s="53"/>
      <c r="F147" s="53"/>
      <c r="G147" s="53"/>
      <c r="H147" s="54"/>
      <c r="I147" s="53"/>
      <c r="J147" s="57"/>
      <c r="K147" s="51"/>
      <c r="L147" s="51"/>
      <c r="M147" s="51"/>
      <c r="N147" s="53"/>
      <c r="O147" s="56"/>
      <c r="P147" s="56"/>
      <c r="Q147" s="51"/>
      <c r="R147" s="51"/>
      <c r="S147" s="51"/>
      <c r="T147" s="51"/>
      <c r="U147" s="51"/>
      <c r="V147" s="53"/>
      <c r="W147" s="51"/>
      <c r="X147" s="57"/>
      <c r="Y147" s="51"/>
      <c r="Z147" s="51"/>
      <c r="AA147" s="51"/>
      <c r="AB147" s="51"/>
      <c r="AC147" s="51"/>
      <c r="AD147" s="51"/>
      <c r="AE147" s="51"/>
      <c r="AF147" s="51"/>
      <c r="AG147" s="51"/>
      <c r="AH147" s="58"/>
      <c r="AI147" s="52"/>
      <c r="AJ147" s="51"/>
      <c r="AK147" s="51"/>
      <c r="AL147" s="59"/>
      <c r="AM147" s="51"/>
      <c r="AN147" s="55"/>
      <c r="AO147" s="51"/>
      <c r="AP147" s="60"/>
      <c r="AQ147" s="61"/>
      <c r="AR147" s="53"/>
      <c r="AS147" s="55"/>
      <c r="AT147" s="60"/>
      <c r="AU147" s="53"/>
      <c r="AV147" s="56"/>
      <c r="AW147" s="56"/>
      <c r="AX147" s="62"/>
      <c r="AY147" s="55"/>
      <c r="AZ147" s="63"/>
      <c r="BA147" s="63"/>
      <c r="BB147" s="64"/>
      <c r="BC147" s="55"/>
      <c r="BD147" s="56"/>
      <c r="BE147" s="56"/>
      <c r="BF147" s="76"/>
      <c r="BG147" s="77"/>
      <c r="BH147" s="78"/>
      <c r="BI147" s="78"/>
      <c r="BJ147" s="79"/>
      <c r="BK147" s="51"/>
      <c r="BL147" s="62"/>
      <c r="BM147" s="51"/>
      <c r="BN147" s="51"/>
      <c r="BO147" s="51"/>
      <c r="BP147" s="81"/>
      <c r="BQ147" s="81"/>
    </row>
    <row customHeight="true" ht="13.333333333333332" r="148">
      <c r="A148" s="50">
        <v>46137</v>
      </c>
      <c r="B148" s="51" t="s">
        <v>79</v>
      </c>
      <c r="C148" s="52"/>
      <c r="D148" s="51"/>
      <c r="E148" s="53"/>
      <c r="F148" s="53"/>
      <c r="G148" s="53"/>
      <c r="H148" s="54"/>
      <c r="I148" s="53"/>
      <c r="J148" s="57"/>
      <c r="K148" s="51"/>
      <c r="L148" s="51"/>
      <c r="M148" s="51"/>
      <c r="N148" s="53"/>
      <c r="O148" s="56"/>
      <c r="P148" s="56"/>
      <c r="Q148" s="51"/>
      <c r="R148" s="51"/>
      <c r="S148" s="51"/>
      <c r="T148" s="51"/>
      <c r="U148" s="51"/>
      <c r="V148" s="53"/>
      <c r="W148" s="51"/>
      <c r="X148" s="57"/>
      <c r="Y148" s="51"/>
      <c r="Z148" s="51"/>
      <c r="AA148" s="51"/>
      <c r="AB148" s="51"/>
      <c r="AC148" s="51"/>
      <c r="AD148" s="51"/>
      <c r="AE148" s="51"/>
      <c r="AF148" s="51"/>
      <c r="AG148" s="51"/>
      <c r="AH148" s="58"/>
      <c r="AI148" s="52"/>
      <c r="AJ148" s="51"/>
      <c r="AK148" s="51"/>
      <c r="AL148" s="59"/>
      <c r="AM148" s="51"/>
      <c r="AN148" s="55"/>
      <c r="AO148" s="51"/>
      <c r="AP148" s="60"/>
      <c r="AQ148" s="61"/>
      <c r="AR148" s="53"/>
      <c r="AS148" s="55"/>
      <c r="AT148" s="60"/>
      <c r="AU148" s="53"/>
      <c r="AV148" s="56"/>
      <c r="AW148" s="56"/>
      <c r="AX148" s="62"/>
      <c r="AY148" s="55"/>
      <c r="AZ148" s="63"/>
      <c r="BA148" s="63"/>
      <c r="BB148" s="64"/>
      <c r="BC148" s="55"/>
      <c r="BD148" s="56"/>
      <c r="BE148" s="56"/>
      <c r="BF148" s="76"/>
      <c r="BG148" s="77"/>
      <c r="BH148" s="78"/>
      <c r="BI148" s="78"/>
      <c r="BJ148" s="79"/>
      <c r="BK148" s="51"/>
      <c r="BL148" s="62"/>
      <c r="BM148" s="51"/>
      <c r="BN148" s="51"/>
      <c r="BO148" s="51"/>
      <c r="BP148" s="81"/>
      <c r="BQ148" s="81"/>
    </row>
    <row customHeight="true" ht="13.333333333333332" r="149">
      <c r="A149" s="50">
        <v>46138</v>
      </c>
      <c r="B149" s="51" t="s">
        <v>80</v>
      </c>
      <c r="C149" s="52"/>
      <c r="D149" s="51"/>
      <c r="E149" s="53"/>
      <c r="F149" s="53"/>
      <c r="G149" s="53"/>
      <c r="H149" s="54"/>
      <c r="I149" s="53"/>
      <c r="J149" s="57"/>
      <c r="K149" s="51"/>
      <c r="L149" s="51"/>
      <c r="M149" s="51"/>
      <c r="N149" s="53"/>
      <c r="O149" s="56"/>
      <c r="P149" s="56"/>
      <c r="Q149" s="51"/>
      <c r="R149" s="51"/>
      <c r="S149" s="51"/>
      <c r="T149" s="51"/>
      <c r="U149" s="51"/>
      <c r="V149" s="53"/>
      <c r="W149" s="51"/>
      <c r="X149" s="57"/>
      <c r="Y149" s="51"/>
      <c r="Z149" s="51"/>
      <c r="AA149" s="51"/>
      <c r="AB149" s="51"/>
      <c r="AC149" s="51"/>
      <c r="AD149" s="51"/>
      <c r="AE149" s="51"/>
      <c r="AF149" s="51"/>
      <c r="AG149" s="51"/>
      <c r="AH149" s="58"/>
      <c r="AI149" s="52"/>
      <c r="AJ149" s="51"/>
      <c r="AK149" s="51"/>
      <c r="AL149" s="59"/>
      <c r="AM149" s="51"/>
      <c r="AN149" s="55"/>
      <c r="AO149" s="51"/>
      <c r="AP149" s="60"/>
      <c r="AQ149" s="61"/>
      <c r="AR149" s="53"/>
      <c r="AS149" s="55"/>
      <c r="AT149" s="60"/>
      <c r="AU149" s="53"/>
      <c r="AV149" s="56"/>
      <c r="AW149" s="56"/>
      <c r="AX149" s="62"/>
      <c r="AY149" s="55"/>
      <c r="AZ149" s="63"/>
      <c r="BA149" s="63"/>
      <c r="BB149" s="64"/>
      <c r="BC149" s="55"/>
      <c r="BD149" s="56"/>
      <c r="BE149" s="56"/>
      <c r="BF149" s="76"/>
      <c r="BG149" s="77"/>
      <c r="BH149" s="78"/>
      <c r="BI149" s="78"/>
      <c r="BJ149" s="79"/>
      <c r="BK149" s="51"/>
      <c r="BL149" s="62"/>
      <c r="BM149" s="51"/>
      <c r="BN149" s="51"/>
      <c r="BO149" s="51"/>
      <c r="BP149" s="81"/>
      <c r="BQ149" s="81"/>
    </row>
    <row customHeight="true" ht="13.333333333333332" r="150">
      <c r="A150" s="50">
        <v>46139</v>
      </c>
      <c r="B150" s="51" t="s">
        <v>71</v>
      </c>
      <c r="C150" s="52"/>
      <c r="D150" s="51"/>
      <c r="E150" s="53"/>
      <c r="F150" s="53"/>
      <c r="G150" s="53"/>
      <c r="H150" s="54"/>
      <c r="I150" s="53"/>
      <c r="J150" s="57"/>
      <c r="K150" s="51"/>
      <c r="L150" s="51"/>
      <c r="M150" s="51"/>
      <c r="N150" s="53"/>
      <c r="O150" s="56"/>
      <c r="P150" s="56"/>
      <c r="Q150" s="51"/>
      <c r="R150" s="51"/>
      <c r="S150" s="51"/>
      <c r="T150" s="51"/>
      <c r="U150" s="51"/>
      <c r="V150" s="53"/>
      <c r="W150" s="51"/>
      <c r="X150" s="57"/>
      <c r="Y150" s="51"/>
      <c r="Z150" s="51"/>
      <c r="AA150" s="51"/>
      <c r="AB150" s="51"/>
      <c r="AC150" s="51"/>
      <c r="AD150" s="51"/>
      <c r="AE150" s="51"/>
      <c r="AF150" s="51"/>
      <c r="AG150" s="51"/>
      <c r="AH150" s="58"/>
      <c r="AI150" s="52"/>
      <c r="AJ150" s="51"/>
      <c r="AK150" s="51"/>
      <c r="AL150" s="59"/>
      <c r="AM150" s="51"/>
      <c r="AN150" s="55"/>
      <c r="AO150" s="51"/>
      <c r="AP150" s="60"/>
      <c r="AQ150" s="61"/>
      <c r="AR150" s="53"/>
      <c r="AS150" s="55"/>
      <c r="AT150" s="60"/>
      <c r="AU150" s="53"/>
      <c r="AV150" s="56"/>
      <c r="AW150" s="56"/>
      <c r="AX150" s="62"/>
      <c r="AY150" s="55"/>
      <c r="AZ150" s="63"/>
      <c r="BA150" s="63"/>
      <c r="BB150" s="64"/>
      <c r="BC150" s="55"/>
      <c r="BD150" s="56"/>
      <c r="BE150" s="56"/>
      <c r="BF150" s="76"/>
      <c r="BG150" s="77"/>
      <c r="BH150" s="78"/>
      <c r="BI150" s="78"/>
      <c r="BJ150" s="79"/>
      <c r="BK150" s="51"/>
      <c r="BL150" s="62"/>
      <c r="BM150" s="51"/>
      <c r="BN150" s="51"/>
      <c r="BO150" s="51"/>
      <c r="BP150" s="81"/>
      <c r="BQ150" s="81"/>
    </row>
    <row customHeight="true" ht="13.333333333333332" r="151">
      <c r="A151" s="50">
        <v>46140</v>
      </c>
      <c r="B151" s="51" t="s">
        <v>75</v>
      </c>
      <c r="C151" s="52"/>
      <c r="D151" s="51"/>
      <c r="E151" s="53"/>
      <c r="F151" s="53"/>
      <c r="G151" s="53"/>
      <c r="H151" s="54"/>
      <c r="I151" s="53"/>
      <c r="J151" s="57"/>
      <c r="K151" s="51"/>
      <c r="L151" s="51"/>
      <c r="M151" s="51"/>
      <c r="N151" s="53"/>
      <c r="O151" s="56"/>
      <c r="P151" s="56"/>
      <c r="Q151" s="51"/>
      <c r="R151" s="51"/>
      <c r="S151" s="51"/>
      <c r="T151" s="51"/>
      <c r="U151" s="51"/>
      <c r="V151" s="53"/>
      <c r="W151" s="51"/>
      <c r="X151" s="57"/>
      <c r="Y151" s="51"/>
      <c r="Z151" s="51"/>
      <c r="AA151" s="51"/>
      <c r="AB151" s="51"/>
      <c r="AC151" s="51"/>
      <c r="AD151" s="51"/>
      <c r="AE151" s="51"/>
      <c r="AF151" s="51"/>
      <c r="AG151" s="51"/>
      <c r="AH151" s="58"/>
      <c r="AI151" s="52"/>
      <c r="AJ151" s="51"/>
      <c r="AK151" s="51"/>
      <c r="AL151" s="59"/>
      <c r="AM151" s="51"/>
      <c r="AN151" s="55"/>
      <c r="AO151" s="51"/>
      <c r="AP151" s="60"/>
      <c r="AQ151" s="61"/>
      <c r="AR151" s="53"/>
      <c r="AS151" s="55"/>
      <c r="AT151" s="60"/>
      <c r="AU151" s="53"/>
      <c r="AV151" s="56"/>
      <c r="AW151" s="56"/>
      <c r="AX151" s="62"/>
      <c r="AY151" s="55"/>
      <c r="AZ151" s="63"/>
      <c r="BA151" s="63"/>
      <c r="BB151" s="64"/>
      <c r="BC151" s="55"/>
      <c r="BD151" s="56"/>
      <c r="BE151" s="56"/>
      <c r="BF151" s="76"/>
      <c r="BG151" s="77"/>
      <c r="BH151" s="78"/>
      <c r="BI151" s="78"/>
      <c r="BJ151" s="79"/>
      <c r="BK151" s="51"/>
      <c r="BL151" s="62"/>
      <c r="BM151" s="51"/>
      <c r="BN151" s="51"/>
      <c r="BO151" s="51"/>
      <c r="BP151" s="81"/>
      <c r="BQ151" s="81"/>
    </row>
    <row customHeight="true" ht="13.333333333333332" r="152">
      <c r="A152" s="50">
        <v>46141</v>
      </c>
      <c r="B152" s="51" t="s">
        <v>76</v>
      </c>
      <c r="C152" s="52"/>
      <c r="D152" s="51"/>
      <c r="E152" s="53"/>
      <c r="F152" s="53"/>
      <c r="G152" s="53"/>
      <c r="H152" s="54"/>
      <c r="I152" s="53"/>
      <c r="J152" s="57"/>
      <c r="K152" s="51"/>
      <c r="L152" s="51"/>
      <c r="M152" s="51"/>
      <c r="N152" s="53"/>
      <c r="O152" s="56"/>
      <c r="P152" s="56"/>
      <c r="Q152" s="51"/>
      <c r="R152" s="51"/>
      <c r="S152" s="51"/>
      <c r="T152" s="51"/>
      <c r="U152" s="51"/>
      <c r="V152" s="53"/>
      <c r="W152" s="51"/>
      <c r="X152" s="57"/>
      <c r="Y152" s="51"/>
      <c r="Z152" s="51"/>
      <c r="AA152" s="51"/>
      <c r="AB152" s="51"/>
      <c r="AC152" s="51"/>
      <c r="AD152" s="51"/>
      <c r="AE152" s="51"/>
      <c r="AF152" s="51"/>
      <c r="AG152" s="51"/>
      <c r="AH152" s="58"/>
      <c r="AI152" s="52"/>
      <c r="AJ152" s="51"/>
      <c r="AK152" s="51"/>
      <c r="AL152" s="59"/>
      <c r="AM152" s="51"/>
      <c r="AN152" s="55"/>
      <c r="AO152" s="51"/>
      <c r="AP152" s="60"/>
      <c r="AQ152" s="61"/>
      <c r="AR152" s="53"/>
      <c r="AS152" s="55"/>
      <c r="AT152" s="60"/>
      <c r="AU152" s="53"/>
      <c r="AV152" s="56"/>
      <c r="AW152" s="56"/>
      <c r="AX152" s="62"/>
      <c r="AY152" s="55"/>
      <c r="AZ152" s="63"/>
      <c r="BA152" s="63"/>
      <c r="BB152" s="64"/>
      <c r="BC152" s="55"/>
      <c r="BD152" s="56"/>
      <c r="BE152" s="56"/>
      <c r="BF152" s="76"/>
      <c r="BG152" s="77"/>
      <c r="BH152" s="78"/>
      <c r="BI152" s="78"/>
      <c r="BJ152" s="79"/>
      <c r="BK152" s="51"/>
      <c r="BL152" s="62"/>
      <c r="BM152" s="51"/>
      <c r="BN152" s="51"/>
      <c r="BO152" s="51"/>
      <c r="BP152" s="81"/>
      <c r="BQ152" s="81"/>
    </row>
    <row customHeight="true" ht="13.333333333333332" r="153">
      <c r="A153" s="50">
        <v>46142</v>
      </c>
      <c r="B153" s="51" t="s">
        <v>77</v>
      </c>
      <c r="C153" s="52"/>
      <c r="D153" s="51"/>
      <c r="E153" s="53"/>
      <c r="F153" s="53"/>
      <c r="G153" s="53"/>
      <c r="H153" s="54"/>
      <c r="I153" s="53"/>
      <c r="J153" s="57"/>
      <c r="K153" s="51"/>
      <c r="L153" s="51"/>
      <c r="M153" s="51"/>
      <c r="N153" s="53"/>
      <c r="O153" s="56"/>
      <c r="P153" s="56"/>
      <c r="Q153" s="51"/>
      <c r="R153" s="51"/>
      <c r="S153" s="51"/>
      <c r="T153" s="51"/>
      <c r="U153" s="51"/>
      <c r="V153" s="53"/>
      <c r="W153" s="51"/>
      <c r="X153" s="57"/>
      <c r="Y153" s="51"/>
      <c r="Z153" s="51"/>
      <c r="AA153" s="51"/>
      <c r="AB153" s="51"/>
      <c r="AC153" s="51"/>
      <c r="AD153" s="51"/>
      <c r="AE153" s="51"/>
      <c r="AF153" s="51"/>
      <c r="AG153" s="51"/>
      <c r="AH153" s="58"/>
      <c r="AI153" s="52"/>
      <c r="AJ153" s="51"/>
      <c r="AK153" s="51"/>
      <c r="AL153" s="59"/>
      <c r="AM153" s="51"/>
      <c r="AN153" s="55"/>
      <c r="AO153" s="51"/>
      <c r="AP153" s="60"/>
      <c r="AQ153" s="61"/>
      <c r="AR153" s="53"/>
      <c r="AS153" s="55"/>
      <c r="AT153" s="60"/>
      <c r="AU153" s="53"/>
      <c r="AV153" s="56"/>
      <c r="AW153" s="56"/>
      <c r="AX153" s="62"/>
      <c r="AY153" s="55"/>
      <c r="AZ153" s="63"/>
      <c r="BA153" s="63"/>
      <c r="BB153" s="64"/>
      <c r="BC153" s="55"/>
      <c r="BD153" s="56"/>
      <c r="BE153" s="56"/>
      <c r="BF153" s="76"/>
      <c r="BG153" s="77"/>
      <c r="BH153" s="78"/>
      <c r="BI153" s="78"/>
      <c r="BJ153" s="79"/>
      <c r="BK153" s="51"/>
      <c r="BL153" s="62"/>
      <c r="BM153" s="51"/>
      <c r="BN153" s="51"/>
      <c r="BO153" s="51"/>
      <c r="BP153" s="81"/>
      <c r="BQ153" s="81"/>
    </row>
    <row customHeight="true" ht="13.333333333333332" r="154">
      <c r="A154" s="50">
        <v>46143</v>
      </c>
      <c r="B154" s="51" t="s">
        <v>78</v>
      </c>
      <c r="C154" s="52"/>
      <c r="D154" s="51"/>
      <c r="E154" s="53"/>
      <c r="F154" s="53"/>
      <c r="G154" s="53"/>
      <c r="H154" s="54"/>
      <c r="I154" s="53"/>
      <c r="J154" s="57"/>
      <c r="K154" s="51"/>
      <c r="L154" s="51"/>
      <c r="M154" s="51"/>
      <c r="N154" s="53"/>
      <c r="O154" s="56"/>
      <c r="P154" s="56"/>
      <c r="Q154" s="51"/>
      <c r="R154" s="51"/>
      <c r="S154" s="51"/>
      <c r="T154" s="51"/>
      <c r="U154" s="51"/>
      <c r="V154" s="53"/>
      <c r="W154" s="51"/>
      <c r="X154" s="57"/>
      <c r="Y154" s="51"/>
      <c r="Z154" s="51"/>
      <c r="AA154" s="51"/>
      <c r="AB154" s="51"/>
      <c r="AC154" s="51"/>
      <c r="AD154" s="51"/>
      <c r="AE154" s="51"/>
      <c r="AF154" s="51"/>
      <c r="AG154" s="51"/>
      <c r="AH154" s="58"/>
      <c r="AI154" s="52"/>
      <c r="AJ154" s="51"/>
      <c r="AK154" s="51"/>
      <c r="AL154" s="59"/>
      <c r="AM154" s="51"/>
      <c r="AN154" s="55"/>
      <c r="AO154" s="51"/>
      <c r="AP154" s="60"/>
      <c r="AQ154" s="61"/>
      <c r="AR154" s="53"/>
      <c r="AS154" s="55"/>
      <c r="AT154" s="60"/>
      <c r="AU154" s="53"/>
      <c r="AV154" s="56"/>
      <c r="AW154" s="56"/>
      <c r="AX154" s="62"/>
      <c r="AY154" s="55"/>
      <c r="AZ154" s="63"/>
      <c r="BA154" s="63"/>
      <c r="BB154" s="64"/>
      <c r="BC154" s="55"/>
      <c r="BD154" s="56"/>
      <c r="BE154" s="56"/>
      <c r="BF154" s="76"/>
      <c r="BG154" s="77"/>
      <c r="BH154" s="78"/>
      <c r="BI154" s="78"/>
      <c r="BJ154" s="79"/>
      <c r="BK154" s="51"/>
      <c r="BL154" s="62"/>
      <c r="BM154" s="51"/>
      <c r="BN154" s="51"/>
      <c r="BO154" s="51"/>
      <c r="BP154" s="81"/>
      <c r="BQ154" s="81"/>
    </row>
    <row customHeight="true" ht="13.333333333333332" r="155">
      <c r="A155" s="50">
        <v>46144</v>
      </c>
      <c r="B155" s="51" t="s">
        <v>79</v>
      </c>
      <c r="C155" s="52"/>
      <c r="D155" s="51"/>
      <c r="E155" s="53"/>
      <c r="F155" s="53"/>
      <c r="G155" s="53"/>
      <c r="H155" s="54"/>
      <c r="I155" s="53"/>
      <c r="J155" s="57"/>
      <c r="K155" s="51"/>
      <c r="L155" s="51"/>
      <c r="M155" s="51"/>
      <c r="N155" s="53"/>
      <c r="O155" s="56"/>
      <c r="P155" s="56"/>
      <c r="Q155" s="51"/>
      <c r="R155" s="51"/>
      <c r="S155" s="51"/>
      <c r="T155" s="51"/>
      <c r="U155" s="51"/>
      <c r="V155" s="53"/>
      <c r="W155" s="51"/>
      <c r="X155" s="57"/>
      <c r="Y155" s="51"/>
      <c r="Z155" s="51"/>
      <c r="AA155" s="51"/>
      <c r="AB155" s="51"/>
      <c r="AC155" s="51"/>
      <c r="AD155" s="51"/>
      <c r="AE155" s="51"/>
      <c r="AF155" s="51"/>
      <c r="AG155" s="51"/>
      <c r="AH155" s="58"/>
      <c r="AI155" s="52"/>
      <c r="AJ155" s="51"/>
      <c r="AK155" s="51"/>
      <c r="AL155" s="59"/>
      <c r="AM155" s="51"/>
      <c r="AN155" s="55"/>
      <c r="AO155" s="51"/>
      <c r="AP155" s="60"/>
      <c r="AQ155" s="61"/>
      <c r="AR155" s="53"/>
      <c r="AS155" s="55"/>
      <c r="AT155" s="60"/>
      <c r="AU155" s="53"/>
      <c r="AV155" s="56"/>
      <c r="AW155" s="56"/>
      <c r="AX155" s="62"/>
      <c r="AY155" s="55"/>
      <c r="AZ155" s="63"/>
      <c r="BA155" s="63"/>
      <c r="BB155" s="64"/>
      <c r="BC155" s="55"/>
      <c r="BD155" s="56"/>
      <c r="BE155" s="56"/>
      <c r="BF155" s="76"/>
      <c r="BG155" s="77"/>
      <c r="BH155" s="78"/>
      <c r="BI155" s="78"/>
      <c r="BJ155" s="79"/>
      <c r="BK155" s="51"/>
      <c r="BL155" s="62"/>
      <c r="BM155" s="51"/>
      <c r="BN155" s="51"/>
      <c r="BO155" s="51"/>
      <c r="BP155" s="81"/>
      <c r="BQ155" s="81"/>
    </row>
    <row customHeight="true" ht="13.333333333333332" r="156">
      <c r="A156" s="50">
        <v>46145</v>
      </c>
      <c r="B156" s="51" t="s">
        <v>80</v>
      </c>
      <c r="C156" s="52"/>
      <c r="D156" s="51"/>
      <c r="E156" s="53"/>
      <c r="F156" s="53"/>
      <c r="G156" s="53"/>
      <c r="H156" s="54"/>
      <c r="I156" s="53"/>
      <c r="J156" s="57"/>
      <c r="K156" s="51"/>
      <c r="L156" s="51"/>
      <c r="M156" s="51"/>
      <c r="N156" s="53"/>
      <c r="O156" s="56"/>
      <c r="P156" s="56"/>
      <c r="Q156" s="51"/>
      <c r="R156" s="51"/>
      <c r="S156" s="51"/>
      <c r="T156" s="51"/>
      <c r="U156" s="51"/>
      <c r="V156" s="53"/>
      <c r="W156" s="51"/>
      <c r="X156" s="57"/>
      <c r="Y156" s="51"/>
      <c r="Z156" s="51"/>
      <c r="AA156" s="51"/>
      <c r="AB156" s="51"/>
      <c r="AC156" s="51"/>
      <c r="AD156" s="51"/>
      <c r="AE156" s="51"/>
      <c r="AF156" s="51"/>
      <c r="AG156" s="51"/>
      <c r="AH156" s="58"/>
      <c r="AI156" s="52"/>
      <c r="AJ156" s="51"/>
      <c r="AK156" s="51"/>
      <c r="AL156" s="59"/>
      <c r="AM156" s="51"/>
      <c r="AN156" s="55"/>
      <c r="AO156" s="51"/>
      <c r="AP156" s="60"/>
      <c r="AQ156" s="61"/>
      <c r="AR156" s="53"/>
      <c r="AS156" s="55"/>
      <c r="AT156" s="60"/>
      <c r="AU156" s="53"/>
      <c r="AV156" s="56"/>
      <c r="AW156" s="56"/>
      <c r="AX156" s="62"/>
      <c r="AY156" s="55"/>
      <c r="AZ156" s="63"/>
      <c r="BA156" s="63"/>
      <c r="BB156" s="64"/>
      <c r="BC156" s="55"/>
      <c r="BD156" s="56"/>
      <c r="BE156" s="56"/>
      <c r="BF156" s="76"/>
      <c r="BG156" s="77"/>
      <c r="BH156" s="78"/>
      <c r="BI156" s="78"/>
      <c r="BJ156" s="79"/>
      <c r="BK156" s="51"/>
      <c r="BL156" s="62"/>
      <c r="BM156" s="51"/>
      <c r="BN156" s="51"/>
      <c r="BO156" s="51"/>
      <c r="BP156" s="81"/>
      <c r="BQ156" s="81"/>
    </row>
    <row customHeight="true" ht="13.333333333333332" r="157">
      <c r="A157" s="50">
        <v>46146</v>
      </c>
      <c r="B157" s="51" t="s">
        <v>71</v>
      </c>
      <c r="C157" s="52"/>
      <c r="D157" s="51"/>
      <c r="E157" s="53"/>
      <c r="F157" s="53"/>
      <c r="G157" s="53"/>
      <c r="H157" s="54"/>
      <c r="I157" s="53"/>
      <c r="J157" s="57"/>
      <c r="K157" s="51"/>
      <c r="L157" s="51"/>
      <c r="M157" s="51"/>
      <c r="N157" s="53"/>
      <c r="O157" s="56"/>
      <c r="P157" s="56"/>
      <c r="Q157" s="51"/>
      <c r="R157" s="51"/>
      <c r="S157" s="51"/>
      <c r="T157" s="51"/>
      <c r="U157" s="51"/>
      <c r="V157" s="53"/>
      <c r="W157" s="51"/>
      <c r="X157" s="57"/>
      <c r="Y157" s="51"/>
      <c r="Z157" s="51"/>
      <c r="AA157" s="51"/>
      <c r="AB157" s="51"/>
      <c r="AC157" s="51"/>
      <c r="AD157" s="51"/>
      <c r="AE157" s="51"/>
      <c r="AF157" s="51"/>
      <c r="AG157" s="51"/>
      <c r="AH157" s="58"/>
      <c r="AI157" s="52"/>
      <c r="AJ157" s="51"/>
      <c r="AK157" s="51"/>
      <c r="AL157" s="59"/>
      <c r="AM157" s="51"/>
      <c r="AN157" s="55"/>
      <c r="AO157" s="51"/>
      <c r="AP157" s="60"/>
      <c r="AQ157" s="61"/>
      <c r="AR157" s="53"/>
      <c r="AS157" s="55"/>
      <c r="AT157" s="60"/>
      <c r="AU157" s="53"/>
      <c r="AV157" s="56"/>
      <c r="AW157" s="56"/>
      <c r="AX157" s="62"/>
      <c r="AY157" s="55"/>
      <c r="AZ157" s="63"/>
      <c r="BA157" s="63"/>
      <c r="BB157" s="64"/>
      <c r="BC157" s="55"/>
      <c r="BD157" s="56"/>
      <c r="BE157" s="56"/>
      <c r="BF157" s="76"/>
      <c r="BG157" s="77"/>
      <c r="BH157" s="78"/>
      <c r="BI157" s="78"/>
      <c r="BJ157" s="79"/>
      <c r="BK157" s="51"/>
      <c r="BL157" s="62"/>
      <c r="BM157" s="51"/>
      <c r="BN157" s="51"/>
      <c r="BO157" s="51"/>
      <c r="BP157" s="81"/>
      <c r="BQ157" s="81"/>
    </row>
    <row customHeight="true" ht="13.333333333333332" r="158">
      <c r="A158" s="50">
        <v>46147</v>
      </c>
      <c r="B158" s="51" t="s">
        <v>75</v>
      </c>
      <c r="C158" s="52"/>
      <c r="D158" s="51"/>
      <c r="E158" s="53"/>
      <c r="F158" s="53"/>
      <c r="G158" s="53"/>
      <c r="H158" s="54"/>
      <c r="I158" s="53"/>
      <c r="J158" s="57"/>
      <c r="K158" s="51"/>
      <c r="L158" s="51"/>
      <c r="M158" s="51"/>
      <c r="N158" s="53"/>
      <c r="O158" s="56"/>
      <c r="P158" s="56"/>
      <c r="Q158" s="51"/>
      <c r="R158" s="51"/>
      <c r="S158" s="51"/>
      <c r="T158" s="51"/>
      <c r="U158" s="51"/>
      <c r="V158" s="53"/>
      <c r="W158" s="51"/>
      <c r="X158" s="57"/>
      <c r="Y158" s="51"/>
      <c r="Z158" s="51"/>
      <c r="AA158" s="51"/>
      <c r="AB158" s="51"/>
      <c r="AC158" s="51"/>
      <c r="AD158" s="51"/>
      <c r="AE158" s="51"/>
      <c r="AF158" s="51"/>
      <c r="AG158" s="51"/>
      <c r="AH158" s="58"/>
      <c r="AI158" s="52"/>
      <c r="AJ158" s="51"/>
      <c r="AK158" s="51"/>
      <c r="AL158" s="59"/>
      <c r="AM158" s="51"/>
      <c r="AN158" s="55"/>
      <c r="AO158" s="51"/>
      <c r="AP158" s="60"/>
      <c r="AQ158" s="61"/>
      <c r="AR158" s="53"/>
      <c r="AS158" s="55"/>
      <c r="AT158" s="60"/>
      <c r="AU158" s="53"/>
      <c r="AV158" s="56"/>
      <c r="AW158" s="56"/>
      <c r="AX158" s="62"/>
      <c r="AY158" s="55"/>
      <c r="AZ158" s="63"/>
      <c r="BA158" s="63"/>
      <c r="BB158" s="64"/>
      <c r="BC158" s="55"/>
      <c r="BD158" s="56"/>
      <c r="BE158" s="56"/>
      <c r="BF158" s="76"/>
      <c r="BG158" s="77"/>
      <c r="BH158" s="78"/>
      <c r="BI158" s="78"/>
      <c r="BJ158" s="79"/>
      <c r="BK158" s="51"/>
      <c r="BL158" s="62"/>
      <c r="BM158" s="51"/>
      <c r="BN158" s="51"/>
      <c r="BO158" s="51"/>
      <c r="BP158" s="81"/>
      <c r="BQ158" s="81"/>
    </row>
    <row customHeight="true" ht="13.333333333333332" r="159">
      <c r="A159" s="50">
        <v>46148</v>
      </c>
      <c r="B159" s="51" t="s">
        <v>76</v>
      </c>
      <c r="C159" s="52"/>
      <c r="D159" s="51"/>
      <c r="E159" s="53"/>
      <c r="F159" s="53"/>
      <c r="G159" s="53"/>
      <c r="H159" s="54"/>
      <c r="I159" s="53"/>
      <c r="J159" s="57"/>
      <c r="K159" s="51"/>
      <c r="L159" s="51"/>
      <c r="M159" s="51"/>
      <c r="N159" s="53"/>
      <c r="O159" s="56"/>
      <c r="P159" s="56"/>
      <c r="Q159" s="51"/>
      <c r="R159" s="51"/>
      <c r="S159" s="51"/>
      <c r="T159" s="51"/>
      <c r="U159" s="51"/>
      <c r="V159" s="53"/>
      <c r="W159" s="51"/>
      <c r="X159" s="57"/>
      <c r="Y159" s="51"/>
      <c r="Z159" s="51"/>
      <c r="AA159" s="51"/>
      <c r="AB159" s="51"/>
      <c r="AC159" s="51"/>
      <c r="AD159" s="51"/>
      <c r="AE159" s="51"/>
      <c r="AF159" s="51"/>
      <c r="AG159" s="51"/>
      <c r="AH159" s="58"/>
      <c r="AI159" s="52"/>
      <c r="AJ159" s="51"/>
      <c r="AK159" s="51"/>
      <c r="AL159" s="59"/>
      <c r="AM159" s="51"/>
      <c r="AN159" s="55"/>
      <c r="AO159" s="51"/>
      <c r="AP159" s="60"/>
      <c r="AQ159" s="61"/>
      <c r="AR159" s="53"/>
      <c r="AS159" s="55"/>
      <c r="AT159" s="60"/>
      <c r="AU159" s="53"/>
      <c r="AV159" s="56"/>
      <c r="AW159" s="56"/>
      <c r="AX159" s="62"/>
      <c r="AY159" s="55"/>
      <c r="AZ159" s="63"/>
      <c r="BA159" s="63"/>
      <c r="BB159" s="64"/>
      <c r="BC159" s="55"/>
      <c r="BD159" s="56"/>
      <c r="BE159" s="56"/>
      <c r="BF159" s="76"/>
      <c r="BG159" s="77"/>
      <c r="BH159" s="78"/>
      <c r="BI159" s="78"/>
      <c r="BJ159" s="79"/>
      <c r="BK159" s="51"/>
      <c r="BL159" s="62"/>
      <c r="BM159" s="51"/>
      <c r="BN159" s="51"/>
      <c r="BO159" s="51"/>
      <c r="BP159" s="81"/>
      <c r="BQ159" s="81"/>
    </row>
    <row customHeight="true" ht="13.333333333333332" r="160">
      <c r="A160" s="50">
        <v>46149</v>
      </c>
      <c r="B160" s="51" t="s">
        <v>77</v>
      </c>
      <c r="C160" s="52"/>
      <c r="D160" s="51"/>
      <c r="E160" s="82"/>
      <c r="F160" s="53"/>
      <c r="G160" s="53"/>
      <c r="H160" s="54"/>
      <c r="I160" s="53"/>
      <c r="J160" s="57"/>
      <c r="K160" s="51"/>
      <c r="L160" s="51"/>
      <c r="M160" s="51"/>
      <c r="N160" s="53"/>
      <c r="O160" s="56"/>
      <c r="P160" s="56"/>
      <c r="Q160" s="51"/>
      <c r="R160" s="51"/>
      <c r="S160" s="51"/>
      <c r="T160" s="51"/>
      <c r="U160" s="51"/>
      <c r="V160" s="53"/>
      <c r="W160" s="51"/>
      <c r="X160" s="57"/>
      <c r="Y160" s="51"/>
      <c r="Z160" s="51"/>
      <c r="AA160" s="51"/>
      <c r="AB160" s="51"/>
      <c r="AC160" s="51"/>
      <c r="AD160" s="51"/>
      <c r="AE160" s="51"/>
      <c r="AF160" s="51"/>
      <c r="AG160" s="51"/>
      <c r="AH160" s="58"/>
      <c r="AI160" s="52"/>
      <c r="AJ160" s="51"/>
      <c r="AK160" s="51"/>
      <c r="AL160" s="59"/>
      <c r="AM160" s="51"/>
      <c r="AN160" s="55"/>
      <c r="AO160" s="51"/>
      <c r="AP160" s="60"/>
      <c r="AQ160" s="61"/>
      <c r="AR160" s="53"/>
      <c r="AS160" s="55"/>
      <c r="AT160" s="60"/>
      <c r="AU160" s="53"/>
      <c r="AV160" s="56"/>
      <c r="AW160" s="56"/>
      <c r="AX160" s="62"/>
      <c r="AY160" s="55"/>
      <c r="AZ160" s="63"/>
      <c r="BA160" s="63"/>
      <c r="BB160" s="64"/>
      <c r="BC160" s="55"/>
      <c r="BD160" s="56"/>
      <c r="BE160" s="56"/>
      <c r="BF160" s="76"/>
      <c r="BG160" s="77"/>
      <c r="BH160" s="78"/>
      <c r="BI160" s="78"/>
      <c r="BJ160" s="79"/>
      <c r="BK160" s="51"/>
      <c r="BL160" s="62"/>
      <c r="BM160" s="51"/>
      <c r="BN160" s="51"/>
      <c r="BO160" s="51"/>
      <c r="BP160" s="81"/>
      <c r="BQ160" s="81"/>
    </row>
    <row customHeight="true" ht="13.333333333333332" r="161">
      <c r="A161" s="50">
        <v>46150</v>
      </c>
      <c r="B161" s="51" t="s">
        <v>78</v>
      </c>
      <c r="C161" s="52"/>
      <c r="D161" s="51"/>
      <c r="E161" s="82"/>
      <c r="F161" s="53"/>
      <c r="G161" s="53"/>
      <c r="H161" s="54"/>
      <c r="I161" s="53"/>
      <c r="J161" s="57"/>
      <c r="K161" s="51"/>
      <c r="L161" s="51"/>
      <c r="M161" s="51"/>
      <c r="N161" s="53"/>
      <c r="O161" s="56"/>
      <c r="P161" s="56"/>
      <c r="Q161" s="51"/>
      <c r="R161" s="51"/>
      <c r="S161" s="51"/>
      <c r="T161" s="51"/>
      <c r="U161" s="51"/>
      <c r="V161" s="53"/>
      <c r="W161" s="51"/>
      <c r="X161" s="57"/>
      <c r="Y161" s="51"/>
      <c r="Z161" s="51"/>
      <c r="AA161" s="51"/>
      <c r="AB161" s="51"/>
      <c r="AC161" s="51"/>
      <c r="AD161" s="51"/>
      <c r="AE161" s="51"/>
      <c r="AF161" s="51"/>
      <c r="AG161" s="51"/>
      <c r="AH161" s="58"/>
      <c r="AI161" s="52"/>
      <c r="AJ161" s="51"/>
      <c r="AK161" s="51"/>
      <c r="AL161" s="59"/>
      <c r="AM161" s="51"/>
      <c r="AN161" s="55"/>
      <c r="AO161" s="51"/>
      <c r="AP161" s="60"/>
      <c r="AQ161" s="61"/>
      <c r="AR161" s="53"/>
      <c r="AS161" s="55"/>
      <c r="AT161" s="60"/>
      <c r="AU161" s="53"/>
      <c r="AV161" s="56"/>
      <c r="AW161" s="56"/>
      <c r="AX161" s="62"/>
      <c r="AY161" s="55"/>
      <c r="AZ161" s="63"/>
      <c r="BA161" s="63"/>
      <c r="BB161" s="64"/>
      <c r="BC161" s="55"/>
      <c r="BD161" s="56"/>
      <c r="BE161" s="56"/>
      <c r="BF161" s="76"/>
      <c r="BG161" s="77"/>
      <c r="BH161" s="78"/>
      <c r="BI161" s="78"/>
      <c r="BJ161" s="79"/>
      <c r="BK161" s="51"/>
      <c r="BL161" s="62"/>
      <c r="BM161" s="51"/>
      <c r="BN161" s="51"/>
      <c r="BO161" s="51"/>
      <c r="BP161" s="81"/>
      <c r="BQ161" s="81"/>
    </row>
    <row customHeight="true" ht="20.74074074074074" r="162">
      <c r="A162" s="50">
        <v>46151</v>
      </c>
      <c r="B162" s="83"/>
      <c r="C162" s="83"/>
      <c r="D162" s="84">
        <v>139.99</v>
      </c>
      <c r="E162" s="85"/>
      <c r="F162" s="85"/>
      <c r="G162" s="85"/>
      <c r="H162" s="86">
        <v>88.19</v>
      </c>
      <c r="I162" s="85"/>
      <c r="J162" s="87"/>
      <c r="K162" s="84">
        <f>SUM(K3:K161)</f>
      </c>
      <c r="L162" s="84">
        <f>SUM(L3:L161)</f>
      </c>
      <c r="M162" s="84">
        <f>SUM(M3:M161)</f>
      </c>
      <c r="N162" s="55">
        <f>Q162/M162</f>
      </c>
      <c r="O162" s="88">
        <f>SUM(O3:O161)</f>
      </c>
      <c r="P162" s="88">
        <f>SUM(P3:P161)</f>
      </c>
      <c r="Q162" s="88">
        <f>SUM(Q3:Q161)</f>
      </c>
      <c r="R162" s="84"/>
      <c r="S162" s="84"/>
      <c r="T162" s="84">
        <f>SUM(T3:T31)</f>
      </c>
      <c r="U162" s="84">
        <f>SUM(U3:U31)</f>
      </c>
      <c r="V162" s="85">
        <v>1</v>
      </c>
      <c r="W162" s="84">
        <v>10</v>
      </c>
      <c r="X162" s="87">
        <f>SUM(X3:X32)</f>
      </c>
      <c r="Y162" s="84"/>
      <c r="Z162" s="84"/>
      <c r="AA162" s="84"/>
      <c r="AB162" s="84"/>
      <c r="AC162" s="84"/>
      <c r="AD162" s="84"/>
      <c r="AE162" s="84"/>
      <c r="AF162" s="84"/>
      <c r="AG162" s="84"/>
      <c r="AH162" s="89"/>
      <c r="AI162" s="84"/>
      <c r="AJ162" s="84"/>
      <c r="AK162" s="84"/>
      <c r="AL162" s="89">
        <f>SUM(AL3:AL161)</f>
      </c>
      <c r="AM162" s="89">
        <f>SUM(AM3:AM161)</f>
      </c>
      <c r="AN162" s="55">
        <f>AM162/AL162</f>
      </c>
      <c r="AO162" s="84">
        <f>SUM(AO3:AO161)</f>
      </c>
      <c r="AP162" s="60">
        <f>AT162/AM162</f>
      </c>
      <c r="AQ162" s="90">
        <f>AT162/(AO162*D162)</f>
      </c>
      <c r="AR162" s="55">
        <f>AO162/AM162</f>
      </c>
      <c r="AS162" s="55">
        <f>AO162/P162</f>
      </c>
      <c r="AT162" s="91">
        <f>SUM(AT3:AT161)</f>
      </c>
      <c r="AU162" s="55">
        <f>AT162/X162</f>
      </c>
      <c r="AV162" s="92">
        <f>AT162/AO162</f>
      </c>
      <c r="AW162" s="92">
        <f>SUM(AW3:AW161)</f>
      </c>
      <c r="AX162" s="62">
        <f>AW162/X162</f>
      </c>
      <c r="AY162" s="90"/>
      <c r="AZ162" s="93"/>
      <c r="BA162" s="93"/>
      <c r="BB162" s="93">
        <f>SUM(BB44:BB92)</f>
      </c>
      <c r="BC162" s="55">
        <f>BB162/X162</f>
      </c>
      <c r="BD162" s="88"/>
      <c r="BE162" s="88">
        <f>SUM(BE44:BE92)</f>
      </c>
      <c r="BF162" s="88"/>
      <c r="BG162" s="87">
        <f>SUM(BG44:BG92)</f>
      </c>
      <c r="BH162" s="84">
        <f>SUM(BH44:BH92)</f>
      </c>
      <c r="BI162" s="84"/>
      <c r="BJ162" s="90"/>
      <c r="BK162" s="94">
        <f>M162-AM162</f>
      </c>
      <c r="BL162" s="62">
        <f>O162/BK162</f>
      </c>
      <c r="BM162" s="84"/>
      <c r="BN162" s="95"/>
      <c r="BO162" s="84"/>
      <c r="BP162" s="84"/>
      <c r="BQ162" s="96"/>
    </row>
    <row r="163">
      <c r="A163" s="50">
        <v>46152</v>
      </c>
      <c r="B163" s="83"/>
      <c r="C163" s="83"/>
      <c r="D163" s="84"/>
      <c r="E163" s="85"/>
      <c r="F163" s="85"/>
      <c r="G163" s="85"/>
      <c r="H163" s="86"/>
      <c r="I163" s="85"/>
      <c r="J163" s="87"/>
      <c r="K163" s="84"/>
      <c r="L163" s="84"/>
      <c r="M163" s="84"/>
      <c r="N163" s="55"/>
      <c r="O163" s="88"/>
      <c r="P163" s="88"/>
      <c r="Q163" s="88"/>
      <c r="R163" s="84"/>
      <c r="S163" s="84"/>
      <c r="T163" s="84"/>
      <c r="U163" s="84"/>
      <c r="V163" s="85"/>
      <c r="W163" s="84"/>
      <c r="X163" s="87"/>
      <c r="Y163" s="84"/>
      <c r="Z163" s="84"/>
      <c r="AA163" s="84"/>
      <c r="AB163" s="84"/>
      <c r="AC163" s="84"/>
      <c r="AD163" s="84"/>
      <c r="AE163" s="84"/>
      <c r="AF163" s="84"/>
      <c r="AG163" s="84"/>
      <c r="AH163" s="89"/>
      <c r="AI163" s="84"/>
      <c r="AJ163" s="84"/>
      <c r="AK163" s="84"/>
      <c r="AL163" s="89"/>
      <c r="AM163" s="89"/>
      <c r="AN163" s="55"/>
      <c r="AO163" s="84"/>
      <c r="AP163" s="60"/>
      <c r="AQ163" s="90"/>
      <c r="AR163" s="55"/>
      <c r="AS163" s="55"/>
      <c r="AT163" s="91"/>
      <c r="AU163" s="55"/>
      <c r="AV163" s="92"/>
      <c r="AW163" s="92"/>
      <c r="AX163" s="62"/>
      <c r="AY163" s="90"/>
      <c r="AZ163" s="93"/>
      <c r="BA163" s="93"/>
      <c r="BB163" s="93"/>
      <c r="BC163" s="55"/>
      <c r="BD163" s="88"/>
      <c r="BE163" s="88"/>
      <c r="BF163" s="88"/>
      <c r="BG163" s="87"/>
      <c r="BH163" s="84"/>
      <c r="BI163" s="84"/>
      <c r="BJ163" s="90"/>
      <c r="BK163" s="94"/>
      <c r="BL163" s="62"/>
      <c r="BM163" s="84"/>
      <c r="BN163" s="95"/>
      <c r="BO163" s="84"/>
      <c r="BP163" s="84"/>
      <c r="BQ163" s="96"/>
    </row>
    <row r="164">
      <c r="A164" s="50">
        <v>46153</v>
      </c>
      <c r="B164" s="83"/>
      <c r="C164" s="83"/>
      <c r="D164" s="84"/>
      <c r="E164" s="85"/>
      <c r="F164" s="85"/>
      <c r="G164" s="85"/>
      <c r="H164" s="86"/>
      <c r="I164" s="85"/>
      <c r="J164" s="87"/>
      <c r="K164" s="84"/>
      <c r="L164" s="84"/>
      <c r="M164" s="84"/>
      <c r="N164" s="55"/>
      <c r="O164" s="88"/>
      <c r="P164" s="88"/>
      <c r="Q164" s="88"/>
      <c r="R164" s="84"/>
      <c r="S164" s="84"/>
      <c r="T164" s="84"/>
      <c r="U164" s="84"/>
      <c r="V164" s="85"/>
      <c r="W164" s="84"/>
      <c r="X164" s="87"/>
      <c r="Y164" s="84"/>
      <c r="Z164" s="84"/>
      <c r="AA164" s="84"/>
      <c r="AB164" s="84"/>
      <c r="AC164" s="84"/>
      <c r="AD164" s="84"/>
      <c r="AE164" s="84"/>
      <c r="AF164" s="84"/>
      <c r="AG164" s="84"/>
      <c r="AH164" s="89"/>
      <c r="AI164" s="84"/>
      <c r="AJ164" s="84"/>
      <c r="AK164" s="84"/>
      <c r="AL164" s="89"/>
      <c r="AM164" s="89"/>
      <c r="AN164" s="55"/>
      <c r="AO164" s="84"/>
      <c r="AP164" s="60"/>
      <c r="AQ164" s="90"/>
      <c r="AR164" s="55"/>
      <c r="AS164" s="55"/>
      <c r="AT164" s="91"/>
      <c r="AU164" s="55"/>
      <c r="AV164" s="92"/>
      <c r="AW164" s="92"/>
      <c r="AX164" s="62"/>
      <c r="AY164" s="90"/>
      <c r="AZ164" s="93"/>
      <c r="BA164" s="93"/>
      <c r="BB164" s="93"/>
      <c r="BC164" s="55"/>
      <c r="BD164" s="88"/>
      <c r="BE164" s="88"/>
      <c r="BF164" s="88"/>
      <c r="BG164" s="87"/>
      <c r="BH164" s="84"/>
      <c r="BI164" s="84"/>
      <c r="BJ164" s="90"/>
      <c r="BK164" s="94"/>
      <c r="BL164" s="62"/>
      <c r="BM164" s="84"/>
      <c r="BN164" s="95"/>
      <c r="BO164" s="84"/>
      <c r="BP164" s="84"/>
      <c r="BQ164" s="96"/>
    </row>
    <row r="165">
      <c r="A165" s="50">
        <v>46154</v>
      </c>
      <c r="B165" s="83"/>
      <c r="C165" s="83"/>
      <c r="D165" s="84"/>
      <c r="E165" s="85"/>
      <c r="F165" s="85"/>
      <c r="G165" s="85"/>
      <c r="H165" s="86"/>
      <c r="I165" s="85"/>
      <c r="J165" s="87"/>
      <c r="K165" s="84"/>
      <c r="L165" s="84"/>
      <c r="M165" s="84"/>
      <c r="N165" s="55"/>
      <c r="O165" s="88"/>
      <c r="P165" s="88"/>
      <c r="Q165" s="88"/>
      <c r="R165" s="84"/>
      <c r="S165" s="84"/>
      <c r="T165" s="84"/>
      <c r="U165" s="84"/>
      <c r="V165" s="85"/>
      <c r="W165" s="84"/>
      <c r="X165" s="87"/>
      <c r="Y165" s="84"/>
      <c r="Z165" s="84"/>
      <c r="AA165" s="84"/>
      <c r="AB165" s="84"/>
      <c r="AC165" s="84"/>
      <c r="AD165" s="84"/>
      <c r="AE165" s="84"/>
      <c r="AF165" s="84"/>
      <c r="AG165" s="84"/>
      <c r="AH165" s="89"/>
      <c r="AI165" s="84"/>
      <c r="AJ165" s="84"/>
      <c r="AK165" s="84"/>
      <c r="AL165" s="89"/>
      <c r="AM165" s="89"/>
      <c r="AN165" s="55"/>
      <c r="AO165" s="84"/>
      <c r="AP165" s="60"/>
      <c r="AQ165" s="90"/>
      <c r="AR165" s="55"/>
      <c r="AS165" s="55"/>
      <c r="AT165" s="91"/>
      <c r="AU165" s="55"/>
      <c r="AV165" s="92"/>
      <c r="AW165" s="92"/>
      <c r="AX165" s="62"/>
      <c r="AY165" s="90"/>
      <c r="AZ165" s="93"/>
      <c r="BA165" s="93"/>
      <c r="BB165" s="93"/>
      <c r="BC165" s="55"/>
      <c r="BD165" s="88"/>
      <c r="BE165" s="88"/>
      <c r="BF165" s="88"/>
      <c r="BG165" s="87"/>
      <c r="BH165" s="84"/>
      <c r="BI165" s="84"/>
      <c r="BJ165" s="90"/>
      <c r="BK165" s="94"/>
      <c r="BL165" s="62"/>
      <c r="BM165" s="84"/>
      <c r="BN165" s="95"/>
      <c r="BO165" s="84"/>
      <c r="BP165" s="84"/>
      <c r="BQ165" s="96"/>
    </row>
    <row r="166">
      <c r="A166" s="50">
        <v>46155</v>
      </c>
      <c r="B166" s="83"/>
      <c r="C166" s="83"/>
      <c r="D166" s="84"/>
      <c r="E166" s="85"/>
      <c r="F166" s="85"/>
      <c r="G166" s="85"/>
      <c r="H166" s="86"/>
      <c r="I166" s="85"/>
      <c r="J166" s="87"/>
      <c r="K166" s="84"/>
      <c r="L166" s="84"/>
      <c r="M166" s="84"/>
      <c r="N166" s="55"/>
      <c r="O166" s="88"/>
      <c r="P166" s="88"/>
      <c r="Q166" s="88"/>
      <c r="R166" s="84"/>
      <c r="S166" s="84"/>
      <c r="T166" s="84"/>
      <c r="U166" s="84"/>
      <c r="V166" s="85"/>
      <c r="W166" s="84"/>
      <c r="X166" s="87"/>
      <c r="Y166" s="84"/>
      <c r="Z166" s="84"/>
      <c r="AA166" s="84"/>
      <c r="AB166" s="84"/>
      <c r="AC166" s="84"/>
      <c r="AD166" s="84"/>
      <c r="AE166" s="84"/>
      <c r="AF166" s="84"/>
      <c r="AG166" s="84"/>
      <c r="AH166" s="89"/>
      <c r="AI166" s="84"/>
      <c r="AJ166" s="84"/>
      <c r="AK166" s="84"/>
      <c r="AL166" s="89"/>
      <c r="AM166" s="89"/>
      <c r="AN166" s="55"/>
      <c r="AO166" s="84"/>
      <c r="AP166" s="60"/>
      <c r="AQ166" s="90"/>
      <c r="AR166" s="55"/>
      <c r="AS166" s="55"/>
      <c r="AT166" s="91"/>
      <c r="AU166" s="55"/>
      <c r="AV166" s="92"/>
      <c r="AW166" s="92"/>
      <c r="AX166" s="62"/>
      <c r="AY166" s="90"/>
      <c r="AZ166" s="93"/>
      <c r="BA166" s="93"/>
      <c r="BB166" s="93"/>
      <c r="BC166" s="55"/>
      <c r="BD166" s="88"/>
      <c r="BE166" s="88"/>
      <c r="BF166" s="88"/>
      <c r="BG166" s="87"/>
      <c r="BH166" s="84"/>
      <c r="BI166" s="84"/>
      <c r="BJ166" s="90"/>
      <c r="BK166" s="94"/>
      <c r="BL166" s="62"/>
      <c r="BM166" s="84"/>
      <c r="BN166" s="95"/>
      <c r="BO166" s="84"/>
      <c r="BP166" s="84"/>
      <c r="BQ166" s="96"/>
    </row>
    <row r="167">
      <c r="A167" s="50">
        <v>46156</v>
      </c>
      <c r="B167" s="83"/>
      <c r="C167" s="83"/>
      <c r="D167" s="84"/>
      <c r="E167" s="85"/>
      <c r="F167" s="85"/>
      <c r="G167" s="85"/>
      <c r="H167" s="86"/>
      <c r="I167" s="85"/>
      <c r="J167" s="87"/>
      <c r="K167" s="84"/>
      <c r="L167" s="84"/>
      <c r="M167" s="84"/>
      <c r="N167" s="55"/>
      <c r="O167" s="88"/>
      <c r="P167" s="88"/>
      <c r="Q167" s="88"/>
      <c r="R167" s="84"/>
      <c r="S167" s="84"/>
      <c r="T167" s="84"/>
      <c r="U167" s="84"/>
      <c r="V167" s="85"/>
      <c r="W167" s="84"/>
      <c r="X167" s="87"/>
      <c r="Y167" s="84"/>
      <c r="Z167" s="84"/>
      <c r="AA167" s="84"/>
      <c r="AB167" s="84"/>
      <c r="AC167" s="84"/>
      <c r="AD167" s="84"/>
      <c r="AE167" s="84"/>
      <c r="AF167" s="84"/>
      <c r="AG167" s="84"/>
      <c r="AH167" s="89"/>
      <c r="AI167" s="84"/>
      <c r="AJ167" s="84"/>
      <c r="AK167" s="84"/>
      <c r="AL167" s="89"/>
      <c r="AM167" s="89"/>
      <c r="AN167" s="55"/>
      <c r="AO167" s="84"/>
      <c r="AP167" s="60"/>
      <c r="AQ167" s="90"/>
      <c r="AR167" s="55"/>
      <c r="AS167" s="55"/>
      <c r="AT167" s="91"/>
      <c r="AU167" s="55"/>
      <c r="AV167" s="92"/>
      <c r="AW167" s="92"/>
      <c r="AX167" s="62"/>
      <c r="AY167" s="90"/>
      <c r="AZ167" s="93"/>
      <c r="BA167" s="93"/>
      <c r="BB167" s="93"/>
      <c r="BC167" s="55"/>
      <c r="BD167" s="88"/>
      <c r="BE167" s="88"/>
      <c r="BF167" s="88"/>
      <c r="BG167" s="87"/>
      <c r="BH167" s="84"/>
      <c r="BI167" s="84"/>
      <c r="BJ167" s="90"/>
      <c r="BK167" s="94"/>
      <c r="BL167" s="62"/>
      <c r="BM167" s="84"/>
      <c r="BN167" s="95"/>
      <c r="BO167" s="84"/>
      <c r="BP167" s="84"/>
      <c r="BQ167" s="96"/>
    </row>
    <row r="168">
      <c r="A168" s="50">
        <v>46157</v>
      </c>
      <c r="B168" s="83"/>
      <c r="C168" s="83"/>
      <c r="D168" s="84"/>
      <c r="E168" s="85"/>
      <c r="F168" s="85"/>
      <c r="G168" s="85"/>
      <c r="H168" s="86"/>
      <c r="I168" s="85"/>
      <c r="J168" s="87"/>
      <c r="K168" s="84"/>
      <c r="L168" s="84"/>
      <c r="M168" s="84"/>
      <c r="N168" s="55"/>
      <c r="O168" s="88"/>
      <c r="P168" s="88"/>
      <c r="Q168" s="88"/>
      <c r="R168" s="84"/>
      <c r="S168" s="84"/>
      <c r="T168" s="84"/>
      <c r="U168" s="84"/>
      <c r="V168" s="85"/>
      <c r="W168" s="84"/>
      <c r="X168" s="87"/>
      <c r="Y168" s="84"/>
      <c r="Z168" s="84"/>
      <c r="AA168" s="84"/>
      <c r="AB168" s="84"/>
      <c r="AC168" s="84"/>
      <c r="AD168" s="84"/>
      <c r="AE168" s="84"/>
      <c r="AF168" s="84"/>
      <c r="AG168" s="84"/>
      <c r="AH168" s="89"/>
      <c r="AI168" s="84"/>
      <c r="AJ168" s="84"/>
      <c r="AK168" s="84"/>
      <c r="AL168" s="89"/>
      <c r="AM168" s="89"/>
      <c r="AN168" s="55"/>
      <c r="AO168" s="84"/>
      <c r="AP168" s="60"/>
      <c r="AQ168" s="90"/>
      <c r="AR168" s="55"/>
      <c r="AS168" s="55"/>
      <c r="AT168" s="91"/>
      <c r="AU168" s="55"/>
      <c r="AV168" s="92"/>
      <c r="AW168" s="92"/>
      <c r="AX168" s="62"/>
      <c r="AY168" s="90"/>
      <c r="AZ168" s="93"/>
      <c r="BA168" s="93"/>
      <c r="BB168" s="93"/>
      <c r="BC168" s="55"/>
      <c r="BD168" s="88"/>
      <c r="BE168" s="88"/>
      <c r="BF168" s="88"/>
      <c r="BG168" s="87"/>
      <c r="BH168" s="84"/>
      <c r="BI168" s="84"/>
      <c r="BJ168" s="90"/>
      <c r="BK168" s="94"/>
      <c r="BL168" s="62"/>
      <c r="BM168" s="84"/>
      <c r="BN168" s="95"/>
      <c r="BO168" s="84"/>
      <c r="BP168" s="84"/>
      <c r="BQ168" s="96"/>
    </row>
    <row r="169">
      <c r="A169" s="50">
        <v>46158</v>
      </c>
      <c r="B169" s="83"/>
      <c r="C169" s="83"/>
      <c r="D169" s="84"/>
      <c r="E169" s="85"/>
      <c r="F169" s="85"/>
      <c r="G169" s="85"/>
      <c r="H169" s="86"/>
      <c r="I169" s="85"/>
      <c r="J169" s="87"/>
      <c r="K169" s="84"/>
      <c r="L169" s="84"/>
      <c r="M169" s="84"/>
      <c r="N169" s="55"/>
      <c r="O169" s="88"/>
      <c r="P169" s="88"/>
      <c r="Q169" s="88"/>
      <c r="R169" s="84"/>
      <c r="S169" s="84"/>
      <c r="T169" s="84"/>
      <c r="U169" s="84"/>
      <c r="V169" s="85"/>
      <c r="W169" s="84"/>
      <c r="X169" s="87"/>
      <c r="Y169" s="84"/>
      <c r="Z169" s="84"/>
      <c r="AA169" s="84"/>
      <c r="AB169" s="84"/>
      <c r="AC169" s="84"/>
      <c r="AD169" s="84"/>
      <c r="AE169" s="84"/>
      <c r="AF169" s="84"/>
      <c r="AG169" s="84"/>
      <c r="AH169" s="89"/>
      <c r="AI169" s="84"/>
      <c r="AJ169" s="84"/>
      <c r="AK169" s="84"/>
      <c r="AL169" s="89"/>
      <c r="AM169" s="89"/>
      <c r="AN169" s="55"/>
      <c r="AO169" s="84"/>
      <c r="AP169" s="60"/>
      <c r="AQ169" s="90"/>
      <c r="AR169" s="55"/>
      <c r="AS169" s="55"/>
      <c r="AT169" s="91"/>
      <c r="AU169" s="55"/>
      <c r="AV169" s="92"/>
      <c r="AW169" s="92"/>
      <c r="AX169" s="62"/>
      <c r="AY169" s="90"/>
      <c r="AZ169" s="93"/>
      <c r="BA169" s="93"/>
      <c r="BB169" s="93"/>
      <c r="BC169" s="55"/>
      <c r="BD169" s="88"/>
      <c r="BE169" s="88"/>
      <c r="BF169" s="88"/>
      <c r="BG169" s="87"/>
      <c r="BH169" s="84"/>
      <c r="BI169" s="84"/>
      <c r="BJ169" s="90"/>
      <c r="BK169" s="94"/>
      <c r="BL169" s="62"/>
      <c r="BM169" s="84"/>
      <c r="BN169" s="95"/>
      <c r="BO169" s="84"/>
      <c r="BP169" s="84"/>
      <c r="BQ169" s="96"/>
    </row>
    <row r="170">
      <c r="A170" s="50">
        <v>46159</v>
      </c>
      <c r="B170" s="83"/>
      <c r="C170" s="83"/>
      <c r="D170" s="84"/>
      <c r="E170" s="85"/>
      <c r="F170" s="85"/>
      <c r="G170" s="85"/>
      <c r="H170" s="86"/>
      <c r="I170" s="85"/>
      <c r="J170" s="87"/>
      <c r="K170" s="84"/>
      <c r="L170" s="84"/>
      <c r="M170" s="84"/>
      <c r="N170" s="55"/>
      <c r="O170" s="88"/>
      <c r="P170" s="88"/>
      <c r="Q170" s="88"/>
      <c r="R170" s="84"/>
      <c r="S170" s="84"/>
      <c r="T170" s="84"/>
      <c r="U170" s="84"/>
      <c r="V170" s="85"/>
      <c r="W170" s="84"/>
      <c r="X170" s="87"/>
      <c r="Y170" s="84"/>
      <c r="Z170" s="84"/>
      <c r="AA170" s="84"/>
      <c r="AB170" s="84"/>
      <c r="AC170" s="84"/>
      <c r="AD170" s="84"/>
      <c r="AE170" s="84"/>
      <c r="AF170" s="84"/>
      <c r="AG170" s="84"/>
      <c r="AH170" s="89"/>
      <c r="AI170" s="84"/>
      <c r="AJ170" s="84"/>
      <c r="AK170" s="84"/>
      <c r="AL170" s="89"/>
      <c r="AM170" s="89"/>
      <c r="AN170" s="55"/>
      <c r="AO170" s="84"/>
      <c r="AP170" s="60"/>
      <c r="AQ170" s="90"/>
      <c r="AR170" s="55"/>
      <c r="AS170" s="55"/>
      <c r="AT170" s="91"/>
      <c r="AU170" s="55"/>
      <c r="AV170" s="92"/>
      <c r="AW170" s="92"/>
      <c r="AX170" s="62"/>
      <c r="AY170" s="90"/>
      <c r="AZ170" s="93"/>
      <c r="BA170" s="93"/>
      <c r="BB170" s="93"/>
      <c r="BC170" s="55"/>
      <c r="BD170" s="88"/>
      <c r="BE170" s="88"/>
      <c r="BF170" s="88"/>
      <c r="BG170" s="87"/>
      <c r="BH170" s="84"/>
      <c r="BI170" s="84"/>
      <c r="BJ170" s="90"/>
      <c r="BK170" s="94"/>
      <c r="BL170" s="62"/>
      <c r="BM170" s="84"/>
      <c r="BN170" s="95"/>
      <c r="BO170" s="84"/>
      <c r="BP170" s="84"/>
      <c r="BQ170" s="96"/>
    </row>
    <row r="171">
      <c r="A171" s="50">
        <v>46160</v>
      </c>
      <c r="B171" s="83"/>
      <c r="C171" s="83"/>
      <c r="D171" s="84"/>
      <c r="E171" s="85"/>
      <c r="F171" s="85"/>
      <c r="G171" s="85"/>
      <c r="H171" s="86"/>
      <c r="I171" s="85"/>
      <c r="J171" s="87"/>
      <c r="K171" s="84"/>
      <c r="L171" s="84"/>
      <c r="M171" s="84"/>
      <c r="N171" s="55"/>
      <c r="O171" s="88"/>
      <c r="P171" s="88"/>
      <c r="Q171" s="88"/>
      <c r="R171" s="84"/>
      <c r="S171" s="84"/>
      <c r="T171" s="84"/>
      <c r="U171" s="84"/>
      <c r="V171" s="85"/>
      <c r="W171" s="84"/>
      <c r="X171" s="87"/>
      <c r="Y171" s="84"/>
      <c r="Z171" s="84"/>
      <c r="AA171" s="84"/>
      <c r="AB171" s="84"/>
      <c r="AC171" s="84"/>
      <c r="AD171" s="84"/>
      <c r="AE171" s="84"/>
      <c r="AF171" s="84"/>
      <c r="AG171" s="84"/>
      <c r="AH171" s="89"/>
      <c r="AI171" s="84"/>
      <c r="AJ171" s="84"/>
      <c r="AK171" s="84"/>
      <c r="AL171" s="89"/>
      <c r="AM171" s="89"/>
      <c r="AN171" s="55"/>
      <c r="AO171" s="84"/>
      <c r="AP171" s="60"/>
      <c r="AQ171" s="90"/>
      <c r="AR171" s="55"/>
      <c r="AS171" s="55"/>
      <c r="AT171" s="91"/>
      <c r="AU171" s="55"/>
      <c r="AV171" s="92"/>
      <c r="AW171" s="92"/>
      <c r="AX171" s="62"/>
      <c r="AY171" s="90"/>
      <c r="AZ171" s="93"/>
      <c r="BA171" s="93"/>
      <c r="BB171" s="93"/>
      <c r="BC171" s="55"/>
      <c r="BD171" s="88"/>
      <c r="BE171" s="88"/>
      <c r="BF171" s="88"/>
      <c r="BG171" s="87"/>
      <c r="BH171" s="84"/>
      <c r="BI171" s="84"/>
      <c r="BJ171" s="90"/>
      <c r="BK171" s="94"/>
      <c r="BL171" s="62"/>
      <c r="BM171" s="84"/>
      <c r="BN171" s="95"/>
      <c r="BO171" s="84"/>
      <c r="BP171" s="84"/>
      <c r="BQ171" s="96"/>
    </row>
    <row r="172">
      <c r="A172" s="50">
        <v>46161</v>
      </c>
      <c r="B172" s="83"/>
      <c r="C172" s="83"/>
      <c r="D172" s="84"/>
      <c r="E172" s="85"/>
      <c r="F172" s="85"/>
      <c r="G172" s="85"/>
      <c r="H172" s="86"/>
      <c r="I172" s="85"/>
      <c r="J172" s="87"/>
      <c r="K172" s="84"/>
      <c r="L172" s="84"/>
      <c r="M172" s="84"/>
      <c r="N172" s="55"/>
      <c r="O172" s="88"/>
      <c r="P172" s="88"/>
      <c r="Q172" s="88"/>
      <c r="R172" s="84"/>
      <c r="S172" s="84"/>
      <c r="T172" s="84"/>
      <c r="U172" s="84"/>
      <c r="V172" s="85"/>
      <c r="W172" s="84"/>
      <c r="X172" s="87"/>
      <c r="Y172" s="84"/>
      <c r="Z172" s="84"/>
      <c r="AA172" s="84"/>
      <c r="AB172" s="84"/>
      <c r="AC172" s="84"/>
      <c r="AD172" s="84"/>
      <c r="AE172" s="84"/>
      <c r="AF172" s="84"/>
      <c r="AG172" s="84"/>
      <c r="AH172" s="89"/>
      <c r="AI172" s="84"/>
      <c r="AJ172" s="84"/>
      <c r="AK172" s="84"/>
      <c r="AL172" s="89"/>
      <c r="AM172" s="89"/>
      <c r="AN172" s="55"/>
      <c r="AO172" s="84"/>
      <c r="AP172" s="60"/>
      <c r="AQ172" s="90"/>
      <c r="AR172" s="55"/>
      <c r="AS172" s="55"/>
      <c r="AT172" s="91"/>
      <c r="AU172" s="55"/>
      <c r="AV172" s="92"/>
      <c r="AW172" s="92"/>
      <c r="AX172" s="62"/>
      <c r="AY172" s="90"/>
      <c r="AZ172" s="93"/>
      <c r="BA172" s="93"/>
      <c r="BB172" s="93"/>
      <c r="BC172" s="55"/>
      <c r="BD172" s="88"/>
      <c r="BE172" s="88"/>
      <c r="BF172" s="88"/>
      <c r="BG172" s="87"/>
      <c r="BH172" s="84"/>
      <c r="BI172" s="84"/>
      <c r="BJ172" s="90"/>
      <c r="BK172" s="94"/>
      <c r="BL172" s="62"/>
      <c r="BM172" s="84"/>
      <c r="BN172" s="95"/>
      <c r="BO172" s="84"/>
      <c r="BP172" s="84"/>
      <c r="BQ172" s="96"/>
    </row>
    <row r="173">
      <c r="A173" s="50">
        <v>46162</v>
      </c>
      <c r="B173" s="83"/>
      <c r="C173" s="83"/>
      <c r="D173" s="84"/>
      <c r="E173" s="85"/>
      <c r="F173" s="85"/>
      <c r="G173" s="85"/>
      <c r="H173" s="86"/>
      <c r="I173" s="85"/>
      <c r="J173" s="87"/>
      <c r="K173" s="84"/>
      <c r="L173" s="84"/>
      <c r="M173" s="84"/>
      <c r="N173" s="55"/>
      <c r="O173" s="88"/>
      <c r="P173" s="88"/>
      <c r="Q173" s="88"/>
      <c r="R173" s="84"/>
      <c r="S173" s="84"/>
      <c r="T173" s="84"/>
      <c r="U173" s="84"/>
      <c r="V173" s="85"/>
      <c r="W173" s="84"/>
      <c r="X173" s="87"/>
      <c r="Y173" s="84"/>
      <c r="Z173" s="84"/>
      <c r="AA173" s="84"/>
      <c r="AB173" s="84"/>
      <c r="AC173" s="84"/>
      <c r="AD173" s="84"/>
      <c r="AE173" s="84"/>
      <c r="AF173" s="84"/>
      <c r="AG173" s="84"/>
      <c r="AH173" s="89"/>
      <c r="AI173" s="84"/>
      <c r="AJ173" s="84"/>
      <c r="AK173" s="84"/>
      <c r="AL173" s="89"/>
      <c r="AM173" s="89"/>
      <c r="AN173" s="55"/>
      <c r="AO173" s="84"/>
      <c r="AP173" s="60"/>
      <c r="AQ173" s="90"/>
      <c r="AR173" s="55"/>
      <c r="AS173" s="55"/>
      <c r="AT173" s="91"/>
      <c r="AU173" s="55"/>
      <c r="AV173" s="92"/>
      <c r="AW173" s="92"/>
      <c r="AX173" s="62"/>
      <c r="AY173" s="90"/>
      <c r="AZ173" s="93"/>
      <c r="BA173" s="93"/>
      <c r="BB173" s="93"/>
      <c r="BC173" s="55"/>
      <c r="BD173" s="88"/>
      <c r="BE173" s="88"/>
      <c r="BF173" s="88"/>
      <c r="BG173" s="87"/>
      <c r="BH173" s="84"/>
      <c r="BI173" s="84"/>
      <c r="BJ173" s="90"/>
      <c r="BK173" s="94"/>
      <c r="BL173" s="62"/>
      <c r="BM173" s="84"/>
      <c r="BN173" s="95"/>
      <c r="BO173" s="84"/>
      <c r="BP173" s="84"/>
      <c r="BQ173" s="96"/>
    </row>
    <row r="174">
      <c r="A174" s="50">
        <v>46163</v>
      </c>
      <c r="B174" s="83"/>
      <c r="C174" s="83"/>
      <c r="D174" s="84"/>
      <c r="E174" s="85"/>
      <c r="F174" s="85"/>
      <c r="G174" s="85"/>
      <c r="H174" s="86"/>
      <c r="I174" s="85"/>
      <c r="J174" s="87"/>
      <c r="K174" s="84"/>
      <c r="L174" s="84"/>
      <c r="M174" s="84"/>
      <c r="N174" s="55"/>
      <c r="O174" s="88"/>
      <c r="P174" s="88"/>
      <c r="Q174" s="88"/>
      <c r="R174" s="84"/>
      <c r="S174" s="84"/>
      <c r="T174" s="84"/>
      <c r="U174" s="84"/>
      <c r="V174" s="85"/>
      <c r="W174" s="84"/>
      <c r="X174" s="87"/>
      <c r="Y174" s="84"/>
      <c r="Z174" s="84"/>
      <c r="AA174" s="84"/>
      <c r="AB174" s="84"/>
      <c r="AC174" s="84"/>
      <c r="AD174" s="84"/>
      <c r="AE174" s="84"/>
      <c r="AF174" s="84"/>
      <c r="AG174" s="84"/>
      <c r="AH174" s="89"/>
      <c r="AI174" s="84"/>
      <c r="AJ174" s="84"/>
      <c r="AK174" s="84"/>
      <c r="AL174" s="89"/>
      <c r="AM174" s="89"/>
      <c r="AN174" s="55"/>
      <c r="AO174" s="84"/>
      <c r="AP174" s="60"/>
      <c r="AQ174" s="90"/>
      <c r="AR174" s="55"/>
      <c r="AS174" s="55"/>
      <c r="AT174" s="91"/>
      <c r="AU174" s="55"/>
      <c r="AV174" s="92"/>
      <c r="AW174" s="92"/>
      <c r="AX174" s="62"/>
      <c r="AY174" s="90"/>
      <c r="AZ174" s="93"/>
      <c r="BA174" s="93"/>
      <c r="BB174" s="93"/>
      <c r="BC174" s="55"/>
      <c r="BD174" s="88"/>
      <c r="BE174" s="88"/>
      <c r="BF174" s="88"/>
      <c r="BG174" s="87"/>
      <c r="BH174" s="84"/>
      <c r="BI174" s="84"/>
      <c r="BJ174" s="90"/>
      <c r="BK174" s="94"/>
      <c r="BL174" s="62"/>
      <c r="BM174" s="84"/>
      <c r="BN174" s="95"/>
      <c r="BO174" s="84"/>
      <c r="BP174" s="84"/>
      <c r="BQ174" s="96"/>
    </row>
    <row r="175">
      <c r="A175" s="50">
        <v>46164</v>
      </c>
      <c r="B175" s="83"/>
      <c r="C175" s="83"/>
      <c r="D175" s="84"/>
      <c r="E175" s="85"/>
      <c r="F175" s="85"/>
      <c r="G175" s="85"/>
      <c r="H175" s="86"/>
      <c r="I175" s="85"/>
      <c r="J175" s="87"/>
      <c r="K175" s="84"/>
      <c r="L175" s="84"/>
      <c r="M175" s="84"/>
      <c r="N175" s="55"/>
      <c r="O175" s="88"/>
      <c r="P175" s="88"/>
      <c r="Q175" s="88"/>
      <c r="R175" s="84"/>
      <c r="S175" s="84"/>
      <c r="T175" s="84"/>
      <c r="U175" s="84"/>
      <c r="V175" s="85"/>
      <c r="W175" s="84"/>
      <c r="X175" s="87"/>
      <c r="Y175" s="84"/>
      <c r="Z175" s="84"/>
      <c r="AA175" s="84"/>
      <c r="AB175" s="84"/>
      <c r="AC175" s="84"/>
      <c r="AD175" s="84"/>
      <c r="AE175" s="84"/>
      <c r="AF175" s="84"/>
      <c r="AG175" s="84"/>
      <c r="AH175" s="89"/>
      <c r="AI175" s="84"/>
      <c r="AJ175" s="84"/>
      <c r="AK175" s="84"/>
      <c r="AL175" s="89"/>
      <c r="AM175" s="89"/>
      <c r="AN175" s="55"/>
      <c r="AO175" s="84"/>
      <c r="AP175" s="60"/>
      <c r="AQ175" s="90"/>
      <c r="AR175" s="55"/>
      <c r="AS175" s="55"/>
      <c r="AT175" s="91"/>
      <c r="AU175" s="55"/>
      <c r="AV175" s="92"/>
      <c r="AW175" s="92"/>
      <c r="AX175" s="62"/>
      <c r="AY175" s="90"/>
      <c r="AZ175" s="93"/>
      <c r="BA175" s="93"/>
      <c r="BB175" s="93"/>
      <c r="BC175" s="55"/>
      <c r="BD175" s="88"/>
      <c r="BE175" s="88"/>
      <c r="BF175" s="88"/>
      <c r="BG175" s="87"/>
      <c r="BH175" s="84"/>
      <c r="BI175" s="84"/>
      <c r="BJ175" s="90"/>
      <c r="BK175" s="94"/>
      <c r="BL175" s="62"/>
      <c r="BM175" s="84"/>
      <c r="BN175" s="95"/>
      <c r="BO175" s="84"/>
      <c r="BP175" s="84"/>
      <c r="BQ175" s="96"/>
    </row>
    <row r="176">
      <c r="A176" s="50"/>
      <c r="B176" s="83"/>
      <c r="C176" s="83"/>
      <c r="D176" s="84"/>
      <c r="E176" s="85"/>
      <c r="F176" s="85"/>
      <c r="G176" s="85"/>
      <c r="H176" s="86"/>
      <c r="I176" s="85"/>
      <c r="J176" s="87"/>
      <c r="K176" s="84"/>
      <c r="L176" s="84"/>
      <c r="M176" s="84"/>
      <c r="N176" s="55"/>
      <c r="O176" s="88"/>
      <c r="P176" s="88"/>
      <c r="Q176" s="88"/>
      <c r="R176" s="84"/>
      <c r="S176" s="84"/>
      <c r="T176" s="84"/>
      <c r="U176" s="84"/>
      <c r="V176" s="85"/>
      <c r="W176" s="84"/>
      <c r="X176" s="87"/>
      <c r="Y176" s="84"/>
      <c r="Z176" s="84"/>
      <c r="AA176" s="84"/>
      <c r="AB176" s="84"/>
      <c r="AC176" s="84"/>
      <c r="AD176" s="84"/>
      <c r="AE176" s="84"/>
      <c r="AF176" s="84"/>
      <c r="AG176" s="84"/>
      <c r="AH176" s="89"/>
      <c r="AI176" s="84"/>
      <c r="AJ176" s="84"/>
      <c r="AK176" s="84"/>
      <c r="AL176" s="89"/>
      <c r="AM176" s="89"/>
      <c r="AN176" s="55"/>
      <c r="AO176" s="84"/>
      <c r="AP176" s="60"/>
      <c r="AQ176" s="90"/>
      <c r="AR176" s="55"/>
      <c r="AS176" s="55"/>
      <c r="AT176" s="91"/>
      <c r="AU176" s="55"/>
      <c r="AV176" s="92"/>
      <c r="AW176" s="92"/>
      <c r="AX176" s="62"/>
      <c r="AY176" s="90"/>
      <c r="AZ176" s="93"/>
      <c r="BA176" s="93"/>
      <c r="BB176" s="93"/>
      <c r="BC176" s="55"/>
      <c r="BD176" s="88"/>
      <c r="BE176" s="88"/>
      <c r="BF176" s="88"/>
      <c r="BG176" s="87"/>
      <c r="BH176" s="84"/>
      <c r="BI176" s="84"/>
      <c r="BJ176" s="90"/>
      <c r="BK176" s="94"/>
      <c r="BL176" s="62"/>
      <c r="BM176" s="84"/>
      <c r="BN176" s="95"/>
      <c r="BO176" s="84"/>
      <c r="BP176" s="84"/>
      <c r="BQ176" s="96"/>
    </row>
    <row r="177">
      <c r="A177" s="50"/>
      <c r="B177" s="83"/>
      <c r="C177" s="83"/>
      <c r="D177" s="84"/>
      <c r="E177" s="85"/>
      <c r="F177" s="85"/>
      <c r="G177" s="85"/>
      <c r="H177" s="86"/>
      <c r="I177" s="85"/>
      <c r="J177" s="87"/>
      <c r="K177" s="84"/>
      <c r="L177" s="84"/>
      <c r="M177" s="84"/>
      <c r="N177" s="55"/>
      <c r="O177" s="88"/>
      <c r="P177" s="88"/>
      <c r="Q177" s="88"/>
      <c r="R177" s="84"/>
      <c r="S177" s="84"/>
      <c r="T177" s="84"/>
      <c r="U177" s="84"/>
      <c r="V177" s="85"/>
      <c r="W177" s="84"/>
      <c r="X177" s="87"/>
      <c r="Y177" s="84"/>
      <c r="Z177" s="84"/>
      <c r="AA177" s="84"/>
      <c r="AB177" s="84"/>
      <c r="AC177" s="84"/>
      <c r="AD177" s="84"/>
      <c r="AE177" s="84"/>
      <c r="AF177" s="84"/>
      <c r="AG177" s="84"/>
      <c r="AH177" s="89"/>
      <c r="AI177" s="84"/>
      <c r="AJ177" s="84"/>
      <c r="AK177" s="84"/>
      <c r="AL177" s="89"/>
      <c r="AM177" s="89"/>
      <c r="AN177" s="55"/>
      <c r="AO177" s="84"/>
      <c r="AP177" s="60"/>
      <c r="AQ177" s="90"/>
      <c r="AR177" s="55"/>
      <c r="AS177" s="55"/>
      <c r="AT177" s="91"/>
      <c r="AU177" s="55"/>
      <c r="AV177" s="92"/>
      <c r="AW177" s="92"/>
      <c r="AX177" s="62"/>
      <c r="AY177" s="90"/>
      <c r="AZ177" s="93"/>
      <c r="BA177" s="93"/>
      <c r="BB177" s="93"/>
      <c r="BC177" s="55"/>
      <c r="BD177" s="88"/>
      <c r="BE177" s="88"/>
      <c r="BF177" s="88"/>
      <c r="BG177" s="87"/>
      <c r="BH177" s="84"/>
      <c r="BI177" s="84"/>
      <c r="BJ177" s="90"/>
      <c r="BK177" s="94"/>
      <c r="BL177" s="62"/>
      <c r="BM177" s="84"/>
      <c r="BN177" s="95"/>
      <c r="BO177" s="84"/>
      <c r="BP177" s="84"/>
      <c r="BQ177" s="96"/>
    </row>
    <row r="178">
      <c r="A178" s="50"/>
      <c r="B178" s="83"/>
      <c r="C178" s="83"/>
      <c r="D178" s="84"/>
      <c r="E178" s="85"/>
      <c r="F178" s="85"/>
      <c r="G178" s="85"/>
      <c r="H178" s="86"/>
      <c r="I178" s="85"/>
      <c r="J178" s="87"/>
      <c r="K178" s="84"/>
      <c r="L178" s="84"/>
      <c r="M178" s="84"/>
      <c r="N178" s="55"/>
      <c r="O178" s="88"/>
      <c r="P178" s="88"/>
      <c r="Q178" s="88"/>
      <c r="R178" s="84"/>
      <c r="S178" s="84"/>
      <c r="T178" s="84"/>
      <c r="U178" s="84"/>
      <c r="V178" s="85"/>
      <c r="W178" s="84"/>
      <c r="X178" s="87"/>
      <c r="Y178" s="84"/>
      <c r="Z178" s="84"/>
      <c r="AA178" s="84"/>
      <c r="AB178" s="84"/>
      <c r="AC178" s="84"/>
      <c r="AD178" s="84"/>
      <c r="AE178" s="84"/>
      <c r="AF178" s="84"/>
      <c r="AG178" s="84"/>
      <c r="AH178" s="89"/>
      <c r="AI178" s="84"/>
      <c r="AJ178" s="84"/>
      <c r="AK178" s="84"/>
      <c r="AL178" s="89"/>
      <c r="AM178" s="89"/>
      <c r="AN178" s="55"/>
      <c r="AO178" s="84"/>
      <c r="AP178" s="60"/>
      <c r="AQ178" s="90"/>
      <c r="AR178" s="55"/>
      <c r="AS178" s="55"/>
      <c r="AT178" s="91"/>
      <c r="AU178" s="55"/>
      <c r="AV178" s="92"/>
      <c r="AW178" s="92"/>
      <c r="AX178" s="62"/>
      <c r="AY178" s="90"/>
      <c r="AZ178" s="93"/>
      <c r="BA178" s="93"/>
      <c r="BB178" s="93"/>
      <c r="BC178" s="55"/>
      <c r="BD178" s="88"/>
      <c r="BE178" s="88"/>
      <c r="BF178" s="88"/>
      <c r="BG178" s="87"/>
      <c r="BH178" s="84"/>
      <c r="BI178" s="84"/>
      <c r="BJ178" s="90"/>
      <c r="BK178" s="94"/>
      <c r="BL178" s="62"/>
      <c r="BM178" s="84"/>
      <c r="BN178" s="95"/>
      <c r="BO178" s="84"/>
      <c r="BP178" s="84"/>
      <c r="BQ178" s="96"/>
    </row>
    <row r="179">
      <c r="A179" s="50"/>
      <c r="B179" s="83"/>
      <c r="C179" s="83"/>
      <c r="D179" s="84"/>
      <c r="E179" s="85"/>
      <c r="F179" s="85"/>
      <c r="G179" s="85"/>
      <c r="H179" s="86"/>
      <c r="I179" s="85"/>
      <c r="J179" s="87"/>
      <c r="K179" s="84"/>
      <c r="L179" s="84"/>
      <c r="M179" s="84"/>
      <c r="N179" s="55"/>
      <c r="O179" s="88"/>
      <c r="P179" s="88"/>
      <c r="Q179" s="88"/>
      <c r="R179" s="84"/>
      <c r="S179" s="84"/>
      <c r="T179" s="84"/>
      <c r="U179" s="84"/>
      <c r="V179" s="85"/>
      <c r="W179" s="84"/>
      <c r="X179" s="87"/>
      <c r="Y179" s="84"/>
      <c r="Z179" s="84"/>
      <c r="AA179" s="84"/>
      <c r="AB179" s="84"/>
      <c r="AC179" s="84"/>
      <c r="AD179" s="84"/>
      <c r="AE179" s="84"/>
      <c r="AF179" s="84"/>
      <c r="AG179" s="84"/>
      <c r="AH179" s="89"/>
      <c r="AI179" s="84"/>
      <c r="AJ179" s="84"/>
      <c r="AK179" s="84"/>
      <c r="AL179" s="89"/>
      <c r="AM179" s="89"/>
      <c r="AN179" s="55"/>
      <c r="AO179" s="84"/>
      <c r="AP179" s="60"/>
      <c r="AQ179" s="90"/>
      <c r="AR179" s="55"/>
      <c r="AS179" s="55"/>
      <c r="AT179" s="91"/>
      <c r="AU179" s="55"/>
      <c r="AV179" s="92"/>
      <c r="AW179" s="92"/>
      <c r="AX179" s="62"/>
      <c r="AY179" s="90"/>
      <c r="AZ179" s="93"/>
      <c r="BA179" s="93"/>
      <c r="BB179" s="93"/>
      <c r="BC179" s="55"/>
      <c r="BD179" s="88"/>
      <c r="BE179" s="88"/>
      <c r="BF179" s="88"/>
      <c r="BG179" s="87"/>
      <c r="BH179" s="84"/>
      <c r="BI179" s="84"/>
      <c r="BJ179" s="90"/>
      <c r="BK179" s="94"/>
      <c r="BL179" s="62"/>
      <c r="BM179" s="84"/>
      <c r="BN179" s="95"/>
      <c r="BO179" s="84"/>
      <c r="BP179" s="84"/>
      <c r="BQ179" s="96"/>
    </row>
    <row r="180">
      <c r="A180" s="50"/>
      <c r="B180" s="83"/>
      <c r="C180" s="83"/>
      <c r="D180" s="84"/>
      <c r="E180" s="85"/>
      <c r="F180" s="85"/>
      <c r="G180" s="85"/>
      <c r="H180" s="86"/>
      <c r="I180" s="85"/>
      <c r="J180" s="87"/>
      <c r="K180" s="84"/>
      <c r="L180" s="84"/>
      <c r="M180" s="84"/>
      <c r="N180" s="55"/>
      <c r="O180" s="88"/>
      <c r="P180" s="88"/>
      <c r="Q180" s="88"/>
      <c r="R180" s="84"/>
      <c r="S180" s="84"/>
      <c r="T180" s="84"/>
      <c r="U180" s="84"/>
      <c r="V180" s="85"/>
      <c r="W180" s="84"/>
      <c r="X180" s="87"/>
      <c r="Y180" s="84"/>
      <c r="Z180" s="84"/>
      <c r="AA180" s="84"/>
      <c r="AB180" s="84"/>
      <c r="AC180" s="84"/>
      <c r="AD180" s="84"/>
      <c r="AE180" s="84"/>
      <c r="AF180" s="84"/>
      <c r="AG180" s="84"/>
      <c r="AH180" s="89"/>
      <c r="AI180" s="84"/>
      <c r="AJ180" s="84"/>
      <c r="AK180" s="84"/>
      <c r="AL180" s="89"/>
      <c r="AM180" s="89"/>
      <c r="AN180" s="55"/>
      <c r="AO180" s="84"/>
      <c r="AP180" s="60"/>
      <c r="AQ180" s="90"/>
      <c r="AR180" s="55"/>
      <c r="AS180" s="55"/>
      <c r="AT180" s="91"/>
      <c r="AU180" s="55"/>
      <c r="AV180" s="92"/>
      <c r="AW180" s="92"/>
      <c r="AX180" s="62"/>
      <c r="AY180" s="90"/>
      <c r="AZ180" s="93"/>
      <c r="BA180" s="93"/>
      <c r="BB180" s="93"/>
      <c r="BC180" s="55"/>
      <c r="BD180" s="88"/>
      <c r="BE180" s="88"/>
      <c r="BF180" s="88"/>
      <c r="BG180" s="87"/>
      <c r="BH180" s="84"/>
      <c r="BI180" s="84"/>
      <c r="BJ180" s="90"/>
      <c r="BK180" s="94"/>
      <c r="BL180" s="62"/>
      <c r="BM180" s="84"/>
      <c r="BN180" s="95"/>
      <c r="BO180" s="84"/>
      <c r="BP180" s="84"/>
      <c r="BQ180" s="96"/>
    </row>
    <row r="181">
      <c r="A181" s="50"/>
      <c r="B181" s="83"/>
      <c r="C181" s="83"/>
      <c r="D181" s="84"/>
      <c r="E181" s="85"/>
      <c r="F181" s="85"/>
      <c r="G181" s="85"/>
      <c r="H181" s="86"/>
      <c r="I181" s="85"/>
      <c r="J181" s="87"/>
      <c r="K181" s="84"/>
      <c r="L181" s="84"/>
      <c r="M181" s="84"/>
      <c r="N181" s="55"/>
      <c r="O181" s="88"/>
      <c r="P181" s="88"/>
      <c r="Q181" s="88"/>
      <c r="R181" s="84"/>
      <c r="S181" s="84"/>
      <c r="T181" s="84"/>
      <c r="U181" s="84"/>
      <c r="V181" s="85"/>
      <c r="W181" s="84"/>
      <c r="X181" s="87"/>
      <c r="Y181" s="84"/>
      <c r="Z181" s="84"/>
      <c r="AA181" s="84"/>
      <c r="AB181" s="84"/>
      <c r="AC181" s="84"/>
      <c r="AD181" s="84"/>
      <c r="AE181" s="84"/>
      <c r="AF181" s="84"/>
      <c r="AG181" s="84"/>
      <c r="AH181" s="89"/>
      <c r="AI181" s="84"/>
      <c r="AJ181" s="84"/>
      <c r="AK181" s="84"/>
      <c r="AL181" s="89"/>
      <c r="AM181" s="89"/>
      <c r="AN181" s="55"/>
      <c r="AO181" s="84"/>
      <c r="AP181" s="60"/>
      <c r="AQ181" s="90"/>
      <c r="AR181" s="55"/>
      <c r="AS181" s="55"/>
      <c r="AT181" s="91"/>
      <c r="AU181" s="55"/>
      <c r="AV181" s="92"/>
      <c r="AW181" s="92"/>
      <c r="AX181" s="62"/>
      <c r="AY181" s="90"/>
      <c r="AZ181" s="93"/>
      <c r="BA181" s="93"/>
      <c r="BB181" s="93"/>
      <c r="BC181" s="55"/>
      <c r="BD181" s="88"/>
      <c r="BE181" s="88"/>
      <c r="BF181" s="88"/>
      <c r="BG181" s="87"/>
      <c r="BH181" s="84"/>
      <c r="BI181" s="84"/>
      <c r="BJ181" s="90"/>
      <c r="BK181" s="94"/>
      <c r="BL181" s="62"/>
      <c r="BM181" s="84"/>
      <c r="BN181" s="95"/>
      <c r="BO181" s="84"/>
      <c r="BP181" s="84"/>
      <c r="BQ181" s="96"/>
    </row>
    <row r="182">
      <c r="A182" s="50"/>
      <c r="B182" s="83"/>
      <c r="C182" s="83"/>
      <c r="D182" s="84"/>
      <c r="E182" s="85"/>
      <c r="F182" s="85"/>
      <c r="G182" s="85"/>
      <c r="H182" s="86"/>
      <c r="I182" s="85"/>
      <c r="J182" s="87"/>
      <c r="K182" s="84"/>
      <c r="L182" s="84"/>
      <c r="M182" s="84"/>
      <c r="N182" s="55"/>
      <c r="O182" s="88"/>
      <c r="P182" s="88"/>
      <c r="Q182" s="88"/>
      <c r="R182" s="84"/>
      <c r="S182" s="84"/>
      <c r="T182" s="84"/>
      <c r="U182" s="84"/>
      <c r="V182" s="85"/>
      <c r="W182" s="84"/>
      <c r="X182" s="87"/>
      <c r="Y182" s="84"/>
      <c r="Z182" s="84"/>
      <c r="AA182" s="84"/>
      <c r="AB182" s="84"/>
      <c r="AC182" s="84"/>
      <c r="AD182" s="84"/>
      <c r="AE182" s="84"/>
      <c r="AF182" s="84"/>
      <c r="AG182" s="84"/>
      <c r="AH182" s="89"/>
      <c r="AI182" s="84"/>
      <c r="AJ182" s="84"/>
      <c r="AK182" s="84"/>
      <c r="AL182" s="89"/>
      <c r="AM182" s="89"/>
      <c r="AN182" s="55"/>
      <c r="AO182" s="84"/>
      <c r="AP182" s="60"/>
      <c r="AQ182" s="90"/>
      <c r="AR182" s="55"/>
      <c r="AS182" s="55"/>
      <c r="AT182" s="91"/>
      <c r="AU182" s="55"/>
      <c r="AV182" s="92"/>
      <c r="AW182" s="92"/>
      <c r="AX182" s="62"/>
      <c r="AY182" s="90"/>
      <c r="AZ182" s="93"/>
      <c r="BA182" s="93"/>
      <c r="BB182" s="93"/>
      <c r="BC182" s="55"/>
      <c r="BD182" s="88"/>
      <c r="BE182" s="88"/>
      <c r="BF182" s="88"/>
      <c r="BG182" s="87"/>
      <c r="BH182" s="84"/>
      <c r="BI182" s="84"/>
      <c r="BJ182" s="90"/>
      <c r="BK182" s="94"/>
      <c r="BL182" s="62"/>
      <c r="BM182" s="84"/>
      <c r="BN182" s="95"/>
      <c r="BO182" s="84"/>
      <c r="BP182" s="84"/>
      <c r="BQ182" s="96"/>
    </row>
    <row r="183">
      <c r="A183" s="50"/>
      <c r="B183" s="83"/>
      <c r="C183" s="83"/>
      <c r="D183" s="84"/>
      <c r="E183" s="85"/>
      <c r="F183" s="85"/>
      <c r="G183" s="85"/>
      <c r="H183" s="86"/>
      <c r="I183" s="85"/>
      <c r="J183" s="87"/>
      <c r="K183" s="84"/>
      <c r="L183" s="84"/>
      <c r="M183" s="84"/>
      <c r="N183" s="55"/>
      <c r="O183" s="88"/>
      <c r="P183" s="88"/>
      <c r="Q183" s="88"/>
      <c r="R183" s="84"/>
      <c r="S183" s="84"/>
      <c r="T183" s="84"/>
      <c r="U183" s="84"/>
      <c r="V183" s="85"/>
      <c r="W183" s="84"/>
      <c r="X183" s="87"/>
      <c r="Y183" s="84"/>
      <c r="Z183" s="84"/>
      <c r="AA183" s="84"/>
      <c r="AB183" s="84"/>
      <c r="AC183" s="84"/>
      <c r="AD183" s="84"/>
      <c r="AE183" s="84"/>
      <c r="AF183" s="84"/>
      <c r="AG183" s="84"/>
      <c r="AH183" s="89"/>
      <c r="AI183" s="84"/>
      <c r="AJ183" s="84"/>
      <c r="AK183" s="84"/>
      <c r="AL183" s="89"/>
      <c r="AM183" s="89"/>
      <c r="AN183" s="55"/>
      <c r="AO183" s="84"/>
      <c r="AP183" s="60"/>
      <c r="AQ183" s="90"/>
      <c r="AR183" s="55"/>
      <c r="AS183" s="55"/>
      <c r="AT183" s="91"/>
      <c r="AU183" s="55"/>
      <c r="AV183" s="92"/>
      <c r="AW183" s="92"/>
      <c r="AX183" s="62"/>
      <c r="AY183" s="90"/>
      <c r="AZ183" s="93"/>
      <c r="BA183" s="93"/>
      <c r="BB183" s="93"/>
      <c r="BC183" s="55"/>
      <c r="BD183" s="88"/>
      <c r="BE183" s="88"/>
      <c r="BF183" s="88"/>
      <c r="BG183" s="87"/>
      <c r="BH183" s="84"/>
      <c r="BI183" s="84"/>
      <c r="BJ183" s="90"/>
      <c r="BK183" s="94"/>
      <c r="BL183" s="62"/>
      <c r="BM183" s="84"/>
      <c r="BN183" s="95"/>
      <c r="BO183" s="84"/>
      <c r="BP183" s="84"/>
      <c r="BQ183" s="96"/>
    </row>
    <row r="184">
      <c r="A184" s="50"/>
      <c r="B184" s="83"/>
      <c r="C184" s="83"/>
      <c r="D184" s="84"/>
      <c r="E184" s="85"/>
      <c r="F184" s="85"/>
      <c r="G184" s="85"/>
      <c r="H184" s="86"/>
      <c r="I184" s="85"/>
      <c r="J184" s="87"/>
      <c r="K184" s="84"/>
      <c r="L184" s="84"/>
      <c r="M184" s="84"/>
      <c r="N184" s="55"/>
      <c r="O184" s="88"/>
      <c r="P184" s="88"/>
      <c r="Q184" s="88"/>
      <c r="R184" s="84"/>
      <c r="S184" s="84"/>
      <c r="T184" s="84"/>
      <c r="U184" s="84"/>
      <c r="V184" s="85"/>
      <c r="W184" s="84"/>
      <c r="X184" s="87"/>
      <c r="Y184" s="84"/>
      <c r="Z184" s="84"/>
      <c r="AA184" s="84"/>
      <c r="AB184" s="84"/>
      <c r="AC184" s="84"/>
      <c r="AD184" s="84"/>
      <c r="AE184" s="84"/>
      <c r="AF184" s="84"/>
      <c r="AG184" s="84"/>
      <c r="AH184" s="89"/>
      <c r="AI184" s="84"/>
      <c r="AJ184" s="84"/>
      <c r="AK184" s="84"/>
      <c r="AL184" s="89"/>
      <c r="AM184" s="89"/>
      <c r="AN184" s="55"/>
      <c r="AO184" s="84"/>
      <c r="AP184" s="60"/>
      <c r="AQ184" s="90"/>
      <c r="AR184" s="55"/>
      <c r="AS184" s="55"/>
      <c r="AT184" s="91"/>
      <c r="AU184" s="55"/>
      <c r="AV184" s="92"/>
      <c r="AW184" s="92"/>
      <c r="AX184" s="62"/>
      <c r="AY184" s="90"/>
      <c r="AZ184" s="93"/>
      <c r="BA184" s="93"/>
      <c r="BB184" s="93"/>
      <c r="BC184" s="55"/>
      <c r="BD184" s="88"/>
      <c r="BE184" s="88"/>
      <c r="BF184" s="88"/>
      <c r="BG184" s="87"/>
      <c r="BH184" s="84"/>
      <c r="BI184" s="84"/>
      <c r="BJ184" s="90"/>
      <c r="BK184" s="94"/>
      <c r="BL184" s="62"/>
      <c r="BM184" s="84"/>
      <c r="BN184" s="95"/>
      <c r="BO184" s="84"/>
      <c r="BP184" s="84"/>
      <c r="BQ184" s="96"/>
    </row>
    <row r="185">
      <c r="A185" s="50"/>
      <c r="B185" s="83"/>
      <c r="C185" s="83"/>
      <c r="D185" s="84"/>
      <c r="E185" s="85"/>
      <c r="F185" s="85"/>
      <c r="G185" s="85"/>
      <c r="H185" s="86"/>
      <c r="I185" s="85"/>
      <c r="J185" s="87"/>
      <c r="K185" s="84"/>
      <c r="L185" s="84"/>
      <c r="M185" s="84"/>
      <c r="N185" s="55"/>
      <c r="O185" s="88"/>
      <c r="P185" s="88"/>
      <c r="Q185" s="88"/>
      <c r="R185" s="84"/>
      <c r="S185" s="84"/>
      <c r="T185" s="84"/>
      <c r="U185" s="84"/>
      <c r="V185" s="85"/>
      <c r="W185" s="84"/>
      <c r="X185" s="87"/>
      <c r="Y185" s="84"/>
      <c r="Z185" s="84"/>
      <c r="AA185" s="84"/>
      <c r="AB185" s="84"/>
      <c r="AC185" s="84"/>
      <c r="AD185" s="84"/>
      <c r="AE185" s="84"/>
      <c r="AF185" s="84"/>
      <c r="AG185" s="84"/>
      <c r="AH185" s="89"/>
      <c r="AI185" s="84"/>
      <c r="AJ185" s="84"/>
      <c r="AK185" s="84"/>
      <c r="AL185" s="89"/>
      <c r="AM185" s="89"/>
      <c r="AN185" s="55"/>
      <c r="AO185" s="84"/>
      <c r="AP185" s="60"/>
      <c r="AQ185" s="90"/>
      <c r="AR185" s="55"/>
      <c r="AS185" s="55"/>
      <c r="AT185" s="91"/>
      <c r="AU185" s="55"/>
      <c r="AV185" s="92"/>
      <c r="AW185" s="92"/>
      <c r="AX185" s="62"/>
      <c r="AY185" s="90"/>
      <c r="AZ185" s="93"/>
      <c r="BA185" s="93"/>
      <c r="BB185" s="93"/>
      <c r="BC185" s="55"/>
      <c r="BD185" s="88"/>
      <c r="BE185" s="88"/>
      <c r="BF185" s="88"/>
      <c r="BG185" s="87"/>
      <c r="BH185" s="84"/>
      <c r="BI185" s="84"/>
      <c r="BJ185" s="90"/>
      <c r="BK185" s="94"/>
      <c r="BL185" s="62"/>
      <c r="BM185" s="84"/>
      <c r="BN185" s="95"/>
      <c r="BO185" s="84"/>
      <c r="BP185" s="84"/>
      <c r="BQ185" s="96"/>
    </row>
    <row r="186">
      <c r="A186" s="50"/>
      <c r="B186" s="83"/>
      <c r="C186" s="83"/>
      <c r="D186" s="84"/>
      <c r="E186" s="85"/>
      <c r="F186" s="85"/>
      <c r="G186" s="85"/>
      <c r="H186" s="86"/>
      <c r="I186" s="85"/>
      <c r="J186" s="87"/>
      <c r="K186" s="84"/>
      <c r="L186" s="84"/>
      <c r="M186" s="84"/>
      <c r="N186" s="55"/>
      <c r="O186" s="88"/>
      <c r="P186" s="88"/>
      <c r="Q186" s="88"/>
      <c r="R186" s="84"/>
      <c r="S186" s="84"/>
      <c r="T186" s="84"/>
      <c r="U186" s="84"/>
      <c r="V186" s="85"/>
      <c r="W186" s="84"/>
      <c r="X186" s="87"/>
      <c r="Y186" s="84"/>
      <c r="Z186" s="84"/>
      <c r="AA186" s="84"/>
      <c r="AB186" s="84"/>
      <c r="AC186" s="84"/>
      <c r="AD186" s="84"/>
      <c r="AE186" s="84"/>
      <c r="AF186" s="84"/>
      <c r="AG186" s="84"/>
      <c r="AH186" s="89"/>
      <c r="AI186" s="84"/>
      <c r="AJ186" s="84"/>
      <c r="AK186" s="84"/>
      <c r="AL186" s="89"/>
      <c r="AM186" s="89"/>
      <c r="AN186" s="55"/>
      <c r="AO186" s="84"/>
      <c r="AP186" s="60"/>
      <c r="AQ186" s="90"/>
      <c r="AR186" s="55"/>
      <c r="AS186" s="55"/>
      <c r="AT186" s="91"/>
      <c r="AU186" s="55"/>
      <c r="AV186" s="92"/>
      <c r="AW186" s="92"/>
      <c r="AX186" s="62"/>
      <c r="AY186" s="90"/>
      <c r="AZ186" s="93"/>
      <c r="BA186" s="93"/>
      <c r="BB186" s="93"/>
      <c r="BC186" s="55"/>
      <c r="BD186" s="88"/>
      <c r="BE186" s="88"/>
      <c r="BF186" s="88"/>
      <c r="BG186" s="87"/>
      <c r="BH186" s="84"/>
      <c r="BI186" s="84"/>
      <c r="BJ186" s="90"/>
      <c r="BK186" s="94"/>
      <c r="BL186" s="62"/>
      <c r="BM186" s="84"/>
      <c r="BN186" s="95"/>
      <c r="BO186" s="84"/>
      <c r="BP186" s="84"/>
      <c r="BQ186" s="96"/>
    </row>
    <row r="187">
      <c r="A187" s="50"/>
      <c r="B187" s="83"/>
      <c r="C187" s="83"/>
      <c r="D187" s="84"/>
      <c r="E187" s="85"/>
      <c r="F187" s="85"/>
      <c r="G187" s="85"/>
      <c r="H187" s="86"/>
      <c r="I187" s="85"/>
      <c r="J187" s="87"/>
      <c r="K187" s="84"/>
      <c r="L187" s="84"/>
      <c r="M187" s="84"/>
      <c r="N187" s="55"/>
      <c r="O187" s="88"/>
      <c r="P187" s="88"/>
      <c r="Q187" s="88"/>
      <c r="R187" s="84"/>
      <c r="S187" s="84"/>
      <c r="T187" s="84"/>
      <c r="U187" s="84"/>
      <c r="V187" s="85"/>
      <c r="W187" s="84"/>
      <c r="X187" s="87"/>
      <c r="Y187" s="84"/>
      <c r="Z187" s="84"/>
      <c r="AA187" s="84"/>
      <c r="AB187" s="84"/>
      <c r="AC187" s="84"/>
      <c r="AD187" s="84"/>
      <c r="AE187" s="84"/>
      <c r="AF187" s="84"/>
      <c r="AG187" s="84"/>
      <c r="AH187" s="89"/>
      <c r="AI187" s="84"/>
      <c r="AJ187" s="84"/>
      <c r="AK187" s="84"/>
      <c r="AL187" s="89"/>
      <c r="AM187" s="89"/>
      <c r="AN187" s="55"/>
      <c r="AO187" s="84"/>
      <c r="AP187" s="60"/>
      <c r="AQ187" s="90"/>
      <c r="AR187" s="55"/>
      <c r="AS187" s="55"/>
      <c r="AT187" s="91"/>
      <c r="AU187" s="55"/>
      <c r="AV187" s="92"/>
      <c r="AW187" s="92"/>
      <c r="AX187" s="62"/>
      <c r="AY187" s="90"/>
      <c r="AZ187" s="93"/>
      <c r="BA187" s="93"/>
      <c r="BB187" s="93"/>
      <c r="BC187" s="55"/>
      <c r="BD187" s="88"/>
      <c r="BE187" s="88"/>
      <c r="BF187" s="88"/>
      <c r="BG187" s="87"/>
      <c r="BH187" s="84"/>
      <c r="BI187" s="84"/>
      <c r="BJ187" s="90"/>
      <c r="BK187" s="94"/>
      <c r="BL187" s="62"/>
      <c r="BM187" s="84"/>
      <c r="BN187" s="95"/>
      <c r="BO187" s="84"/>
      <c r="BP187" s="84"/>
      <c r="BQ187" s="96"/>
    </row>
    <row r="188">
      <c r="A188" s="50"/>
      <c r="B188" s="83"/>
      <c r="C188" s="83"/>
      <c r="D188" s="84"/>
      <c r="E188" s="85"/>
      <c r="F188" s="85"/>
      <c r="G188" s="85"/>
      <c r="H188" s="86"/>
      <c r="I188" s="85"/>
      <c r="J188" s="87"/>
      <c r="K188" s="84"/>
      <c r="L188" s="84"/>
      <c r="M188" s="84"/>
      <c r="N188" s="55"/>
      <c r="O188" s="88"/>
      <c r="P188" s="88"/>
      <c r="Q188" s="88"/>
      <c r="R188" s="84"/>
      <c r="S188" s="84"/>
      <c r="T188" s="84"/>
      <c r="U188" s="84"/>
      <c r="V188" s="85"/>
      <c r="W188" s="84"/>
      <c r="X188" s="87"/>
      <c r="Y188" s="84"/>
      <c r="Z188" s="84"/>
      <c r="AA188" s="84"/>
      <c r="AB188" s="84"/>
      <c r="AC188" s="84"/>
      <c r="AD188" s="84"/>
      <c r="AE188" s="84"/>
      <c r="AF188" s="84"/>
      <c r="AG188" s="84"/>
      <c r="AH188" s="89"/>
      <c r="AI188" s="84"/>
      <c r="AJ188" s="84"/>
      <c r="AK188" s="84"/>
      <c r="AL188" s="89"/>
      <c r="AM188" s="89"/>
      <c r="AN188" s="55"/>
      <c r="AO188" s="84"/>
      <c r="AP188" s="60"/>
      <c r="AQ188" s="90"/>
      <c r="AR188" s="55"/>
      <c r="AS188" s="55"/>
      <c r="AT188" s="91"/>
      <c r="AU188" s="55"/>
      <c r="AV188" s="92"/>
      <c r="AW188" s="92"/>
      <c r="AX188" s="62"/>
      <c r="AY188" s="90"/>
      <c r="AZ188" s="93"/>
      <c r="BA188" s="93"/>
      <c r="BB188" s="93"/>
      <c r="BC188" s="55"/>
      <c r="BD188" s="88"/>
      <c r="BE188" s="88"/>
      <c r="BF188" s="88"/>
      <c r="BG188" s="87"/>
      <c r="BH188" s="84"/>
      <c r="BI188" s="84"/>
      <c r="BJ188" s="90"/>
      <c r="BK188" s="94"/>
      <c r="BL188" s="62"/>
      <c r="BM188" s="84"/>
      <c r="BN188" s="95"/>
      <c r="BO188" s="84"/>
      <c r="BP188" s="84"/>
      <c r="BQ188" s="96"/>
    </row>
    <row r="189">
      <c r="A189" s="50"/>
      <c r="B189" s="83"/>
      <c r="C189" s="83"/>
      <c r="D189" s="84"/>
      <c r="E189" s="85"/>
      <c r="F189" s="85"/>
      <c r="G189" s="85"/>
      <c r="H189" s="86"/>
      <c r="I189" s="85"/>
      <c r="J189" s="87"/>
      <c r="K189" s="84"/>
      <c r="L189" s="84"/>
      <c r="M189" s="84"/>
      <c r="N189" s="55"/>
      <c r="O189" s="88"/>
      <c r="P189" s="88"/>
      <c r="Q189" s="88"/>
      <c r="R189" s="84"/>
      <c r="S189" s="84"/>
      <c r="T189" s="84"/>
      <c r="U189" s="84"/>
      <c r="V189" s="85"/>
      <c r="W189" s="84"/>
      <c r="X189" s="87"/>
      <c r="Y189" s="84"/>
      <c r="Z189" s="84"/>
      <c r="AA189" s="84"/>
      <c r="AB189" s="84"/>
      <c r="AC189" s="84"/>
      <c r="AD189" s="84"/>
      <c r="AE189" s="84"/>
      <c r="AF189" s="84"/>
      <c r="AG189" s="84"/>
      <c r="AH189" s="89"/>
      <c r="AI189" s="84"/>
      <c r="AJ189" s="84"/>
      <c r="AK189" s="84"/>
      <c r="AL189" s="89"/>
      <c r="AM189" s="89"/>
      <c r="AN189" s="55"/>
      <c r="AO189" s="84"/>
      <c r="AP189" s="60"/>
      <c r="AQ189" s="90"/>
      <c r="AR189" s="55"/>
      <c r="AS189" s="55"/>
      <c r="AT189" s="91"/>
      <c r="AU189" s="55"/>
      <c r="AV189" s="92"/>
      <c r="AW189" s="92"/>
      <c r="AX189" s="62"/>
      <c r="AY189" s="90"/>
      <c r="AZ189" s="93"/>
      <c r="BA189" s="93"/>
      <c r="BB189" s="93"/>
      <c r="BC189" s="55"/>
      <c r="BD189" s="88"/>
      <c r="BE189" s="88"/>
      <c r="BF189" s="88"/>
      <c r="BG189" s="87"/>
      <c r="BH189" s="84"/>
      <c r="BI189" s="84"/>
      <c r="BJ189" s="90"/>
      <c r="BK189" s="94"/>
      <c r="BL189" s="62"/>
      <c r="BM189" s="84"/>
      <c r="BN189" s="95"/>
      <c r="BO189" s="84"/>
      <c r="BP189" s="84"/>
      <c r="BQ189" s="96"/>
    </row>
    <row r="190">
      <c r="A190" s="50"/>
      <c r="B190" s="83"/>
      <c r="C190" s="83"/>
      <c r="D190" s="84"/>
      <c r="E190" s="85"/>
      <c r="F190" s="85"/>
      <c r="G190" s="85"/>
      <c r="H190" s="86"/>
      <c r="I190" s="85"/>
      <c r="J190" s="87"/>
      <c r="K190" s="84"/>
      <c r="L190" s="84"/>
      <c r="M190" s="84"/>
      <c r="N190" s="55"/>
      <c r="O190" s="88"/>
      <c r="P190" s="88"/>
      <c r="Q190" s="88"/>
      <c r="R190" s="84"/>
      <c r="S190" s="84"/>
      <c r="T190" s="84"/>
      <c r="U190" s="84"/>
      <c r="V190" s="85"/>
      <c r="W190" s="84"/>
      <c r="X190" s="87"/>
      <c r="Y190" s="84"/>
      <c r="Z190" s="84"/>
      <c r="AA190" s="84"/>
      <c r="AB190" s="84"/>
      <c r="AC190" s="84"/>
      <c r="AD190" s="84"/>
      <c r="AE190" s="84"/>
      <c r="AF190" s="84"/>
      <c r="AG190" s="84"/>
      <c r="AH190" s="89"/>
      <c r="AI190" s="84"/>
      <c r="AJ190" s="84"/>
      <c r="AK190" s="84"/>
      <c r="AL190" s="89"/>
      <c r="AM190" s="89"/>
      <c r="AN190" s="55"/>
      <c r="AO190" s="84"/>
      <c r="AP190" s="60"/>
      <c r="AQ190" s="90"/>
      <c r="AR190" s="55"/>
      <c r="AS190" s="55"/>
      <c r="AT190" s="91"/>
      <c r="AU190" s="55"/>
      <c r="AV190" s="92"/>
      <c r="AW190" s="92"/>
      <c r="AX190" s="62"/>
      <c r="AY190" s="90"/>
      <c r="AZ190" s="93"/>
      <c r="BA190" s="93"/>
      <c r="BB190" s="93"/>
      <c r="BC190" s="55"/>
      <c r="BD190" s="88"/>
      <c r="BE190" s="88"/>
      <c r="BF190" s="88"/>
      <c r="BG190" s="87"/>
      <c r="BH190" s="84"/>
      <c r="BI190" s="84"/>
      <c r="BJ190" s="90"/>
      <c r="BK190" s="94"/>
      <c r="BL190" s="62"/>
      <c r="BM190" s="84"/>
      <c r="BN190" s="95"/>
      <c r="BO190" s="84"/>
      <c r="BP190" s="84"/>
      <c r="BQ190" s="96"/>
    </row>
    <row r="191">
      <c r="A191" s="50"/>
      <c r="B191" s="83"/>
      <c r="C191" s="83"/>
      <c r="D191" s="84"/>
      <c r="E191" s="85"/>
      <c r="F191" s="85"/>
      <c r="G191" s="85"/>
      <c r="H191" s="86"/>
      <c r="I191" s="85"/>
      <c r="J191" s="87"/>
      <c r="K191" s="84"/>
      <c r="L191" s="84"/>
      <c r="M191" s="84"/>
      <c r="N191" s="55"/>
      <c r="O191" s="88"/>
      <c r="P191" s="88"/>
      <c r="Q191" s="88"/>
      <c r="R191" s="84"/>
      <c r="S191" s="84"/>
      <c r="T191" s="84"/>
      <c r="U191" s="84"/>
      <c r="V191" s="85"/>
      <c r="W191" s="84"/>
      <c r="X191" s="87"/>
      <c r="Y191" s="84"/>
      <c r="Z191" s="84"/>
      <c r="AA191" s="84"/>
      <c r="AB191" s="84"/>
      <c r="AC191" s="84"/>
      <c r="AD191" s="84"/>
      <c r="AE191" s="84"/>
      <c r="AF191" s="84"/>
      <c r="AG191" s="84"/>
      <c r="AH191" s="89"/>
      <c r="AI191" s="84"/>
      <c r="AJ191" s="84"/>
      <c r="AK191" s="84"/>
      <c r="AL191" s="89"/>
      <c r="AM191" s="89"/>
      <c r="AN191" s="55"/>
      <c r="AO191" s="84"/>
      <c r="AP191" s="60"/>
      <c r="AQ191" s="90"/>
      <c r="AR191" s="55"/>
      <c r="AS191" s="55"/>
      <c r="AT191" s="91"/>
      <c r="AU191" s="55"/>
      <c r="AV191" s="92"/>
      <c r="AW191" s="92"/>
      <c r="AX191" s="62"/>
      <c r="AY191" s="90"/>
      <c r="AZ191" s="93"/>
      <c r="BA191" s="93"/>
      <c r="BB191" s="93"/>
      <c r="BC191" s="55"/>
      <c r="BD191" s="88"/>
      <c r="BE191" s="88"/>
      <c r="BF191" s="88"/>
      <c r="BG191" s="87"/>
      <c r="BH191" s="84"/>
      <c r="BI191" s="84"/>
      <c r="BJ191" s="90"/>
      <c r="BK191" s="94"/>
      <c r="BL191" s="62"/>
      <c r="BM191" s="84"/>
      <c r="BN191" s="95"/>
      <c r="BO191" s="84"/>
      <c r="BP191" s="84"/>
      <c r="BQ191" s="96"/>
    </row>
    <row r="192">
      <c r="A192" s="50"/>
      <c r="B192" s="83"/>
      <c r="C192" s="83"/>
      <c r="D192" s="84"/>
      <c r="E192" s="85"/>
      <c r="F192" s="85"/>
      <c r="G192" s="85"/>
      <c r="H192" s="86"/>
      <c r="I192" s="85"/>
      <c r="J192" s="87"/>
      <c r="K192" s="84"/>
      <c r="L192" s="84"/>
      <c r="M192" s="84"/>
      <c r="N192" s="55"/>
      <c r="O192" s="88"/>
      <c r="P192" s="88"/>
      <c r="Q192" s="88"/>
      <c r="R192" s="84"/>
      <c r="S192" s="84"/>
      <c r="T192" s="84"/>
      <c r="U192" s="84"/>
      <c r="V192" s="85"/>
      <c r="W192" s="84"/>
      <c r="X192" s="87"/>
      <c r="Y192" s="84"/>
      <c r="Z192" s="84"/>
      <c r="AA192" s="84"/>
      <c r="AB192" s="84"/>
      <c r="AC192" s="84"/>
      <c r="AD192" s="84"/>
      <c r="AE192" s="84"/>
      <c r="AF192" s="84"/>
      <c r="AG192" s="84"/>
      <c r="AH192" s="89"/>
      <c r="AI192" s="84"/>
      <c r="AJ192" s="84"/>
      <c r="AK192" s="84"/>
      <c r="AL192" s="89"/>
      <c r="AM192" s="89"/>
      <c r="AN192" s="55"/>
      <c r="AO192" s="84"/>
      <c r="AP192" s="60"/>
      <c r="AQ192" s="90"/>
      <c r="AR192" s="55"/>
      <c r="AS192" s="55"/>
      <c r="AT192" s="91"/>
      <c r="AU192" s="55"/>
      <c r="AV192" s="92"/>
      <c r="AW192" s="92"/>
      <c r="AX192" s="62"/>
      <c r="AY192" s="90"/>
      <c r="AZ192" s="93"/>
      <c r="BA192" s="93"/>
      <c r="BB192" s="93"/>
      <c r="BC192" s="55"/>
      <c r="BD192" s="88"/>
      <c r="BE192" s="88"/>
      <c r="BF192" s="88"/>
      <c r="BG192" s="87"/>
      <c r="BH192" s="84"/>
      <c r="BI192" s="84"/>
      <c r="BJ192" s="90"/>
      <c r="BK192" s="94"/>
      <c r="BL192" s="62"/>
      <c r="BM192" s="84"/>
      <c r="BN192" s="95"/>
      <c r="BO192" s="84"/>
      <c r="BP192" s="84"/>
      <c r="BQ192" s="96"/>
    </row>
    <row r="193">
      <c r="A193" s="50"/>
      <c r="B193" s="83"/>
      <c r="C193" s="83"/>
      <c r="D193" s="84"/>
      <c r="E193" s="85"/>
      <c r="F193" s="85"/>
      <c r="G193" s="85"/>
      <c r="H193" s="86"/>
      <c r="I193" s="85"/>
      <c r="J193" s="87"/>
      <c r="K193" s="84"/>
      <c r="L193" s="84"/>
      <c r="M193" s="84"/>
      <c r="N193" s="55"/>
      <c r="O193" s="88"/>
      <c r="P193" s="88"/>
      <c r="Q193" s="88"/>
      <c r="R193" s="84"/>
      <c r="S193" s="84"/>
      <c r="T193" s="84"/>
      <c r="U193" s="84"/>
      <c r="V193" s="85"/>
      <c r="W193" s="84"/>
      <c r="X193" s="87"/>
      <c r="Y193" s="84"/>
      <c r="Z193" s="84"/>
      <c r="AA193" s="84"/>
      <c r="AB193" s="84"/>
      <c r="AC193" s="84"/>
      <c r="AD193" s="84"/>
      <c r="AE193" s="84"/>
      <c r="AF193" s="84"/>
      <c r="AG193" s="84"/>
      <c r="AH193" s="89"/>
      <c r="AI193" s="84"/>
      <c r="AJ193" s="84"/>
      <c r="AK193" s="84"/>
      <c r="AL193" s="89"/>
      <c r="AM193" s="89"/>
      <c r="AN193" s="55"/>
      <c r="AO193" s="84"/>
      <c r="AP193" s="60"/>
      <c r="AQ193" s="90"/>
      <c r="AR193" s="55"/>
      <c r="AS193" s="55"/>
      <c r="AT193" s="91"/>
      <c r="AU193" s="55"/>
      <c r="AV193" s="92"/>
      <c r="AW193" s="92"/>
      <c r="AX193" s="62"/>
      <c r="AY193" s="90"/>
      <c r="AZ193" s="93"/>
      <c r="BA193" s="93"/>
      <c r="BB193" s="93"/>
      <c r="BC193" s="55"/>
      <c r="BD193" s="88"/>
      <c r="BE193" s="88"/>
      <c r="BF193" s="88"/>
      <c r="BG193" s="87"/>
      <c r="BH193" s="84"/>
      <c r="BI193" s="84"/>
      <c r="BJ193" s="90"/>
      <c r="BK193" s="94"/>
      <c r="BL193" s="62"/>
      <c r="BM193" s="84"/>
      <c r="BN193" s="95"/>
      <c r="BO193" s="84"/>
      <c r="BP193" s="84"/>
      <c r="BQ193" s="96"/>
    </row>
    <row r="194">
      <c r="A194" s="50"/>
      <c r="B194" s="83"/>
      <c r="C194" s="83"/>
      <c r="D194" s="84"/>
      <c r="E194" s="85"/>
      <c r="F194" s="85"/>
      <c r="G194" s="85"/>
      <c r="H194" s="86"/>
      <c r="I194" s="85"/>
      <c r="J194" s="87"/>
      <c r="K194" s="84"/>
      <c r="L194" s="84"/>
      <c r="M194" s="84"/>
      <c r="N194" s="55"/>
      <c r="O194" s="88"/>
      <c r="P194" s="88"/>
      <c r="Q194" s="88"/>
      <c r="R194" s="84"/>
      <c r="S194" s="84"/>
      <c r="T194" s="84"/>
      <c r="U194" s="84"/>
      <c r="V194" s="85"/>
      <c r="W194" s="84"/>
      <c r="X194" s="87"/>
      <c r="Y194" s="84"/>
      <c r="Z194" s="84"/>
      <c r="AA194" s="84"/>
      <c r="AB194" s="84"/>
      <c r="AC194" s="84"/>
      <c r="AD194" s="84"/>
      <c r="AE194" s="84"/>
      <c r="AF194" s="84"/>
      <c r="AG194" s="84"/>
      <c r="AH194" s="89"/>
      <c r="AI194" s="84"/>
      <c r="AJ194" s="84"/>
      <c r="AK194" s="84"/>
      <c r="AL194" s="89"/>
      <c r="AM194" s="89"/>
      <c r="AN194" s="55"/>
      <c r="AO194" s="84"/>
      <c r="AP194" s="60"/>
      <c r="AQ194" s="90"/>
      <c r="AR194" s="55"/>
      <c r="AS194" s="55"/>
      <c r="AT194" s="91"/>
      <c r="AU194" s="55"/>
      <c r="AV194" s="92"/>
      <c r="AW194" s="92"/>
      <c r="AX194" s="62"/>
      <c r="AY194" s="90"/>
      <c r="AZ194" s="93"/>
      <c r="BA194" s="93"/>
      <c r="BB194" s="93"/>
      <c r="BC194" s="55"/>
      <c r="BD194" s="88"/>
      <c r="BE194" s="88"/>
      <c r="BF194" s="88"/>
      <c r="BG194" s="87"/>
      <c r="BH194" s="84"/>
      <c r="BI194" s="84"/>
      <c r="BJ194" s="90"/>
      <c r="BK194" s="94"/>
      <c r="BL194" s="62"/>
      <c r="BM194" s="84"/>
      <c r="BN194" s="95"/>
      <c r="BO194" s="84"/>
      <c r="BP194" s="84"/>
      <c r="BQ194" s="96"/>
    </row>
    <row r="195">
      <c r="A195" s="50"/>
      <c r="B195" s="83"/>
      <c r="C195" s="83"/>
      <c r="D195" s="84"/>
      <c r="E195" s="85"/>
      <c r="F195" s="85"/>
      <c r="G195" s="85"/>
      <c r="H195" s="86"/>
      <c r="I195" s="85"/>
      <c r="J195" s="87"/>
      <c r="K195" s="84"/>
      <c r="L195" s="84"/>
      <c r="M195" s="84"/>
      <c r="N195" s="55"/>
      <c r="O195" s="88"/>
      <c r="P195" s="88"/>
      <c r="Q195" s="88"/>
      <c r="R195" s="84"/>
      <c r="S195" s="84"/>
      <c r="T195" s="84"/>
      <c r="U195" s="84"/>
      <c r="V195" s="85"/>
      <c r="W195" s="84"/>
      <c r="X195" s="87"/>
      <c r="Y195" s="84"/>
      <c r="Z195" s="84"/>
      <c r="AA195" s="84"/>
      <c r="AB195" s="84"/>
      <c r="AC195" s="84"/>
      <c r="AD195" s="84"/>
      <c r="AE195" s="84"/>
      <c r="AF195" s="84"/>
      <c r="AG195" s="84"/>
      <c r="AH195" s="89"/>
      <c r="AI195" s="84"/>
      <c r="AJ195" s="84"/>
      <c r="AK195" s="84"/>
      <c r="AL195" s="89"/>
      <c r="AM195" s="89"/>
      <c r="AN195" s="55"/>
      <c r="AO195" s="84"/>
      <c r="AP195" s="60"/>
      <c r="AQ195" s="90"/>
      <c r="AR195" s="55"/>
      <c r="AS195" s="55"/>
      <c r="AT195" s="91"/>
      <c r="AU195" s="55"/>
      <c r="AV195" s="92"/>
      <c r="AW195" s="92"/>
      <c r="AX195" s="62"/>
      <c r="AY195" s="90"/>
      <c r="AZ195" s="93"/>
      <c r="BA195" s="93"/>
      <c r="BB195" s="93"/>
      <c r="BC195" s="55"/>
      <c r="BD195" s="88"/>
      <c r="BE195" s="88"/>
      <c r="BF195" s="88"/>
      <c r="BG195" s="87"/>
      <c r="BH195" s="84"/>
      <c r="BI195" s="84"/>
      <c r="BJ195" s="90"/>
      <c r="BK195" s="94"/>
      <c r="BL195" s="62"/>
      <c r="BM195" s="84"/>
      <c r="BN195" s="95"/>
      <c r="BO195" s="84"/>
      <c r="BP195" s="84"/>
      <c r="BQ195" s="96"/>
    </row>
    <row r="196">
      <c r="A196" s="50"/>
      <c r="B196" s="83"/>
      <c r="C196" s="83"/>
      <c r="D196" s="84"/>
      <c r="E196" s="85"/>
      <c r="F196" s="85"/>
      <c r="G196" s="85"/>
      <c r="H196" s="86"/>
      <c r="I196" s="85"/>
      <c r="J196" s="87"/>
      <c r="K196" s="84"/>
      <c r="L196" s="84"/>
      <c r="M196" s="84"/>
      <c r="N196" s="55"/>
      <c r="O196" s="88"/>
      <c r="P196" s="88"/>
      <c r="Q196" s="88"/>
      <c r="R196" s="84"/>
      <c r="S196" s="84"/>
      <c r="T196" s="84"/>
      <c r="U196" s="84"/>
      <c r="V196" s="85"/>
      <c r="W196" s="84"/>
      <c r="X196" s="87"/>
      <c r="Y196" s="84"/>
      <c r="Z196" s="84"/>
      <c r="AA196" s="84"/>
      <c r="AB196" s="84"/>
      <c r="AC196" s="84"/>
      <c r="AD196" s="84"/>
      <c r="AE196" s="84"/>
      <c r="AF196" s="84"/>
      <c r="AG196" s="84"/>
      <c r="AH196" s="89"/>
      <c r="AI196" s="84"/>
      <c r="AJ196" s="84"/>
      <c r="AK196" s="84"/>
      <c r="AL196" s="89"/>
      <c r="AM196" s="89"/>
      <c r="AN196" s="55"/>
      <c r="AO196" s="84"/>
      <c r="AP196" s="60"/>
      <c r="AQ196" s="90"/>
      <c r="AR196" s="55"/>
      <c r="AS196" s="55"/>
      <c r="AT196" s="91"/>
      <c r="AU196" s="55"/>
      <c r="AV196" s="92"/>
      <c r="AW196" s="92"/>
      <c r="AX196" s="62"/>
      <c r="AY196" s="90"/>
      <c r="AZ196" s="93"/>
      <c r="BA196" s="93"/>
      <c r="BB196" s="93"/>
      <c r="BC196" s="55"/>
      <c r="BD196" s="88"/>
      <c r="BE196" s="88"/>
      <c r="BF196" s="88"/>
      <c r="BG196" s="87"/>
      <c r="BH196" s="84"/>
      <c r="BI196" s="84"/>
      <c r="BJ196" s="90"/>
      <c r="BK196" s="94"/>
      <c r="BL196" s="62"/>
      <c r="BM196" s="84"/>
      <c r="BN196" s="95"/>
      <c r="BO196" s="84"/>
      <c r="BP196" s="84"/>
      <c r="BQ196" s="96"/>
    </row>
    <row r="197">
      <c r="A197" s="50"/>
      <c r="B197" s="83"/>
      <c r="C197" s="83"/>
      <c r="D197" s="84"/>
      <c r="E197" s="85"/>
      <c r="F197" s="85"/>
      <c r="G197" s="85"/>
      <c r="H197" s="86"/>
      <c r="I197" s="85"/>
      <c r="J197" s="87"/>
      <c r="K197" s="84"/>
      <c r="L197" s="84"/>
      <c r="M197" s="84"/>
      <c r="N197" s="55"/>
      <c r="O197" s="88"/>
      <c r="P197" s="88"/>
      <c r="Q197" s="88"/>
      <c r="R197" s="84"/>
      <c r="S197" s="84"/>
      <c r="T197" s="84"/>
      <c r="U197" s="84"/>
      <c r="V197" s="85"/>
      <c r="W197" s="84"/>
      <c r="X197" s="87"/>
      <c r="Y197" s="84"/>
      <c r="Z197" s="84"/>
      <c r="AA197" s="84"/>
      <c r="AB197" s="84"/>
      <c r="AC197" s="84"/>
      <c r="AD197" s="84"/>
      <c r="AE197" s="84"/>
      <c r="AF197" s="84"/>
      <c r="AG197" s="84"/>
      <c r="AH197" s="89"/>
      <c r="AI197" s="84"/>
      <c r="AJ197" s="84"/>
      <c r="AK197" s="84"/>
      <c r="AL197" s="89"/>
      <c r="AM197" s="89"/>
      <c r="AN197" s="55"/>
      <c r="AO197" s="84"/>
      <c r="AP197" s="60"/>
      <c r="AQ197" s="90"/>
      <c r="AR197" s="55"/>
      <c r="AS197" s="55"/>
      <c r="AT197" s="91"/>
      <c r="AU197" s="55"/>
      <c r="AV197" s="92"/>
      <c r="AW197" s="92"/>
      <c r="AX197" s="62"/>
      <c r="AY197" s="90"/>
      <c r="AZ197" s="93"/>
      <c r="BA197" s="93"/>
      <c r="BB197" s="93"/>
      <c r="BC197" s="55"/>
      <c r="BD197" s="88"/>
      <c r="BE197" s="88"/>
      <c r="BF197" s="88"/>
      <c r="BG197" s="87"/>
      <c r="BH197" s="84"/>
      <c r="BI197" s="84"/>
      <c r="BJ197" s="90"/>
      <c r="BK197" s="94"/>
      <c r="BL197" s="62"/>
      <c r="BM197" s="84"/>
      <c r="BN197" s="95"/>
      <c r="BO197" s="84"/>
      <c r="BP197" s="84"/>
      <c r="BQ197" s="96"/>
    </row>
    <row r="198">
      <c r="A198" s="50"/>
      <c r="B198" s="83"/>
      <c r="C198" s="83"/>
      <c r="D198" s="84"/>
      <c r="E198" s="85"/>
      <c r="F198" s="85"/>
      <c r="G198" s="85"/>
      <c r="H198" s="86"/>
      <c r="I198" s="85"/>
      <c r="J198" s="87"/>
      <c r="K198" s="84"/>
      <c r="L198" s="84"/>
      <c r="M198" s="84"/>
      <c r="N198" s="55"/>
      <c r="O198" s="88"/>
      <c r="P198" s="88"/>
      <c r="Q198" s="88"/>
      <c r="R198" s="84"/>
      <c r="S198" s="84"/>
      <c r="T198" s="84"/>
      <c r="U198" s="84"/>
      <c r="V198" s="85"/>
      <c r="W198" s="84"/>
      <c r="X198" s="87"/>
      <c r="Y198" s="84"/>
      <c r="Z198" s="84"/>
      <c r="AA198" s="84"/>
      <c r="AB198" s="84"/>
      <c r="AC198" s="84"/>
      <c r="AD198" s="84"/>
      <c r="AE198" s="84"/>
      <c r="AF198" s="84"/>
      <c r="AG198" s="84"/>
      <c r="AH198" s="89"/>
      <c r="AI198" s="84"/>
      <c r="AJ198" s="84"/>
      <c r="AK198" s="84"/>
      <c r="AL198" s="89"/>
      <c r="AM198" s="89"/>
      <c r="AN198" s="55"/>
      <c r="AO198" s="84"/>
      <c r="AP198" s="60"/>
      <c r="AQ198" s="90"/>
      <c r="AR198" s="55"/>
      <c r="AS198" s="55"/>
      <c r="AT198" s="91"/>
      <c r="AU198" s="55"/>
      <c r="AV198" s="92"/>
      <c r="AW198" s="92"/>
      <c r="AX198" s="62"/>
      <c r="AY198" s="90"/>
      <c r="AZ198" s="93"/>
      <c r="BA198" s="93"/>
      <c r="BB198" s="93"/>
      <c r="BC198" s="55"/>
      <c r="BD198" s="88"/>
      <c r="BE198" s="88"/>
      <c r="BF198" s="88"/>
      <c r="BG198" s="87"/>
      <c r="BH198" s="84"/>
      <c r="BI198" s="84"/>
      <c r="BJ198" s="90"/>
      <c r="BK198" s="94"/>
      <c r="BL198" s="62"/>
      <c r="BM198" s="84"/>
      <c r="BN198" s="95"/>
      <c r="BO198" s="84"/>
      <c r="BP198" s="84"/>
      <c r="BQ198" s="96"/>
    </row>
    <row r="199">
      <c r="A199" s="50"/>
      <c r="B199" s="83"/>
      <c r="C199" s="83"/>
      <c r="D199" s="84"/>
      <c r="E199" s="85"/>
      <c r="F199" s="85"/>
      <c r="G199" s="85"/>
      <c r="H199" s="86"/>
      <c r="I199" s="85"/>
      <c r="J199" s="87"/>
      <c r="K199" s="84"/>
      <c r="L199" s="84"/>
      <c r="M199" s="84"/>
      <c r="N199" s="55"/>
      <c r="O199" s="88"/>
      <c r="P199" s="88"/>
      <c r="Q199" s="88"/>
      <c r="R199" s="84"/>
      <c r="S199" s="84"/>
      <c r="T199" s="84"/>
      <c r="U199" s="84"/>
      <c r="V199" s="85"/>
      <c r="W199" s="84"/>
      <c r="X199" s="87"/>
      <c r="Y199" s="84"/>
      <c r="Z199" s="84"/>
      <c r="AA199" s="84"/>
      <c r="AB199" s="84"/>
      <c r="AC199" s="84"/>
      <c r="AD199" s="84"/>
      <c r="AE199" s="84"/>
      <c r="AF199" s="84"/>
      <c r="AG199" s="84"/>
      <c r="AH199" s="89"/>
      <c r="AI199" s="84"/>
      <c r="AJ199" s="84"/>
      <c r="AK199" s="84"/>
      <c r="AL199" s="89"/>
      <c r="AM199" s="89"/>
      <c r="AN199" s="55"/>
      <c r="AO199" s="84"/>
      <c r="AP199" s="60"/>
      <c r="AQ199" s="90"/>
      <c r="AR199" s="55"/>
      <c r="AS199" s="55"/>
      <c r="AT199" s="91"/>
      <c r="AU199" s="55"/>
      <c r="AV199" s="92"/>
      <c r="AW199" s="92"/>
      <c r="AX199" s="62"/>
      <c r="AY199" s="90"/>
      <c r="AZ199" s="93"/>
      <c r="BA199" s="93"/>
      <c r="BB199" s="93"/>
      <c r="BC199" s="55"/>
      <c r="BD199" s="88"/>
      <c r="BE199" s="88"/>
      <c r="BF199" s="88"/>
      <c r="BG199" s="87"/>
      <c r="BH199" s="84"/>
      <c r="BI199" s="84"/>
      <c r="BJ199" s="90"/>
      <c r="BK199" s="94"/>
      <c r="BL199" s="62"/>
      <c r="BM199" s="84"/>
      <c r="BN199" s="95"/>
      <c r="BO199" s="84"/>
      <c r="BP199" s="84"/>
      <c r="BQ199" s="96"/>
    </row>
    <row r="200">
      <c r="A200" s="50"/>
      <c r="B200" s="83"/>
      <c r="C200" s="83"/>
      <c r="D200" s="84"/>
      <c r="E200" s="85"/>
      <c r="F200" s="85"/>
      <c r="G200" s="85"/>
      <c r="H200" s="86"/>
      <c r="I200" s="85"/>
      <c r="J200" s="87"/>
      <c r="K200" s="84"/>
      <c r="L200" s="84"/>
      <c r="M200" s="84"/>
      <c r="N200" s="55"/>
      <c r="O200" s="88"/>
      <c r="P200" s="88"/>
      <c r="Q200" s="88"/>
      <c r="R200" s="84"/>
      <c r="S200" s="84"/>
      <c r="T200" s="84"/>
      <c r="U200" s="84"/>
      <c r="V200" s="85"/>
      <c r="W200" s="84"/>
      <c r="X200" s="87"/>
      <c r="Y200" s="84"/>
      <c r="Z200" s="84"/>
      <c r="AA200" s="84"/>
      <c r="AB200" s="84"/>
      <c r="AC200" s="84"/>
      <c r="AD200" s="84"/>
      <c r="AE200" s="84"/>
      <c r="AF200" s="84"/>
      <c r="AG200" s="84"/>
      <c r="AH200" s="89"/>
      <c r="AI200" s="84"/>
      <c r="AJ200" s="84"/>
      <c r="AK200" s="84"/>
      <c r="AL200" s="89"/>
      <c r="AM200" s="89"/>
      <c r="AN200" s="55"/>
      <c r="AO200" s="84"/>
      <c r="AP200" s="60"/>
      <c r="AQ200" s="90"/>
      <c r="AR200" s="55"/>
      <c r="AS200" s="55"/>
      <c r="AT200" s="91"/>
      <c r="AU200" s="55"/>
      <c r="AV200" s="92"/>
      <c r="AW200" s="92"/>
      <c r="AX200" s="62"/>
      <c r="AY200" s="90"/>
      <c r="AZ200" s="93"/>
      <c r="BA200" s="93"/>
      <c r="BB200" s="93"/>
      <c r="BC200" s="55"/>
      <c r="BD200" s="88"/>
      <c r="BE200" s="88"/>
      <c r="BF200" s="88"/>
      <c r="BG200" s="87"/>
      <c r="BH200" s="84"/>
      <c r="BI200" s="84"/>
      <c r="BJ200" s="90"/>
      <c r="BK200" s="94"/>
      <c r="BL200" s="62"/>
      <c r="BM200" s="84"/>
      <c r="BN200" s="95"/>
      <c r="BO200" s="84"/>
      <c r="BP200" s="84"/>
      <c r="BQ200" s="96"/>
    </row>
    <row r="201">
      <c r="A201" s="50"/>
      <c r="B201" s="83"/>
      <c r="C201" s="83"/>
      <c r="D201" s="84"/>
      <c r="E201" s="85"/>
      <c r="F201" s="85"/>
      <c r="G201" s="85"/>
      <c r="H201" s="86"/>
      <c r="I201" s="85"/>
      <c r="J201" s="87"/>
      <c r="K201" s="84"/>
      <c r="L201" s="84"/>
      <c r="M201" s="84"/>
      <c r="N201" s="55"/>
      <c r="O201" s="88"/>
      <c r="P201" s="88"/>
      <c r="Q201" s="88"/>
      <c r="R201" s="84"/>
      <c r="S201" s="84"/>
      <c r="T201" s="84"/>
      <c r="U201" s="84"/>
      <c r="V201" s="85"/>
      <c r="W201" s="84"/>
      <c r="X201" s="87"/>
      <c r="Y201" s="84"/>
      <c r="Z201" s="84"/>
      <c r="AA201" s="84"/>
      <c r="AB201" s="84"/>
      <c r="AC201" s="84"/>
      <c r="AD201" s="84"/>
      <c r="AE201" s="84"/>
      <c r="AF201" s="84"/>
      <c r="AG201" s="84"/>
      <c r="AH201" s="89"/>
      <c r="AI201" s="84"/>
      <c r="AJ201" s="84"/>
      <c r="AK201" s="84"/>
      <c r="AL201" s="89"/>
      <c r="AM201" s="89"/>
      <c r="AN201" s="55"/>
      <c r="AO201" s="84"/>
      <c r="AP201" s="60"/>
      <c r="AQ201" s="90"/>
      <c r="AR201" s="55"/>
      <c r="AS201" s="55"/>
      <c r="AT201" s="91"/>
      <c r="AU201" s="55"/>
      <c r="AV201" s="92"/>
      <c r="AW201" s="92"/>
      <c r="AX201" s="62"/>
      <c r="AY201" s="90"/>
      <c r="AZ201" s="93"/>
      <c r="BA201" s="93"/>
      <c r="BB201" s="93"/>
      <c r="BC201" s="55"/>
      <c r="BD201" s="88"/>
      <c r="BE201" s="88"/>
      <c r="BF201" s="88"/>
      <c r="BG201" s="87"/>
      <c r="BH201" s="84"/>
      <c r="BI201" s="84"/>
      <c r="BJ201" s="90"/>
      <c r="BK201" s="94"/>
      <c r="BL201" s="62"/>
      <c r="BM201" s="84"/>
      <c r="BN201" s="95"/>
      <c r="BO201" s="84"/>
      <c r="BP201" s="84"/>
      <c r="BQ201" s="96"/>
    </row>
    <row r="202">
      <c r="A202" s="50"/>
      <c r="B202" s="83"/>
      <c r="C202" s="83"/>
      <c r="D202" s="84"/>
      <c r="E202" s="85"/>
      <c r="F202" s="85"/>
      <c r="G202" s="85"/>
      <c r="H202" s="86"/>
      <c r="I202" s="85"/>
      <c r="J202" s="87"/>
      <c r="K202" s="84"/>
      <c r="L202" s="84"/>
      <c r="M202" s="84"/>
      <c r="N202" s="55"/>
      <c r="O202" s="88"/>
      <c r="P202" s="88"/>
      <c r="Q202" s="88"/>
      <c r="R202" s="84"/>
      <c r="S202" s="84"/>
      <c r="T202" s="84"/>
      <c r="U202" s="84"/>
      <c r="V202" s="85"/>
      <c r="W202" s="84"/>
      <c r="X202" s="87"/>
      <c r="Y202" s="84"/>
      <c r="Z202" s="84"/>
      <c r="AA202" s="84"/>
      <c r="AB202" s="84"/>
      <c r="AC202" s="84"/>
      <c r="AD202" s="84"/>
      <c r="AE202" s="84"/>
      <c r="AF202" s="84"/>
      <c r="AG202" s="84"/>
      <c r="AH202" s="89"/>
      <c r="AI202" s="84"/>
      <c r="AJ202" s="84"/>
      <c r="AK202" s="84"/>
      <c r="AL202" s="89"/>
      <c r="AM202" s="89"/>
      <c r="AN202" s="55"/>
      <c r="AO202" s="84"/>
      <c r="AP202" s="60"/>
      <c r="AQ202" s="90"/>
      <c r="AR202" s="55"/>
      <c r="AS202" s="55"/>
      <c r="AT202" s="91"/>
      <c r="AU202" s="55"/>
      <c r="AV202" s="92"/>
      <c r="AW202" s="92"/>
      <c r="AX202" s="62"/>
      <c r="AY202" s="90"/>
      <c r="AZ202" s="93"/>
      <c r="BA202" s="93"/>
      <c r="BB202" s="93"/>
      <c r="BC202" s="55"/>
      <c r="BD202" s="88"/>
      <c r="BE202" s="88"/>
      <c r="BF202" s="88"/>
      <c r="BG202" s="87"/>
      <c r="BH202" s="84"/>
      <c r="BI202" s="84"/>
      <c r="BJ202" s="90"/>
      <c r="BK202" s="94"/>
      <c r="BL202" s="62"/>
      <c r="BM202" s="84"/>
      <c r="BN202" s="95"/>
      <c r="BO202" s="84"/>
      <c r="BP202" s="84"/>
      <c r="BQ202" s="96"/>
    </row>
    <row r="203">
      <c r="A203" s="50"/>
      <c r="B203" s="83"/>
      <c r="C203" s="83"/>
      <c r="D203" s="84"/>
      <c r="E203" s="85"/>
      <c r="F203" s="85"/>
      <c r="G203" s="85"/>
      <c r="H203" s="86"/>
      <c r="I203" s="85"/>
      <c r="J203" s="87"/>
      <c r="K203" s="84"/>
      <c r="L203" s="84"/>
      <c r="M203" s="84"/>
      <c r="N203" s="55"/>
      <c r="O203" s="88"/>
      <c r="P203" s="88"/>
      <c r="Q203" s="88"/>
      <c r="R203" s="84"/>
      <c r="S203" s="84"/>
      <c r="T203" s="84"/>
      <c r="U203" s="84"/>
      <c r="V203" s="85"/>
      <c r="W203" s="84"/>
      <c r="X203" s="87"/>
      <c r="Y203" s="84"/>
      <c r="Z203" s="84"/>
      <c r="AA203" s="84"/>
      <c r="AB203" s="84"/>
      <c r="AC203" s="84"/>
      <c r="AD203" s="84"/>
      <c r="AE203" s="84"/>
      <c r="AF203" s="84"/>
      <c r="AG203" s="84"/>
      <c r="AH203" s="89"/>
      <c r="AI203" s="84"/>
      <c r="AJ203" s="84"/>
      <c r="AK203" s="84"/>
      <c r="AL203" s="89"/>
      <c r="AM203" s="89"/>
      <c r="AN203" s="55"/>
      <c r="AO203" s="84"/>
      <c r="AP203" s="60"/>
      <c r="AQ203" s="90"/>
      <c r="AR203" s="55"/>
      <c r="AS203" s="55"/>
      <c r="AT203" s="91"/>
      <c r="AU203" s="55"/>
      <c r="AV203" s="92"/>
      <c r="AW203" s="92"/>
      <c r="AX203" s="62"/>
      <c r="AY203" s="90"/>
      <c r="AZ203" s="93"/>
      <c r="BA203" s="93"/>
      <c r="BB203" s="93"/>
      <c r="BC203" s="55"/>
      <c r="BD203" s="88"/>
      <c r="BE203" s="88"/>
      <c r="BF203" s="88"/>
      <c r="BG203" s="87"/>
      <c r="BH203" s="84"/>
      <c r="BI203" s="84"/>
      <c r="BJ203" s="90"/>
      <c r="BK203" s="94"/>
      <c r="BL203" s="62"/>
      <c r="BM203" s="84"/>
      <c r="BN203" s="95"/>
      <c r="BO203" s="84"/>
      <c r="BP203" s="84"/>
      <c r="BQ203" s="96"/>
    </row>
    <row r="204">
      <c r="A204" s="50"/>
      <c r="B204" s="83"/>
      <c r="C204" s="83"/>
      <c r="D204" s="84"/>
      <c r="E204" s="85"/>
      <c r="F204" s="85"/>
      <c r="G204" s="85"/>
      <c r="H204" s="86"/>
      <c r="I204" s="85"/>
      <c r="J204" s="87"/>
      <c r="K204" s="84"/>
      <c r="L204" s="84"/>
      <c r="M204" s="84"/>
      <c r="N204" s="55"/>
      <c r="O204" s="88"/>
      <c r="P204" s="88"/>
      <c r="Q204" s="88"/>
      <c r="R204" s="84"/>
      <c r="S204" s="84"/>
      <c r="T204" s="84"/>
      <c r="U204" s="84"/>
      <c r="V204" s="85"/>
      <c r="W204" s="84"/>
      <c r="X204" s="87"/>
      <c r="Y204" s="84"/>
      <c r="Z204" s="84"/>
      <c r="AA204" s="84"/>
      <c r="AB204" s="84"/>
      <c r="AC204" s="84"/>
      <c r="AD204" s="84"/>
      <c r="AE204" s="84"/>
      <c r="AF204" s="84"/>
      <c r="AG204" s="84"/>
      <c r="AH204" s="89"/>
      <c r="AI204" s="84"/>
      <c r="AJ204" s="84"/>
      <c r="AK204" s="84"/>
      <c r="AL204" s="89"/>
      <c r="AM204" s="89"/>
      <c r="AN204" s="55"/>
      <c r="AO204" s="84"/>
      <c r="AP204" s="60"/>
      <c r="AQ204" s="90"/>
      <c r="AR204" s="55"/>
      <c r="AS204" s="55"/>
      <c r="AT204" s="91"/>
      <c r="AU204" s="55"/>
      <c r="AV204" s="92"/>
      <c r="AW204" s="92"/>
      <c r="AX204" s="62"/>
      <c r="AY204" s="90"/>
      <c r="AZ204" s="93"/>
      <c r="BA204" s="93"/>
      <c r="BB204" s="93"/>
      <c r="BC204" s="55"/>
      <c r="BD204" s="88"/>
      <c r="BE204" s="88"/>
      <c r="BF204" s="88"/>
      <c r="BG204" s="87"/>
      <c r="BH204" s="84"/>
      <c r="BI204" s="84"/>
      <c r="BJ204" s="90"/>
      <c r="BK204" s="94"/>
      <c r="BL204" s="62"/>
      <c r="BM204" s="84"/>
      <c r="BN204" s="95"/>
      <c r="BO204" s="84"/>
      <c r="BP204" s="84"/>
      <c r="BQ204" s="96"/>
    </row>
    <row r="205">
      <c r="A205" s="50"/>
      <c r="B205" s="83"/>
      <c r="C205" s="83"/>
      <c r="D205" s="84"/>
      <c r="E205" s="85"/>
      <c r="F205" s="85"/>
      <c r="G205" s="85"/>
      <c r="H205" s="86"/>
      <c r="I205" s="85"/>
      <c r="J205" s="87"/>
      <c r="K205" s="84"/>
      <c r="L205" s="84"/>
      <c r="M205" s="84"/>
      <c r="N205" s="55"/>
      <c r="O205" s="88"/>
      <c r="P205" s="88"/>
      <c r="Q205" s="88"/>
      <c r="R205" s="84"/>
      <c r="S205" s="84"/>
      <c r="T205" s="84"/>
      <c r="U205" s="84"/>
      <c r="V205" s="85"/>
      <c r="W205" s="84"/>
      <c r="X205" s="87"/>
      <c r="Y205" s="84"/>
      <c r="Z205" s="84"/>
      <c r="AA205" s="84"/>
      <c r="AB205" s="84"/>
      <c r="AC205" s="84"/>
      <c r="AD205" s="84"/>
      <c r="AE205" s="84"/>
      <c r="AF205" s="84"/>
      <c r="AG205" s="84"/>
      <c r="AH205" s="89"/>
      <c r="AI205" s="84"/>
      <c r="AJ205" s="84"/>
      <c r="AK205" s="84"/>
      <c r="AL205" s="89"/>
      <c r="AM205" s="89"/>
      <c r="AN205" s="55"/>
      <c r="AO205" s="84"/>
      <c r="AP205" s="60"/>
      <c r="AQ205" s="90"/>
      <c r="AR205" s="55"/>
      <c r="AS205" s="55"/>
      <c r="AT205" s="91"/>
      <c r="AU205" s="55"/>
      <c r="AV205" s="92"/>
      <c r="AW205" s="92"/>
      <c r="AX205" s="62"/>
      <c r="AY205" s="90"/>
      <c r="AZ205" s="93"/>
      <c r="BA205" s="93"/>
      <c r="BB205" s="93"/>
      <c r="BC205" s="55"/>
      <c r="BD205" s="88"/>
      <c r="BE205" s="88"/>
      <c r="BF205" s="88"/>
      <c r="BG205" s="87"/>
      <c r="BH205" s="84"/>
      <c r="BI205" s="84"/>
      <c r="BJ205" s="90"/>
      <c r="BK205" s="94"/>
      <c r="BL205" s="62"/>
      <c r="BM205" s="84"/>
      <c r="BN205" s="95"/>
      <c r="BO205" s="84"/>
      <c r="BP205" s="84"/>
      <c r="BQ205" s="96"/>
    </row>
    <row r="206">
      <c r="A206" s="50"/>
      <c r="B206" s="83"/>
      <c r="C206" s="83"/>
      <c r="D206" s="84"/>
      <c r="E206" s="85"/>
      <c r="F206" s="85"/>
      <c r="G206" s="85"/>
      <c r="H206" s="86"/>
      <c r="I206" s="85"/>
      <c r="J206" s="87"/>
      <c r="K206" s="84"/>
      <c r="L206" s="84"/>
      <c r="M206" s="84"/>
      <c r="N206" s="55"/>
      <c r="O206" s="88"/>
      <c r="P206" s="88"/>
      <c r="Q206" s="88"/>
      <c r="R206" s="84"/>
      <c r="S206" s="84"/>
      <c r="T206" s="84"/>
      <c r="U206" s="84"/>
      <c r="V206" s="85"/>
      <c r="W206" s="84"/>
      <c r="X206" s="87"/>
      <c r="Y206" s="84"/>
      <c r="Z206" s="84"/>
      <c r="AA206" s="84"/>
      <c r="AB206" s="84"/>
      <c r="AC206" s="84"/>
      <c r="AD206" s="84"/>
      <c r="AE206" s="84"/>
      <c r="AF206" s="84"/>
      <c r="AG206" s="84"/>
      <c r="AH206" s="89"/>
      <c r="AI206" s="84"/>
      <c r="AJ206" s="84"/>
      <c r="AK206" s="84"/>
      <c r="AL206" s="89"/>
      <c r="AM206" s="89"/>
      <c r="AN206" s="55"/>
      <c r="AO206" s="84"/>
      <c r="AP206" s="60"/>
      <c r="AQ206" s="90"/>
      <c r="AR206" s="55"/>
      <c r="AS206" s="55"/>
      <c r="AT206" s="91"/>
      <c r="AU206" s="55"/>
      <c r="AV206" s="92"/>
      <c r="AW206" s="92"/>
      <c r="AX206" s="62"/>
      <c r="AY206" s="90"/>
      <c r="AZ206" s="93"/>
      <c r="BA206" s="93"/>
      <c r="BB206" s="93"/>
      <c r="BC206" s="55"/>
      <c r="BD206" s="88"/>
      <c r="BE206" s="88"/>
      <c r="BF206" s="88"/>
      <c r="BG206" s="87"/>
      <c r="BH206" s="84"/>
      <c r="BI206" s="84"/>
      <c r="BJ206" s="90"/>
      <c r="BK206" s="94"/>
      <c r="BL206" s="62"/>
      <c r="BM206" s="84"/>
      <c r="BN206" s="95"/>
      <c r="BO206" s="84"/>
      <c r="BP206" s="84"/>
      <c r="BQ206" s="96"/>
    </row>
    <row r="207">
      <c r="A207" s="50"/>
      <c r="B207" s="83"/>
      <c r="C207" s="83"/>
      <c r="D207" s="84"/>
      <c r="E207" s="85"/>
      <c r="F207" s="85"/>
      <c r="G207" s="85"/>
      <c r="H207" s="86"/>
      <c r="I207" s="85"/>
      <c r="J207" s="87"/>
      <c r="K207" s="84"/>
      <c r="L207" s="84"/>
      <c r="M207" s="84"/>
      <c r="N207" s="55"/>
      <c r="O207" s="88"/>
      <c r="P207" s="88"/>
      <c r="Q207" s="88"/>
      <c r="R207" s="84"/>
      <c r="S207" s="84"/>
      <c r="T207" s="84"/>
      <c r="U207" s="84"/>
      <c r="V207" s="85"/>
      <c r="W207" s="84"/>
      <c r="X207" s="87"/>
      <c r="Y207" s="84"/>
      <c r="Z207" s="84"/>
      <c r="AA207" s="84"/>
      <c r="AB207" s="84"/>
      <c r="AC207" s="84"/>
      <c r="AD207" s="84"/>
      <c r="AE207" s="84"/>
      <c r="AF207" s="84"/>
      <c r="AG207" s="84"/>
      <c r="AH207" s="89"/>
      <c r="AI207" s="84"/>
      <c r="AJ207" s="84"/>
      <c r="AK207" s="84"/>
      <c r="AL207" s="89"/>
      <c r="AM207" s="89"/>
      <c r="AN207" s="55"/>
      <c r="AO207" s="84"/>
      <c r="AP207" s="60"/>
      <c r="AQ207" s="90"/>
      <c r="AR207" s="55"/>
      <c r="AS207" s="55"/>
      <c r="AT207" s="91"/>
      <c r="AU207" s="55"/>
      <c r="AV207" s="92"/>
      <c r="AW207" s="92"/>
      <c r="AX207" s="62"/>
      <c r="AY207" s="90"/>
      <c r="AZ207" s="93"/>
      <c r="BA207" s="93"/>
      <c r="BB207" s="93"/>
      <c r="BC207" s="55"/>
      <c r="BD207" s="88"/>
      <c r="BE207" s="88"/>
      <c r="BF207" s="88"/>
      <c r="BG207" s="87"/>
      <c r="BH207" s="84"/>
      <c r="BI207" s="84"/>
      <c r="BJ207" s="90"/>
      <c r="BK207" s="94"/>
      <c r="BL207" s="62"/>
      <c r="BM207" s="84"/>
      <c r="BN207" s="95"/>
      <c r="BO207" s="84"/>
      <c r="BP207" s="84"/>
      <c r="BQ207" s="96"/>
    </row>
    <row r="208">
      <c r="A208" s="50"/>
      <c r="B208" s="83"/>
      <c r="C208" s="83"/>
      <c r="D208" s="84"/>
      <c r="E208" s="85"/>
      <c r="F208" s="85"/>
      <c r="G208" s="85"/>
      <c r="H208" s="86"/>
      <c r="I208" s="85"/>
      <c r="J208" s="87"/>
      <c r="K208" s="84"/>
      <c r="L208" s="84"/>
      <c r="M208" s="84"/>
      <c r="N208" s="55"/>
      <c r="O208" s="88"/>
      <c r="P208" s="88"/>
      <c r="Q208" s="88"/>
      <c r="R208" s="84"/>
      <c r="S208" s="84"/>
      <c r="T208" s="84"/>
      <c r="U208" s="84"/>
      <c r="V208" s="85"/>
      <c r="W208" s="84"/>
      <c r="X208" s="87"/>
      <c r="Y208" s="84"/>
      <c r="Z208" s="84"/>
      <c r="AA208" s="84"/>
      <c r="AB208" s="84"/>
      <c r="AC208" s="84"/>
      <c r="AD208" s="84"/>
      <c r="AE208" s="84"/>
      <c r="AF208" s="84"/>
      <c r="AG208" s="84"/>
      <c r="AH208" s="89"/>
      <c r="AI208" s="84"/>
      <c r="AJ208" s="84"/>
      <c r="AK208" s="84"/>
      <c r="AL208" s="89"/>
      <c r="AM208" s="89"/>
      <c r="AN208" s="55"/>
      <c r="AO208" s="84"/>
      <c r="AP208" s="60"/>
      <c r="AQ208" s="90"/>
      <c r="AR208" s="55"/>
      <c r="AS208" s="55"/>
      <c r="AT208" s="91"/>
      <c r="AU208" s="55"/>
      <c r="AV208" s="92"/>
      <c r="AW208" s="92"/>
      <c r="AX208" s="62"/>
      <c r="AY208" s="90"/>
      <c r="AZ208" s="93"/>
      <c r="BA208" s="93"/>
      <c r="BB208" s="93"/>
      <c r="BC208" s="55"/>
      <c r="BD208" s="88"/>
      <c r="BE208" s="88"/>
      <c r="BF208" s="88"/>
      <c r="BG208" s="87"/>
      <c r="BH208" s="84"/>
      <c r="BI208" s="84"/>
      <c r="BJ208" s="90"/>
      <c r="BK208" s="94"/>
      <c r="BL208" s="62"/>
      <c r="BM208" s="84"/>
      <c r="BN208" s="95"/>
      <c r="BO208" s="84"/>
      <c r="BP208" s="84"/>
      <c r="BQ208" s="96"/>
    </row>
    <row r="209">
      <c r="A209" s="50"/>
      <c r="B209" s="83"/>
      <c r="C209" s="83"/>
      <c r="D209" s="84"/>
      <c r="E209" s="85"/>
      <c r="F209" s="85"/>
      <c r="G209" s="85"/>
      <c r="H209" s="86"/>
      <c r="I209" s="85"/>
      <c r="J209" s="87"/>
      <c r="K209" s="84"/>
      <c r="L209" s="84"/>
      <c r="M209" s="84"/>
      <c r="N209" s="55"/>
      <c r="O209" s="88"/>
      <c r="P209" s="88"/>
      <c r="Q209" s="88"/>
      <c r="R209" s="84"/>
      <c r="S209" s="84"/>
      <c r="T209" s="84"/>
      <c r="U209" s="84"/>
      <c r="V209" s="85"/>
      <c r="W209" s="84"/>
      <c r="X209" s="87"/>
      <c r="Y209" s="84"/>
      <c r="Z209" s="84"/>
      <c r="AA209" s="84"/>
      <c r="AB209" s="84"/>
      <c r="AC209" s="84"/>
      <c r="AD209" s="84"/>
      <c r="AE209" s="84"/>
      <c r="AF209" s="84"/>
      <c r="AG209" s="84"/>
      <c r="AH209" s="89"/>
      <c r="AI209" s="84"/>
      <c r="AJ209" s="84"/>
      <c r="AK209" s="84"/>
      <c r="AL209" s="89"/>
      <c r="AM209" s="89"/>
      <c r="AN209" s="55"/>
      <c r="AO209" s="84"/>
      <c r="AP209" s="60"/>
      <c r="AQ209" s="90"/>
      <c r="AR209" s="55"/>
      <c r="AS209" s="55"/>
      <c r="AT209" s="91"/>
      <c r="AU209" s="55"/>
      <c r="AV209" s="92"/>
      <c r="AW209" s="92"/>
      <c r="AX209" s="62"/>
      <c r="AY209" s="90"/>
      <c r="AZ209" s="93"/>
      <c r="BA209" s="93"/>
      <c r="BB209" s="93"/>
      <c r="BC209" s="55"/>
      <c r="BD209" s="88"/>
      <c r="BE209" s="88"/>
      <c r="BF209" s="88"/>
      <c r="BG209" s="87"/>
      <c r="BH209" s="84"/>
      <c r="BI209" s="84"/>
      <c r="BJ209" s="90"/>
      <c r="BK209" s="94"/>
      <c r="BL209" s="62"/>
      <c r="BM209" s="84"/>
      <c r="BN209" s="95"/>
      <c r="BO209" s="84"/>
      <c r="BP209" s="84"/>
      <c r="BQ209" s="96"/>
    </row>
    <row r="210">
      <c r="A210" s="50"/>
      <c r="B210" s="83"/>
      <c r="C210" s="83"/>
      <c r="D210" s="84"/>
      <c r="E210" s="85"/>
      <c r="F210" s="85"/>
      <c r="G210" s="85"/>
      <c r="H210" s="86"/>
      <c r="I210" s="85"/>
      <c r="J210" s="87"/>
      <c r="K210" s="84"/>
      <c r="L210" s="84"/>
      <c r="M210" s="84"/>
      <c r="N210" s="55"/>
      <c r="O210" s="88"/>
      <c r="P210" s="88"/>
      <c r="Q210" s="88"/>
      <c r="R210" s="84"/>
      <c r="S210" s="84"/>
      <c r="T210" s="84"/>
      <c r="U210" s="84"/>
      <c r="V210" s="85"/>
      <c r="W210" s="84"/>
      <c r="X210" s="87"/>
      <c r="Y210" s="84"/>
      <c r="Z210" s="84"/>
      <c r="AA210" s="84"/>
      <c r="AB210" s="84"/>
      <c r="AC210" s="84"/>
      <c r="AD210" s="84"/>
      <c r="AE210" s="84"/>
      <c r="AF210" s="84"/>
      <c r="AG210" s="84"/>
      <c r="AH210" s="89"/>
      <c r="AI210" s="84"/>
      <c r="AJ210" s="84"/>
      <c r="AK210" s="84"/>
      <c r="AL210" s="89"/>
      <c r="AM210" s="89"/>
      <c r="AN210" s="55"/>
      <c r="AO210" s="84"/>
      <c r="AP210" s="60"/>
      <c r="AQ210" s="90"/>
      <c r="AR210" s="55"/>
      <c r="AS210" s="55"/>
      <c r="AT210" s="91"/>
      <c r="AU210" s="55"/>
      <c r="AV210" s="92"/>
      <c r="AW210" s="92"/>
      <c r="AX210" s="62"/>
      <c r="AY210" s="90"/>
      <c r="AZ210" s="93"/>
      <c r="BA210" s="93"/>
      <c r="BB210" s="93"/>
      <c r="BC210" s="55"/>
      <c r="BD210" s="88"/>
      <c r="BE210" s="88"/>
      <c r="BF210" s="88"/>
      <c r="BG210" s="87"/>
      <c r="BH210" s="84"/>
      <c r="BI210" s="84"/>
      <c r="BJ210" s="90"/>
      <c r="BK210" s="94"/>
      <c r="BL210" s="62"/>
      <c r="BM210" s="84"/>
      <c r="BN210" s="95"/>
      <c r="BO210" s="84"/>
      <c r="BP210" s="84"/>
      <c r="BQ210" s="96"/>
    </row>
    <row r="211">
      <c r="A211" s="50"/>
      <c r="B211" s="83"/>
      <c r="C211" s="83"/>
      <c r="D211" s="84"/>
      <c r="E211" s="85"/>
      <c r="F211" s="85"/>
      <c r="G211" s="85"/>
      <c r="H211" s="86"/>
      <c r="I211" s="85"/>
      <c r="J211" s="87"/>
      <c r="K211" s="84"/>
      <c r="L211" s="84"/>
      <c r="M211" s="84"/>
      <c r="N211" s="55"/>
      <c r="O211" s="88"/>
      <c r="P211" s="88"/>
      <c r="Q211" s="88"/>
      <c r="R211" s="84"/>
      <c r="S211" s="84"/>
      <c r="T211" s="84"/>
      <c r="U211" s="84"/>
      <c r="V211" s="85"/>
      <c r="W211" s="84"/>
      <c r="X211" s="87"/>
      <c r="Y211" s="84"/>
      <c r="Z211" s="84"/>
      <c r="AA211" s="84"/>
      <c r="AB211" s="84"/>
      <c r="AC211" s="84"/>
      <c r="AD211" s="84"/>
      <c r="AE211" s="84"/>
      <c r="AF211" s="84"/>
      <c r="AG211" s="84"/>
      <c r="AH211" s="89"/>
      <c r="AI211" s="84"/>
      <c r="AJ211" s="84"/>
      <c r="AK211" s="84"/>
      <c r="AL211" s="89"/>
      <c r="AM211" s="89"/>
      <c r="AN211" s="55"/>
      <c r="AO211" s="84"/>
      <c r="AP211" s="60"/>
      <c r="AQ211" s="90"/>
      <c r="AR211" s="55"/>
      <c r="AS211" s="55"/>
      <c r="AT211" s="91"/>
      <c r="AU211" s="55"/>
      <c r="AV211" s="92"/>
      <c r="AW211" s="92"/>
      <c r="AX211" s="62"/>
      <c r="AY211" s="90"/>
      <c r="AZ211" s="93"/>
      <c r="BA211" s="93"/>
      <c r="BB211" s="93"/>
      <c r="BC211" s="55"/>
      <c r="BD211" s="88"/>
      <c r="BE211" s="88"/>
      <c r="BF211" s="88"/>
      <c r="BG211" s="87"/>
      <c r="BH211" s="84"/>
      <c r="BI211" s="84"/>
      <c r="BJ211" s="90"/>
      <c r="BK211" s="94"/>
      <c r="BL211" s="62"/>
      <c r="BM211" s="84"/>
      <c r="BN211" s="95"/>
      <c r="BO211" s="84"/>
      <c r="BP211" s="84"/>
      <c r="BQ211" s="96"/>
    </row>
    <row r="212">
      <c r="A212" s="50"/>
      <c r="B212" s="83"/>
      <c r="C212" s="83"/>
      <c r="D212" s="84"/>
      <c r="E212" s="85"/>
      <c r="F212" s="85"/>
      <c r="G212" s="85"/>
      <c r="H212" s="86"/>
      <c r="I212" s="85"/>
      <c r="J212" s="87"/>
      <c r="K212" s="84"/>
      <c r="L212" s="84"/>
      <c r="M212" s="84"/>
      <c r="N212" s="55"/>
      <c r="O212" s="88"/>
      <c r="P212" s="88"/>
      <c r="Q212" s="88"/>
      <c r="R212" s="84"/>
      <c r="S212" s="84"/>
      <c r="T212" s="84"/>
      <c r="U212" s="84"/>
      <c r="V212" s="85"/>
      <c r="W212" s="84"/>
      <c r="X212" s="87"/>
      <c r="Y212" s="84"/>
      <c r="Z212" s="84"/>
      <c r="AA212" s="84"/>
      <c r="AB212" s="84"/>
      <c r="AC212" s="84"/>
      <c r="AD212" s="84"/>
      <c r="AE212" s="84"/>
      <c r="AF212" s="84"/>
      <c r="AG212" s="84"/>
      <c r="AH212" s="89"/>
      <c r="AI212" s="84"/>
      <c r="AJ212" s="84"/>
      <c r="AK212" s="84"/>
      <c r="AL212" s="89"/>
      <c r="AM212" s="89"/>
      <c r="AN212" s="55"/>
      <c r="AO212" s="84"/>
      <c r="AP212" s="60"/>
      <c r="AQ212" s="90"/>
      <c r="AR212" s="55"/>
      <c r="AS212" s="55"/>
      <c r="AT212" s="91"/>
      <c r="AU212" s="55"/>
      <c r="AV212" s="92"/>
      <c r="AW212" s="92"/>
      <c r="AX212" s="62"/>
      <c r="AY212" s="90"/>
      <c r="AZ212" s="93"/>
      <c r="BA212" s="93"/>
      <c r="BB212" s="93"/>
      <c r="BC212" s="55"/>
      <c r="BD212" s="88"/>
      <c r="BE212" s="88"/>
      <c r="BF212" s="88"/>
      <c r="BG212" s="87"/>
      <c r="BH212" s="84"/>
      <c r="BI212" s="84"/>
      <c r="BJ212" s="90"/>
      <c r="BK212" s="94"/>
      <c r="BL212" s="62"/>
      <c r="BM212" s="84"/>
      <c r="BN212" s="95"/>
      <c r="BO212" s="84"/>
      <c r="BP212" s="84"/>
      <c r="BQ212" s="96"/>
    </row>
    <row r="213">
      <c r="A213" s="50"/>
      <c r="B213" s="83"/>
      <c r="C213" s="83"/>
      <c r="D213" s="84"/>
      <c r="E213" s="85"/>
      <c r="F213" s="85"/>
      <c r="G213" s="85"/>
      <c r="H213" s="86"/>
      <c r="I213" s="85"/>
      <c r="J213" s="87"/>
      <c r="K213" s="84"/>
      <c r="L213" s="84"/>
      <c r="M213" s="84"/>
      <c r="N213" s="55"/>
      <c r="O213" s="88"/>
      <c r="P213" s="88"/>
      <c r="Q213" s="88"/>
      <c r="R213" s="84"/>
      <c r="S213" s="84"/>
      <c r="T213" s="84"/>
      <c r="U213" s="84"/>
      <c r="V213" s="85"/>
      <c r="W213" s="84"/>
      <c r="X213" s="87"/>
      <c r="Y213" s="84"/>
      <c r="Z213" s="84"/>
      <c r="AA213" s="84"/>
      <c r="AB213" s="84"/>
      <c r="AC213" s="84"/>
      <c r="AD213" s="84"/>
      <c r="AE213" s="84"/>
      <c r="AF213" s="84"/>
      <c r="AG213" s="84"/>
      <c r="AH213" s="89"/>
      <c r="AI213" s="84"/>
      <c r="AJ213" s="84"/>
      <c r="AK213" s="84"/>
      <c r="AL213" s="89"/>
      <c r="AM213" s="89"/>
      <c r="AN213" s="55"/>
      <c r="AO213" s="84"/>
      <c r="AP213" s="60"/>
      <c r="AQ213" s="90"/>
      <c r="AR213" s="55"/>
      <c r="AS213" s="55"/>
      <c r="AT213" s="91"/>
      <c r="AU213" s="55"/>
      <c r="AV213" s="92"/>
      <c r="AW213" s="92"/>
      <c r="AX213" s="62"/>
      <c r="AY213" s="90"/>
      <c r="AZ213" s="93"/>
      <c r="BA213" s="93"/>
      <c r="BB213" s="93"/>
      <c r="BC213" s="55"/>
      <c r="BD213" s="88"/>
      <c r="BE213" s="88"/>
      <c r="BF213" s="88"/>
      <c r="BG213" s="87"/>
      <c r="BH213" s="84"/>
      <c r="BI213" s="84"/>
      <c r="BJ213" s="90"/>
      <c r="BK213" s="94"/>
      <c r="BL213" s="62"/>
      <c r="BM213" s="84"/>
      <c r="BN213" s="95"/>
      <c r="BO213" s="84"/>
      <c r="BP213" s="84"/>
      <c r="BQ213" s="96"/>
    </row>
    <row r="214">
      <c r="A214" s="50"/>
      <c r="B214" s="83"/>
      <c r="C214" s="83"/>
      <c r="D214" s="84"/>
      <c r="E214" s="85"/>
      <c r="F214" s="85"/>
      <c r="G214" s="85"/>
      <c r="H214" s="86"/>
      <c r="I214" s="85"/>
      <c r="J214" s="87"/>
      <c r="K214" s="84"/>
      <c r="L214" s="84"/>
      <c r="M214" s="84"/>
      <c r="N214" s="55"/>
      <c r="O214" s="88"/>
      <c r="P214" s="88"/>
      <c r="Q214" s="88"/>
      <c r="R214" s="84"/>
      <c r="S214" s="84"/>
      <c r="T214" s="84"/>
      <c r="U214" s="84"/>
      <c r="V214" s="85"/>
      <c r="W214" s="84"/>
      <c r="X214" s="87"/>
      <c r="Y214" s="84"/>
      <c r="Z214" s="84"/>
      <c r="AA214" s="84"/>
      <c r="AB214" s="84"/>
      <c r="AC214" s="84"/>
      <c r="AD214" s="84"/>
      <c r="AE214" s="84"/>
      <c r="AF214" s="84"/>
      <c r="AG214" s="84"/>
      <c r="AH214" s="89"/>
      <c r="AI214" s="84"/>
      <c r="AJ214" s="84"/>
      <c r="AK214" s="84"/>
      <c r="AL214" s="89"/>
      <c r="AM214" s="89"/>
      <c r="AN214" s="55"/>
      <c r="AO214" s="84"/>
      <c r="AP214" s="60"/>
      <c r="AQ214" s="90"/>
      <c r="AR214" s="55"/>
      <c r="AS214" s="55"/>
      <c r="AT214" s="91"/>
      <c r="AU214" s="55"/>
      <c r="AV214" s="92"/>
      <c r="AW214" s="92"/>
      <c r="AX214" s="62"/>
      <c r="AY214" s="90"/>
      <c r="AZ214" s="93"/>
      <c r="BA214" s="93"/>
      <c r="BB214" s="93"/>
      <c r="BC214" s="55"/>
      <c r="BD214" s="88"/>
      <c r="BE214" s="88"/>
      <c r="BF214" s="88"/>
      <c r="BG214" s="87"/>
      <c r="BH214" s="84"/>
      <c r="BI214" s="84"/>
      <c r="BJ214" s="90"/>
      <c r="BK214" s="94"/>
      <c r="BL214" s="62"/>
      <c r="BM214" s="84"/>
      <c r="BN214" s="95"/>
      <c r="BO214" s="84"/>
      <c r="BP214" s="84"/>
      <c r="BQ214" s="96"/>
    </row>
    <row r="215">
      <c r="A215" s="50"/>
      <c r="B215" s="83"/>
      <c r="C215" s="83"/>
      <c r="D215" s="84"/>
      <c r="E215" s="85"/>
      <c r="F215" s="85"/>
      <c r="G215" s="85"/>
      <c r="H215" s="86"/>
      <c r="I215" s="85"/>
      <c r="J215" s="87"/>
      <c r="K215" s="84"/>
      <c r="L215" s="84"/>
      <c r="M215" s="84"/>
      <c r="N215" s="55"/>
      <c r="O215" s="88"/>
      <c r="P215" s="88"/>
      <c r="Q215" s="88"/>
      <c r="R215" s="84"/>
      <c r="S215" s="84"/>
      <c r="T215" s="84"/>
      <c r="U215" s="84"/>
      <c r="V215" s="85"/>
      <c r="W215" s="84"/>
      <c r="X215" s="87"/>
      <c r="Y215" s="84"/>
      <c r="Z215" s="84"/>
      <c r="AA215" s="84"/>
      <c r="AB215" s="84"/>
      <c r="AC215" s="84"/>
      <c r="AD215" s="84"/>
      <c r="AE215" s="84"/>
      <c r="AF215" s="84"/>
      <c r="AG215" s="84"/>
      <c r="AH215" s="89"/>
      <c r="AI215" s="84"/>
      <c r="AJ215" s="84"/>
      <c r="AK215" s="84"/>
      <c r="AL215" s="89"/>
      <c r="AM215" s="89"/>
      <c r="AN215" s="55"/>
      <c r="AO215" s="84"/>
      <c r="AP215" s="60"/>
      <c r="AQ215" s="90"/>
      <c r="AR215" s="55"/>
      <c r="AS215" s="55"/>
      <c r="AT215" s="91"/>
      <c r="AU215" s="55"/>
      <c r="AV215" s="92"/>
      <c r="AW215" s="92"/>
      <c r="AX215" s="62"/>
      <c r="AY215" s="90"/>
      <c r="AZ215" s="93"/>
      <c r="BA215" s="93"/>
      <c r="BB215" s="93"/>
      <c r="BC215" s="55"/>
      <c r="BD215" s="88"/>
      <c r="BE215" s="88"/>
      <c r="BF215" s="88"/>
      <c r="BG215" s="87"/>
      <c r="BH215" s="84"/>
      <c r="BI215" s="84"/>
      <c r="BJ215" s="90"/>
      <c r="BK215" s="94"/>
      <c r="BL215" s="62"/>
      <c r="BM215" s="84"/>
      <c r="BN215" s="95"/>
      <c r="BO215" s="84"/>
      <c r="BP215" s="84"/>
      <c r="BQ215" s="96"/>
    </row>
    <row r="216">
      <c r="A216" s="50"/>
      <c r="B216" s="83"/>
      <c r="C216" s="83"/>
      <c r="D216" s="84"/>
      <c r="E216" s="85"/>
      <c r="F216" s="85"/>
      <c r="G216" s="85"/>
      <c r="H216" s="86"/>
      <c r="I216" s="85"/>
      <c r="J216" s="87"/>
      <c r="K216" s="84"/>
      <c r="L216" s="84"/>
      <c r="M216" s="84"/>
      <c r="N216" s="55"/>
      <c r="O216" s="88"/>
      <c r="P216" s="88"/>
      <c r="Q216" s="88"/>
      <c r="R216" s="84"/>
      <c r="S216" s="84"/>
      <c r="T216" s="84"/>
      <c r="U216" s="84"/>
      <c r="V216" s="85"/>
      <c r="W216" s="84"/>
      <c r="X216" s="87"/>
      <c r="Y216" s="84"/>
      <c r="Z216" s="84"/>
      <c r="AA216" s="84"/>
      <c r="AB216" s="84"/>
      <c r="AC216" s="84"/>
      <c r="AD216" s="84"/>
      <c r="AE216" s="84"/>
      <c r="AF216" s="84"/>
      <c r="AG216" s="84"/>
      <c r="AH216" s="89"/>
      <c r="AI216" s="84"/>
      <c r="AJ216" s="84"/>
      <c r="AK216" s="84"/>
      <c r="AL216" s="89"/>
      <c r="AM216" s="89"/>
      <c r="AN216" s="55"/>
      <c r="AO216" s="84"/>
      <c r="AP216" s="60"/>
      <c r="AQ216" s="90"/>
      <c r="AR216" s="55"/>
      <c r="AS216" s="55"/>
      <c r="AT216" s="91"/>
      <c r="AU216" s="55"/>
      <c r="AV216" s="92"/>
      <c r="AW216" s="92"/>
      <c r="AX216" s="62"/>
      <c r="AY216" s="90"/>
      <c r="AZ216" s="93"/>
      <c r="BA216" s="93"/>
      <c r="BB216" s="93"/>
      <c r="BC216" s="55"/>
      <c r="BD216" s="88"/>
      <c r="BE216" s="88"/>
      <c r="BF216" s="88"/>
      <c r="BG216" s="87"/>
      <c r="BH216" s="84"/>
      <c r="BI216" s="84"/>
      <c r="BJ216" s="90"/>
      <c r="BK216" s="94"/>
      <c r="BL216" s="62"/>
      <c r="BM216" s="84"/>
      <c r="BN216" s="95"/>
      <c r="BO216" s="84"/>
      <c r="BP216" s="84"/>
      <c r="BQ216" s="96"/>
    </row>
    <row r="217">
      <c r="A217" s="50"/>
      <c r="B217" s="83"/>
      <c r="C217" s="83"/>
      <c r="D217" s="84"/>
      <c r="E217" s="85"/>
      <c r="F217" s="85"/>
      <c r="G217" s="85"/>
      <c r="H217" s="86"/>
      <c r="I217" s="85"/>
      <c r="J217" s="87"/>
      <c r="K217" s="84"/>
      <c r="L217" s="84"/>
      <c r="M217" s="84"/>
      <c r="N217" s="55"/>
      <c r="O217" s="88"/>
      <c r="P217" s="88"/>
      <c r="Q217" s="88"/>
      <c r="R217" s="84"/>
      <c r="S217" s="84"/>
      <c r="T217" s="84"/>
      <c r="U217" s="84"/>
      <c r="V217" s="85"/>
      <c r="W217" s="84"/>
      <c r="X217" s="87"/>
      <c r="Y217" s="84"/>
      <c r="Z217" s="84"/>
      <c r="AA217" s="84"/>
      <c r="AB217" s="84"/>
      <c r="AC217" s="84"/>
      <c r="AD217" s="84"/>
      <c r="AE217" s="84"/>
      <c r="AF217" s="84"/>
      <c r="AG217" s="84"/>
      <c r="AH217" s="89"/>
      <c r="AI217" s="84"/>
      <c r="AJ217" s="84"/>
      <c r="AK217" s="84"/>
      <c r="AL217" s="89"/>
      <c r="AM217" s="89"/>
      <c r="AN217" s="55"/>
      <c r="AO217" s="84"/>
      <c r="AP217" s="60"/>
      <c r="AQ217" s="90"/>
      <c r="AR217" s="55"/>
      <c r="AS217" s="55"/>
      <c r="AT217" s="91"/>
      <c r="AU217" s="55"/>
      <c r="AV217" s="92"/>
      <c r="AW217" s="92"/>
      <c r="AX217" s="62"/>
      <c r="AY217" s="90"/>
      <c r="AZ217" s="93"/>
      <c r="BA217" s="93"/>
      <c r="BB217" s="93"/>
      <c r="BC217" s="55"/>
      <c r="BD217" s="88"/>
      <c r="BE217" s="88"/>
      <c r="BF217" s="88"/>
      <c r="BG217" s="87"/>
      <c r="BH217" s="84"/>
      <c r="BI217" s="84"/>
      <c r="BJ217" s="90"/>
      <c r="BK217" s="94"/>
      <c r="BL217" s="62"/>
      <c r="BM217" s="84"/>
      <c r="BN217" s="95"/>
      <c r="BO217" s="84"/>
      <c r="BP217" s="84"/>
      <c r="BQ217" s="96"/>
    </row>
    <row r="218">
      <c r="A218" s="50"/>
      <c r="B218" s="83"/>
      <c r="C218" s="83"/>
      <c r="D218" s="84"/>
      <c r="E218" s="85"/>
      <c r="F218" s="85"/>
      <c r="G218" s="85"/>
      <c r="H218" s="86"/>
      <c r="I218" s="85"/>
      <c r="J218" s="87"/>
      <c r="K218" s="84"/>
      <c r="L218" s="84"/>
      <c r="M218" s="84"/>
      <c r="N218" s="55"/>
      <c r="O218" s="88"/>
      <c r="P218" s="88"/>
      <c r="Q218" s="88"/>
      <c r="R218" s="84"/>
      <c r="S218" s="84"/>
      <c r="T218" s="84"/>
      <c r="U218" s="84"/>
      <c r="V218" s="85"/>
      <c r="W218" s="84"/>
      <c r="X218" s="87"/>
      <c r="Y218" s="84"/>
      <c r="Z218" s="84"/>
      <c r="AA218" s="84"/>
      <c r="AB218" s="84"/>
      <c r="AC218" s="84"/>
      <c r="AD218" s="84"/>
      <c r="AE218" s="84"/>
      <c r="AF218" s="84"/>
      <c r="AG218" s="84"/>
      <c r="AH218" s="89"/>
      <c r="AI218" s="84"/>
      <c r="AJ218" s="84"/>
      <c r="AK218" s="84"/>
      <c r="AL218" s="89"/>
      <c r="AM218" s="89"/>
      <c r="AN218" s="55"/>
      <c r="AO218" s="84"/>
      <c r="AP218" s="60"/>
      <c r="AQ218" s="90"/>
      <c r="AR218" s="55"/>
      <c r="AS218" s="55"/>
      <c r="AT218" s="91"/>
      <c r="AU218" s="55"/>
      <c r="AV218" s="92"/>
      <c r="AW218" s="92"/>
      <c r="AX218" s="62"/>
      <c r="AY218" s="90"/>
      <c r="AZ218" s="93"/>
      <c r="BA218" s="93"/>
      <c r="BB218" s="93"/>
      <c r="BC218" s="55"/>
      <c r="BD218" s="88"/>
      <c r="BE218" s="88"/>
      <c r="BF218" s="88"/>
      <c r="BG218" s="87"/>
      <c r="BH218" s="84"/>
      <c r="BI218" s="84"/>
      <c r="BJ218" s="90"/>
      <c r="BK218" s="94"/>
      <c r="BL218" s="62"/>
      <c r="BM218" s="84"/>
      <c r="BN218" s="95"/>
      <c r="BO218" s="84"/>
      <c r="BP218" s="84"/>
      <c r="BQ218" s="96"/>
    </row>
    <row r="219">
      <c r="A219" s="50"/>
      <c r="B219" s="83"/>
      <c r="C219" s="83"/>
      <c r="D219" s="84"/>
      <c r="E219" s="85"/>
      <c r="F219" s="85"/>
      <c r="G219" s="85"/>
      <c r="H219" s="86"/>
      <c r="I219" s="85"/>
      <c r="J219" s="87"/>
      <c r="K219" s="84"/>
      <c r="L219" s="84"/>
      <c r="M219" s="84"/>
      <c r="N219" s="55"/>
      <c r="O219" s="88"/>
      <c r="P219" s="88"/>
      <c r="Q219" s="88"/>
      <c r="R219" s="84"/>
      <c r="S219" s="84"/>
      <c r="T219" s="84"/>
      <c r="U219" s="84"/>
      <c r="V219" s="85"/>
      <c r="W219" s="84"/>
      <c r="X219" s="87"/>
      <c r="Y219" s="84"/>
      <c r="Z219" s="84"/>
      <c r="AA219" s="84"/>
      <c r="AB219" s="84"/>
      <c r="AC219" s="84"/>
      <c r="AD219" s="84"/>
      <c r="AE219" s="84"/>
      <c r="AF219" s="84"/>
      <c r="AG219" s="84"/>
      <c r="AH219" s="89"/>
      <c r="AI219" s="84"/>
      <c r="AJ219" s="84"/>
      <c r="AK219" s="84"/>
      <c r="AL219" s="89"/>
      <c r="AM219" s="89"/>
      <c r="AN219" s="55"/>
      <c r="AO219" s="84"/>
      <c r="AP219" s="60"/>
      <c r="AQ219" s="90"/>
      <c r="AR219" s="55"/>
      <c r="AS219" s="55"/>
      <c r="AT219" s="91"/>
      <c r="AU219" s="55"/>
      <c r="AV219" s="92"/>
      <c r="AW219" s="92"/>
      <c r="AX219" s="62"/>
      <c r="AY219" s="90"/>
      <c r="AZ219" s="93"/>
      <c r="BA219" s="93"/>
      <c r="BB219" s="93"/>
      <c r="BC219" s="55"/>
      <c r="BD219" s="88"/>
      <c r="BE219" s="88"/>
      <c r="BF219" s="88"/>
      <c r="BG219" s="87"/>
      <c r="BH219" s="84"/>
      <c r="BI219" s="84"/>
      <c r="BJ219" s="90"/>
      <c r="BK219" s="94"/>
      <c r="BL219" s="62"/>
      <c r="BM219" s="84"/>
      <c r="BN219" s="95"/>
      <c r="BO219" s="84"/>
      <c r="BP219" s="84"/>
      <c r="BQ219" s="96"/>
    </row>
    <row r="220">
      <c r="A220" s="50"/>
      <c r="B220" s="83"/>
      <c r="C220" s="83"/>
      <c r="D220" s="84"/>
      <c r="E220" s="85"/>
      <c r="F220" s="85"/>
      <c r="G220" s="85"/>
      <c r="H220" s="86"/>
      <c r="I220" s="85"/>
      <c r="J220" s="87"/>
      <c r="K220" s="84"/>
      <c r="L220" s="84"/>
      <c r="M220" s="84"/>
      <c r="N220" s="55"/>
      <c r="O220" s="88"/>
      <c r="P220" s="88"/>
      <c r="Q220" s="88"/>
      <c r="R220" s="84"/>
      <c r="S220" s="84"/>
      <c r="T220" s="84"/>
      <c r="U220" s="84"/>
      <c r="V220" s="85"/>
      <c r="W220" s="84"/>
      <c r="X220" s="87"/>
      <c r="Y220" s="84"/>
      <c r="Z220" s="84"/>
      <c r="AA220" s="84"/>
      <c r="AB220" s="84"/>
      <c r="AC220" s="84"/>
      <c r="AD220" s="84"/>
      <c r="AE220" s="84"/>
      <c r="AF220" s="84"/>
      <c r="AG220" s="84"/>
      <c r="AH220" s="89"/>
      <c r="AI220" s="84"/>
      <c r="AJ220" s="84"/>
      <c r="AK220" s="84"/>
      <c r="AL220" s="89"/>
      <c r="AM220" s="89"/>
      <c r="AN220" s="55"/>
      <c r="AO220" s="84"/>
      <c r="AP220" s="60"/>
      <c r="AQ220" s="90"/>
      <c r="AR220" s="55"/>
      <c r="AS220" s="55"/>
      <c r="AT220" s="91"/>
      <c r="AU220" s="55"/>
      <c r="AV220" s="92"/>
      <c r="AW220" s="92"/>
      <c r="AX220" s="62"/>
      <c r="AY220" s="90"/>
      <c r="AZ220" s="93"/>
      <c r="BA220" s="93"/>
      <c r="BB220" s="93"/>
      <c r="BC220" s="55"/>
      <c r="BD220" s="88"/>
      <c r="BE220" s="88"/>
      <c r="BF220" s="88"/>
      <c r="BG220" s="87"/>
      <c r="BH220" s="84"/>
      <c r="BI220" s="84"/>
      <c r="BJ220" s="90"/>
      <c r="BK220" s="94"/>
      <c r="BL220" s="62"/>
      <c r="BM220" s="84"/>
      <c r="BN220" s="95"/>
      <c r="BO220" s="84"/>
      <c r="BP220" s="84"/>
      <c r="BQ220" s="96"/>
    </row>
    <row r="221">
      <c r="A221" s="50"/>
      <c r="B221" s="83"/>
      <c r="C221" s="83"/>
      <c r="D221" s="84"/>
      <c r="E221" s="85"/>
      <c r="F221" s="85"/>
      <c r="G221" s="85"/>
      <c r="H221" s="86"/>
      <c r="I221" s="85"/>
      <c r="J221" s="87"/>
      <c r="K221" s="84"/>
      <c r="L221" s="84"/>
      <c r="M221" s="84"/>
      <c r="N221" s="55"/>
      <c r="O221" s="88"/>
      <c r="P221" s="88"/>
      <c r="Q221" s="88"/>
      <c r="R221" s="84"/>
      <c r="S221" s="84"/>
      <c r="T221" s="84"/>
      <c r="U221" s="84"/>
      <c r="V221" s="85"/>
      <c r="W221" s="84"/>
      <c r="X221" s="87"/>
      <c r="Y221" s="84"/>
      <c r="Z221" s="84"/>
      <c r="AA221" s="84"/>
      <c r="AB221" s="84"/>
      <c r="AC221" s="84"/>
      <c r="AD221" s="84"/>
      <c r="AE221" s="84"/>
      <c r="AF221" s="84"/>
      <c r="AG221" s="84"/>
      <c r="AH221" s="89"/>
      <c r="AI221" s="84"/>
      <c r="AJ221" s="84"/>
      <c r="AK221" s="84"/>
      <c r="AL221" s="89"/>
      <c r="AM221" s="89"/>
      <c r="AN221" s="55"/>
      <c r="AO221" s="84"/>
      <c r="AP221" s="60"/>
      <c r="AQ221" s="90"/>
      <c r="AR221" s="55"/>
      <c r="AS221" s="55"/>
      <c r="AT221" s="91"/>
      <c r="AU221" s="55"/>
      <c r="AV221" s="92"/>
      <c r="AW221" s="92"/>
      <c r="AX221" s="62"/>
      <c r="AY221" s="90"/>
      <c r="AZ221" s="93"/>
      <c r="BA221" s="93"/>
      <c r="BB221" s="93"/>
      <c r="BC221" s="55"/>
      <c r="BD221" s="88"/>
      <c r="BE221" s="88"/>
      <c r="BF221" s="88"/>
      <c r="BG221" s="87"/>
      <c r="BH221" s="84"/>
      <c r="BI221" s="84"/>
      <c r="BJ221" s="90"/>
      <c r="BK221" s="94"/>
      <c r="BL221" s="62"/>
      <c r="BM221" s="84"/>
      <c r="BN221" s="95"/>
      <c r="BO221" s="84"/>
      <c r="BP221" s="84"/>
      <c r="BQ221" s="96"/>
    </row>
    <row r="222">
      <c r="A222" s="50"/>
      <c r="B222" s="83"/>
      <c r="C222" s="83"/>
      <c r="D222" s="84"/>
      <c r="E222" s="85"/>
      <c r="F222" s="85"/>
      <c r="G222" s="85"/>
      <c r="H222" s="86"/>
      <c r="I222" s="85"/>
      <c r="J222" s="87"/>
      <c r="K222" s="84"/>
      <c r="L222" s="84"/>
      <c r="M222" s="84"/>
      <c r="N222" s="55"/>
      <c r="O222" s="88"/>
      <c r="P222" s="88"/>
      <c r="Q222" s="88"/>
      <c r="R222" s="84"/>
      <c r="S222" s="84"/>
      <c r="T222" s="84"/>
      <c r="U222" s="84"/>
      <c r="V222" s="85"/>
      <c r="W222" s="84"/>
      <c r="X222" s="87"/>
      <c r="Y222" s="84"/>
      <c r="Z222" s="84"/>
      <c r="AA222" s="84"/>
      <c r="AB222" s="84"/>
      <c r="AC222" s="84"/>
      <c r="AD222" s="84"/>
      <c r="AE222" s="84"/>
      <c r="AF222" s="84"/>
      <c r="AG222" s="84"/>
      <c r="AH222" s="89"/>
      <c r="AI222" s="84"/>
      <c r="AJ222" s="84"/>
      <c r="AK222" s="84"/>
      <c r="AL222" s="89"/>
      <c r="AM222" s="89"/>
      <c r="AN222" s="55"/>
      <c r="AO222" s="84"/>
      <c r="AP222" s="60"/>
      <c r="AQ222" s="90"/>
      <c r="AR222" s="55"/>
      <c r="AS222" s="55"/>
      <c r="AT222" s="91"/>
      <c r="AU222" s="55"/>
      <c r="AV222" s="92"/>
      <c r="AW222" s="92"/>
      <c r="AX222" s="62"/>
      <c r="AY222" s="90"/>
      <c r="AZ222" s="93"/>
      <c r="BA222" s="93"/>
      <c r="BB222" s="93"/>
      <c r="BC222" s="55"/>
      <c r="BD222" s="88"/>
      <c r="BE222" s="88"/>
      <c r="BF222" s="88"/>
      <c r="BG222" s="87"/>
      <c r="BH222" s="84"/>
      <c r="BI222" s="84"/>
      <c r="BJ222" s="90"/>
      <c r="BK222" s="94"/>
      <c r="BL222" s="62"/>
      <c r="BM222" s="84"/>
      <c r="BN222" s="95"/>
      <c r="BO222" s="84"/>
      <c r="BP222" s="84"/>
      <c r="BQ222" s="96"/>
    </row>
    <row r="223">
      <c r="A223" s="50"/>
      <c r="B223" s="83"/>
      <c r="C223" s="83"/>
      <c r="D223" s="84"/>
      <c r="E223" s="85"/>
      <c r="F223" s="85"/>
      <c r="G223" s="85"/>
      <c r="H223" s="86"/>
      <c r="I223" s="85"/>
      <c r="J223" s="87"/>
      <c r="K223" s="84"/>
      <c r="L223" s="84"/>
      <c r="M223" s="84"/>
      <c r="N223" s="55"/>
      <c r="O223" s="88"/>
      <c r="P223" s="88"/>
      <c r="Q223" s="88"/>
      <c r="R223" s="84"/>
      <c r="S223" s="84"/>
      <c r="T223" s="84"/>
      <c r="U223" s="84"/>
      <c r="V223" s="85"/>
      <c r="W223" s="84"/>
      <c r="X223" s="87"/>
      <c r="Y223" s="84"/>
      <c r="Z223" s="84"/>
      <c r="AA223" s="84"/>
      <c r="AB223" s="84"/>
      <c r="AC223" s="84"/>
      <c r="AD223" s="84"/>
      <c r="AE223" s="84"/>
      <c r="AF223" s="84"/>
      <c r="AG223" s="84"/>
      <c r="AH223" s="89"/>
      <c r="AI223" s="84"/>
      <c r="AJ223" s="84"/>
      <c r="AK223" s="84"/>
      <c r="AL223" s="89"/>
      <c r="AM223" s="89"/>
      <c r="AN223" s="55"/>
      <c r="AO223" s="84"/>
      <c r="AP223" s="60"/>
      <c r="AQ223" s="90"/>
      <c r="AR223" s="55"/>
      <c r="AS223" s="55"/>
      <c r="AT223" s="91"/>
      <c r="AU223" s="55"/>
      <c r="AV223" s="92"/>
      <c r="AW223" s="92"/>
      <c r="AX223" s="62"/>
      <c r="AY223" s="90"/>
      <c r="AZ223" s="93"/>
      <c r="BA223" s="93"/>
      <c r="BB223" s="93"/>
      <c r="BC223" s="55"/>
      <c r="BD223" s="88"/>
      <c r="BE223" s="88"/>
      <c r="BF223" s="88"/>
      <c r="BG223" s="87"/>
      <c r="BH223" s="84"/>
      <c r="BI223" s="84"/>
      <c r="BJ223" s="90"/>
      <c r="BK223" s="94"/>
      <c r="BL223" s="62"/>
      <c r="BM223" s="84"/>
      <c r="BN223" s="95"/>
      <c r="BO223" s="84"/>
      <c r="BP223" s="84"/>
      <c r="BQ223" s="96"/>
    </row>
    <row r="224">
      <c r="A224" s="50"/>
      <c r="B224" s="83"/>
      <c r="C224" s="83"/>
      <c r="D224" s="84"/>
      <c r="E224" s="85"/>
      <c r="F224" s="85"/>
      <c r="G224" s="85"/>
      <c r="H224" s="86"/>
      <c r="I224" s="85"/>
      <c r="J224" s="87"/>
      <c r="K224" s="84"/>
      <c r="L224" s="84"/>
      <c r="M224" s="84"/>
      <c r="N224" s="55"/>
      <c r="O224" s="88"/>
      <c r="P224" s="88"/>
      <c r="Q224" s="88"/>
      <c r="R224" s="84"/>
      <c r="S224" s="84"/>
      <c r="T224" s="84"/>
      <c r="U224" s="84"/>
      <c r="V224" s="85"/>
      <c r="W224" s="84"/>
      <c r="X224" s="87"/>
      <c r="Y224" s="84"/>
      <c r="Z224" s="84"/>
      <c r="AA224" s="84"/>
      <c r="AB224" s="84"/>
      <c r="AC224" s="84"/>
      <c r="AD224" s="84"/>
      <c r="AE224" s="84"/>
      <c r="AF224" s="84"/>
      <c r="AG224" s="84"/>
      <c r="AH224" s="89"/>
      <c r="AI224" s="84"/>
      <c r="AJ224" s="84"/>
      <c r="AK224" s="84"/>
      <c r="AL224" s="89"/>
      <c r="AM224" s="89"/>
      <c r="AN224" s="55"/>
      <c r="AO224" s="84"/>
      <c r="AP224" s="60"/>
      <c r="AQ224" s="90"/>
      <c r="AR224" s="55"/>
      <c r="AS224" s="55"/>
      <c r="AT224" s="91"/>
      <c r="AU224" s="55"/>
      <c r="AV224" s="92"/>
      <c r="AW224" s="92"/>
      <c r="AX224" s="62"/>
      <c r="AY224" s="90"/>
      <c r="AZ224" s="93"/>
      <c r="BA224" s="93"/>
      <c r="BB224" s="93"/>
      <c r="BC224" s="55"/>
      <c r="BD224" s="88"/>
      <c r="BE224" s="88"/>
      <c r="BF224" s="88"/>
      <c r="BG224" s="87"/>
      <c r="BH224" s="84"/>
      <c r="BI224" s="84"/>
      <c r="BJ224" s="90"/>
      <c r="BK224" s="94"/>
      <c r="BL224" s="62"/>
      <c r="BM224" s="84"/>
      <c r="BN224" s="95"/>
      <c r="BO224" s="84"/>
      <c r="BP224" s="84"/>
      <c r="BQ224" s="96"/>
    </row>
    <row r="225">
      <c r="A225" s="50"/>
      <c r="B225" s="83"/>
      <c r="C225" s="83"/>
      <c r="D225" s="84"/>
      <c r="E225" s="85"/>
      <c r="F225" s="85"/>
      <c r="G225" s="85"/>
      <c r="H225" s="86"/>
      <c r="I225" s="85"/>
      <c r="J225" s="87"/>
      <c r="K225" s="84"/>
      <c r="L225" s="84"/>
      <c r="M225" s="84"/>
      <c r="N225" s="55"/>
      <c r="O225" s="88"/>
      <c r="P225" s="88"/>
      <c r="Q225" s="88"/>
      <c r="R225" s="84"/>
      <c r="S225" s="84"/>
      <c r="T225" s="84"/>
      <c r="U225" s="84"/>
      <c r="V225" s="85"/>
      <c r="W225" s="84"/>
      <c r="X225" s="87"/>
      <c r="Y225" s="84"/>
      <c r="Z225" s="84"/>
      <c r="AA225" s="84"/>
      <c r="AB225" s="84"/>
      <c r="AC225" s="84"/>
      <c r="AD225" s="84"/>
      <c r="AE225" s="84"/>
      <c r="AF225" s="84"/>
      <c r="AG225" s="84"/>
      <c r="AH225" s="89"/>
      <c r="AI225" s="84"/>
      <c r="AJ225" s="84"/>
      <c r="AK225" s="84"/>
      <c r="AL225" s="89"/>
      <c r="AM225" s="89"/>
      <c r="AN225" s="55"/>
      <c r="AO225" s="84"/>
      <c r="AP225" s="60"/>
      <c r="AQ225" s="90"/>
      <c r="AR225" s="55"/>
      <c r="AS225" s="55"/>
      <c r="AT225" s="91"/>
      <c r="AU225" s="55"/>
      <c r="AV225" s="92"/>
      <c r="AW225" s="92"/>
      <c r="AX225" s="62"/>
      <c r="AY225" s="90"/>
      <c r="AZ225" s="93"/>
      <c r="BA225" s="93"/>
      <c r="BB225" s="93"/>
      <c r="BC225" s="55"/>
      <c r="BD225" s="88"/>
      <c r="BE225" s="88"/>
      <c r="BF225" s="88"/>
      <c r="BG225" s="87"/>
      <c r="BH225" s="84"/>
      <c r="BI225" s="84"/>
      <c r="BJ225" s="90"/>
      <c r="BK225" s="94"/>
      <c r="BL225" s="62"/>
      <c r="BM225" s="84"/>
      <c r="BN225" s="95"/>
      <c r="BO225" s="84"/>
      <c r="BP225" s="84"/>
      <c r="BQ225" s="96"/>
    </row>
    <row r="226">
      <c r="A226" s="50"/>
      <c r="B226" s="83"/>
      <c r="C226" s="83"/>
      <c r="D226" s="84"/>
      <c r="E226" s="85"/>
      <c r="F226" s="85"/>
      <c r="G226" s="85"/>
      <c r="H226" s="86"/>
      <c r="I226" s="85"/>
      <c r="J226" s="87"/>
      <c r="K226" s="84"/>
      <c r="L226" s="84"/>
      <c r="M226" s="84"/>
      <c r="N226" s="55"/>
      <c r="O226" s="88"/>
      <c r="P226" s="88"/>
      <c r="Q226" s="88"/>
      <c r="R226" s="84"/>
      <c r="S226" s="84"/>
      <c r="T226" s="84"/>
      <c r="U226" s="84"/>
      <c r="V226" s="85"/>
      <c r="W226" s="84"/>
      <c r="X226" s="87"/>
      <c r="Y226" s="84"/>
      <c r="Z226" s="84"/>
      <c r="AA226" s="84"/>
      <c r="AB226" s="84"/>
      <c r="AC226" s="84"/>
      <c r="AD226" s="84"/>
      <c r="AE226" s="84"/>
      <c r="AF226" s="84"/>
      <c r="AG226" s="84"/>
      <c r="AH226" s="89"/>
      <c r="AI226" s="84"/>
      <c r="AJ226" s="84"/>
      <c r="AK226" s="84"/>
      <c r="AL226" s="89"/>
      <c r="AM226" s="89"/>
      <c r="AN226" s="55"/>
      <c r="AO226" s="84"/>
      <c r="AP226" s="60"/>
      <c r="AQ226" s="90"/>
      <c r="AR226" s="55"/>
      <c r="AS226" s="55"/>
      <c r="AT226" s="91"/>
      <c r="AU226" s="55"/>
      <c r="AV226" s="92"/>
      <c r="AW226" s="92"/>
      <c r="AX226" s="62"/>
      <c r="AY226" s="90"/>
      <c r="AZ226" s="93"/>
      <c r="BA226" s="93"/>
      <c r="BB226" s="93"/>
      <c r="BC226" s="55"/>
      <c r="BD226" s="88"/>
      <c r="BE226" s="88"/>
      <c r="BF226" s="88"/>
      <c r="BG226" s="87"/>
      <c r="BH226" s="84"/>
      <c r="BI226" s="84"/>
      <c r="BJ226" s="90"/>
      <c r="BK226" s="94"/>
      <c r="BL226" s="62"/>
      <c r="BM226" s="84"/>
      <c r="BN226" s="95"/>
      <c r="BO226" s="84"/>
      <c r="BP226" s="84"/>
      <c r="BQ226" s="96"/>
    </row>
    <row r="227">
      <c r="A227" s="50"/>
      <c r="B227" s="83"/>
      <c r="C227" s="83"/>
      <c r="D227" s="84"/>
      <c r="E227" s="85"/>
      <c r="F227" s="85"/>
      <c r="G227" s="85"/>
      <c r="H227" s="86"/>
      <c r="I227" s="85"/>
      <c r="J227" s="87"/>
      <c r="K227" s="84"/>
      <c r="L227" s="84"/>
      <c r="M227" s="84"/>
      <c r="N227" s="55"/>
      <c r="O227" s="88"/>
      <c r="P227" s="88"/>
      <c r="Q227" s="88"/>
      <c r="R227" s="84"/>
      <c r="S227" s="84"/>
      <c r="T227" s="84"/>
      <c r="U227" s="84"/>
      <c r="V227" s="85"/>
      <c r="W227" s="84"/>
      <c r="X227" s="87"/>
      <c r="Y227" s="84"/>
      <c r="Z227" s="84"/>
      <c r="AA227" s="84"/>
      <c r="AB227" s="84"/>
      <c r="AC227" s="84"/>
      <c r="AD227" s="84"/>
      <c r="AE227" s="84"/>
      <c r="AF227" s="84"/>
      <c r="AG227" s="84"/>
      <c r="AH227" s="89"/>
      <c r="AI227" s="84"/>
      <c r="AJ227" s="84"/>
      <c r="AK227" s="84"/>
      <c r="AL227" s="89"/>
      <c r="AM227" s="89"/>
      <c r="AN227" s="55"/>
      <c r="AO227" s="84"/>
      <c r="AP227" s="60"/>
      <c r="AQ227" s="90"/>
      <c r="AR227" s="55"/>
      <c r="AS227" s="55"/>
      <c r="AT227" s="91"/>
      <c r="AU227" s="55"/>
      <c r="AV227" s="92"/>
      <c r="AW227" s="92"/>
      <c r="AX227" s="62"/>
      <c r="AY227" s="90"/>
      <c r="AZ227" s="93"/>
      <c r="BA227" s="93"/>
      <c r="BB227" s="93"/>
      <c r="BC227" s="55"/>
      <c r="BD227" s="88"/>
      <c r="BE227" s="88"/>
      <c r="BF227" s="88"/>
      <c r="BG227" s="87"/>
      <c r="BH227" s="84"/>
      <c r="BI227" s="84"/>
      <c r="BJ227" s="90"/>
      <c r="BK227" s="94"/>
      <c r="BL227" s="62"/>
      <c r="BM227" s="84"/>
      <c r="BN227" s="95"/>
      <c r="BO227" s="84"/>
      <c r="BP227" s="84"/>
      <c r="BQ227" s="96"/>
    </row>
    <row r="228">
      <c r="A228" s="50"/>
      <c r="B228" s="83"/>
      <c r="C228" s="83"/>
      <c r="D228" s="84"/>
      <c r="E228" s="85"/>
      <c r="F228" s="85"/>
      <c r="G228" s="85"/>
      <c r="H228" s="86"/>
      <c r="I228" s="85"/>
      <c r="J228" s="87"/>
      <c r="K228" s="84"/>
      <c r="L228" s="84"/>
      <c r="M228" s="84"/>
      <c r="N228" s="55"/>
      <c r="O228" s="88"/>
      <c r="P228" s="88"/>
      <c r="Q228" s="88"/>
      <c r="R228" s="84"/>
      <c r="S228" s="84"/>
      <c r="T228" s="84"/>
      <c r="U228" s="84"/>
      <c r="V228" s="85"/>
      <c r="W228" s="84"/>
      <c r="X228" s="87"/>
      <c r="Y228" s="84"/>
      <c r="Z228" s="84"/>
      <c r="AA228" s="84"/>
      <c r="AB228" s="84"/>
      <c r="AC228" s="84"/>
      <c r="AD228" s="84"/>
      <c r="AE228" s="84"/>
      <c r="AF228" s="84"/>
      <c r="AG228" s="84"/>
      <c r="AH228" s="89"/>
      <c r="AI228" s="84"/>
      <c r="AJ228" s="84"/>
      <c r="AK228" s="84"/>
      <c r="AL228" s="89"/>
      <c r="AM228" s="89"/>
      <c r="AN228" s="55"/>
      <c r="AO228" s="84"/>
      <c r="AP228" s="60"/>
      <c r="AQ228" s="90"/>
      <c r="AR228" s="55"/>
      <c r="AS228" s="55"/>
      <c r="AT228" s="91"/>
      <c r="AU228" s="55"/>
      <c r="AV228" s="92"/>
      <c r="AW228" s="92"/>
      <c r="AX228" s="62"/>
      <c r="AY228" s="90"/>
      <c r="AZ228" s="93"/>
      <c r="BA228" s="93"/>
      <c r="BB228" s="93"/>
      <c r="BC228" s="55"/>
      <c r="BD228" s="88"/>
      <c r="BE228" s="88"/>
      <c r="BF228" s="88"/>
      <c r="BG228" s="87"/>
      <c r="BH228" s="84"/>
      <c r="BI228" s="84"/>
      <c r="BJ228" s="90"/>
      <c r="BK228" s="94"/>
      <c r="BL228" s="62"/>
      <c r="BM228" s="84"/>
      <c r="BN228" s="95"/>
      <c r="BO228" s="84"/>
      <c r="BP228" s="84"/>
      <c r="BQ228" s="96"/>
    </row>
    <row r="229">
      <c r="A229" s="50"/>
      <c r="B229" s="83"/>
      <c r="C229" s="83"/>
      <c r="D229" s="84"/>
      <c r="E229" s="85"/>
      <c r="F229" s="85"/>
      <c r="G229" s="85"/>
      <c r="H229" s="86"/>
      <c r="I229" s="85"/>
      <c r="J229" s="87"/>
      <c r="K229" s="84"/>
      <c r="L229" s="84"/>
      <c r="M229" s="84"/>
      <c r="N229" s="55"/>
      <c r="O229" s="88"/>
      <c r="P229" s="88"/>
      <c r="Q229" s="88"/>
      <c r="R229" s="84"/>
      <c r="S229" s="84"/>
      <c r="T229" s="84"/>
      <c r="U229" s="84"/>
      <c r="V229" s="85"/>
      <c r="W229" s="84"/>
      <c r="X229" s="87"/>
      <c r="Y229" s="84"/>
      <c r="Z229" s="84"/>
      <c r="AA229" s="84"/>
      <c r="AB229" s="84"/>
      <c r="AC229" s="84"/>
      <c r="AD229" s="84"/>
      <c r="AE229" s="84"/>
      <c r="AF229" s="84"/>
      <c r="AG229" s="84"/>
      <c r="AH229" s="89"/>
      <c r="AI229" s="84"/>
      <c r="AJ229" s="84"/>
      <c r="AK229" s="84"/>
      <c r="AL229" s="89"/>
      <c r="AM229" s="89"/>
      <c r="AN229" s="55"/>
      <c r="AO229" s="84"/>
      <c r="AP229" s="60"/>
      <c r="AQ229" s="90"/>
      <c r="AR229" s="55"/>
      <c r="AS229" s="55"/>
      <c r="AT229" s="91"/>
      <c r="AU229" s="55"/>
      <c r="AV229" s="92"/>
      <c r="AW229" s="92"/>
      <c r="AX229" s="62"/>
      <c r="AY229" s="90"/>
      <c r="AZ229" s="93"/>
      <c r="BA229" s="93"/>
      <c r="BB229" s="93"/>
      <c r="BC229" s="55"/>
      <c r="BD229" s="88"/>
      <c r="BE229" s="88"/>
      <c r="BF229" s="88"/>
      <c r="BG229" s="87"/>
      <c r="BH229" s="84"/>
      <c r="BI229" s="84"/>
      <c r="BJ229" s="90"/>
      <c r="BK229" s="94"/>
      <c r="BL229" s="62"/>
      <c r="BM229" s="84"/>
      <c r="BN229" s="95"/>
      <c r="BO229" s="84"/>
      <c r="BP229" s="84"/>
      <c r="BQ229" s="96"/>
    </row>
    <row r="230">
      <c r="A230" s="50"/>
      <c r="B230" s="83"/>
      <c r="C230" s="83"/>
      <c r="D230" s="84"/>
      <c r="E230" s="85"/>
      <c r="F230" s="85"/>
      <c r="G230" s="85"/>
      <c r="H230" s="86"/>
      <c r="I230" s="85"/>
      <c r="J230" s="87"/>
      <c r="K230" s="84"/>
      <c r="L230" s="84"/>
      <c r="M230" s="84"/>
      <c r="N230" s="55"/>
      <c r="O230" s="88"/>
      <c r="P230" s="88"/>
      <c r="Q230" s="88"/>
      <c r="R230" s="84"/>
      <c r="S230" s="84"/>
      <c r="T230" s="84"/>
      <c r="U230" s="84"/>
      <c r="V230" s="85"/>
      <c r="W230" s="84"/>
      <c r="X230" s="87"/>
      <c r="Y230" s="84"/>
      <c r="Z230" s="84"/>
      <c r="AA230" s="84"/>
      <c r="AB230" s="84"/>
      <c r="AC230" s="84"/>
      <c r="AD230" s="84"/>
      <c r="AE230" s="84"/>
      <c r="AF230" s="84"/>
      <c r="AG230" s="84"/>
      <c r="AH230" s="89"/>
      <c r="AI230" s="84"/>
      <c r="AJ230" s="84"/>
      <c r="AK230" s="84"/>
      <c r="AL230" s="89"/>
      <c r="AM230" s="89"/>
      <c r="AN230" s="55"/>
      <c r="AO230" s="84"/>
      <c r="AP230" s="60"/>
      <c r="AQ230" s="90"/>
      <c r="AR230" s="55"/>
      <c r="AS230" s="55"/>
      <c r="AT230" s="91"/>
      <c r="AU230" s="55"/>
      <c r="AV230" s="92"/>
      <c r="AW230" s="92"/>
      <c r="AX230" s="62"/>
      <c r="AY230" s="90"/>
      <c r="AZ230" s="93"/>
      <c r="BA230" s="93"/>
      <c r="BB230" s="93"/>
      <c r="BC230" s="55"/>
      <c r="BD230" s="88"/>
      <c r="BE230" s="88"/>
      <c r="BF230" s="88"/>
      <c r="BG230" s="87"/>
      <c r="BH230" s="84"/>
      <c r="BI230" s="84"/>
      <c r="BJ230" s="90"/>
      <c r="BK230" s="94"/>
      <c r="BL230" s="62"/>
      <c r="BM230" s="84"/>
      <c r="BN230" s="95"/>
      <c r="BO230" s="84"/>
      <c r="BP230" s="84"/>
      <c r="BQ230" s="96"/>
    </row>
    <row r="231">
      <c r="A231" s="50"/>
      <c r="B231" s="83"/>
      <c r="C231" s="83"/>
      <c r="D231" s="84"/>
      <c r="E231" s="85"/>
      <c r="F231" s="85"/>
      <c r="G231" s="85"/>
      <c r="H231" s="86"/>
      <c r="I231" s="85"/>
      <c r="J231" s="87"/>
      <c r="K231" s="84"/>
      <c r="L231" s="84"/>
      <c r="M231" s="84"/>
      <c r="N231" s="55"/>
      <c r="O231" s="88"/>
      <c r="P231" s="88"/>
      <c r="Q231" s="88"/>
      <c r="R231" s="84"/>
      <c r="S231" s="84"/>
      <c r="T231" s="84"/>
      <c r="U231" s="84"/>
      <c r="V231" s="85"/>
      <c r="W231" s="84"/>
      <c r="X231" s="87"/>
      <c r="Y231" s="84"/>
      <c r="Z231" s="84"/>
      <c r="AA231" s="84"/>
      <c r="AB231" s="84"/>
      <c r="AC231" s="84"/>
      <c r="AD231" s="84"/>
      <c r="AE231" s="84"/>
      <c r="AF231" s="84"/>
      <c r="AG231" s="84"/>
      <c r="AH231" s="89"/>
      <c r="AI231" s="84"/>
      <c r="AJ231" s="84"/>
      <c r="AK231" s="84"/>
      <c r="AL231" s="89"/>
      <c r="AM231" s="89"/>
      <c r="AN231" s="55"/>
      <c r="AO231" s="84"/>
      <c r="AP231" s="60"/>
      <c r="AQ231" s="90"/>
      <c r="AR231" s="55"/>
      <c r="AS231" s="55"/>
      <c r="AT231" s="91"/>
      <c r="AU231" s="55"/>
      <c r="AV231" s="92"/>
      <c r="AW231" s="92"/>
      <c r="AX231" s="62"/>
      <c r="AY231" s="90"/>
      <c r="AZ231" s="93"/>
      <c r="BA231" s="93"/>
      <c r="BB231" s="93"/>
      <c r="BC231" s="55"/>
      <c r="BD231" s="88"/>
      <c r="BE231" s="88"/>
      <c r="BF231" s="88"/>
      <c r="BG231" s="87"/>
      <c r="BH231" s="84"/>
      <c r="BI231" s="84"/>
      <c r="BJ231" s="90"/>
      <c r="BK231" s="94"/>
      <c r="BL231" s="62"/>
      <c r="BM231" s="84"/>
      <c r="BN231" s="95"/>
      <c r="BO231" s="84"/>
      <c r="BP231" s="84"/>
      <c r="BQ231" s="96"/>
    </row>
    <row r="232">
      <c r="A232" s="50"/>
      <c r="B232" s="83"/>
      <c r="C232" s="83"/>
      <c r="D232" s="84"/>
      <c r="E232" s="85"/>
      <c r="F232" s="85"/>
      <c r="G232" s="85"/>
      <c r="H232" s="86"/>
      <c r="I232" s="85"/>
      <c r="J232" s="87"/>
      <c r="K232" s="84"/>
      <c r="L232" s="84"/>
      <c r="M232" s="84"/>
      <c r="N232" s="55"/>
      <c r="O232" s="88"/>
      <c r="P232" s="88"/>
      <c r="Q232" s="88"/>
      <c r="R232" s="84"/>
      <c r="S232" s="84"/>
      <c r="T232" s="84"/>
      <c r="U232" s="84"/>
      <c r="V232" s="85"/>
      <c r="W232" s="84"/>
      <c r="X232" s="87"/>
      <c r="Y232" s="84"/>
      <c r="Z232" s="84"/>
      <c r="AA232" s="84"/>
      <c r="AB232" s="84"/>
      <c r="AC232" s="84"/>
      <c r="AD232" s="84"/>
      <c r="AE232" s="84"/>
      <c r="AF232" s="84"/>
      <c r="AG232" s="84"/>
      <c r="AH232" s="89"/>
      <c r="AI232" s="84"/>
      <c r="AJ232" s="84"/>
      <c r="AK232" s="84"/>
      <c r="AL232" s="89"/>
      <c r="AM232" s="89"/>
      <c r="AN232" s="55"/>
      <c r="AO232" s="84"/>
      <c r="AP232" s="60"/>
      <c r="AQ232" s="90"/>
      <c r="AR232" s="55"/>
      <c r="AS232" s="55"/>
      <c r="AT232" s="91"/>
      <c r="AU232" s="55"/>
      <c r="AV232" s="92"/>
      <c r="AW232" s="92"/>
      <c r="AX232" s="62"/>
      <c r="AY232" s="90"/>
      <c r="AZ232" s="93"/>
      <c r="BA232" s="93"/>
      <c r="BB232" s="93"/>
      <c r="BC232" s="55"/>
      <c r="BD232" s="88"/>
      <c r="BE232" s="88"/>
      <c r="BF232" s="88"/>
      <c r="BG232" s="87"/>
      <c r="BH232" s="84"/>
      <c r="BI232" s="84"/>
      <c r="BJ232" s="90"/>
      <c r="BK232" s="94"/>
      <c r="BL232" s="62"/>
      <c r="BM232" s="84"/>
      <c r="BN232" s="95"/>
      <c r="BO232" s="84"/>
      <c r="BP232" s="84"/>
      <c r="BQ232" s="96"/>
    </row>
    <row r="233">
      <c r="A233" s="50"/>
      <c r="B233" s="83"/>
      <c r="C233" s="83"/>
      <c r="D233" s="84"/>
      <c r="E233" s="85"/>
      <c r="F233" s="85"/>
      <c r="G233" s="85"/>
      <c r="H233" s="86"/>
      <c r="I233" s="85"/>
      <c r="J233" s="87"/>
      <c r="K233" s="84"/>
      <c r="L233" s="84"/>
      <c r="M233" s="84"/>
      <c r="N233" s="55"/>
      <c r="O233" s="88"/>
      <c r="P233" s="88"/>
      <c r="Q233" s="88"/>
      <c r="R233" s="84"/>
      <c r="S233" s="84"/>
      <c r="T233" s="84"/>
      <c r="U233" s="84"/>
      <c r="V233" s="85"/>
      <c r="W233" s="84"/>
      <c r="X233" s="87"/>
      <c r="Y233" s="84"/>
      <c r="Z233" s="84"/>
      <c r="AA233" s="84"/>
      <c r="AB233" s="84"/>
      <c r="AC233" s="84"/>
      <c r="AD233" s="84"/>
      <c r="AE233" s="84"/>
      <c r="AF233" s="84"/>
      <c r="AG233" s="84"/>
      <c r="AH233" s="89"/>
      <c r="AI233" s="84"/>
      <c r="AJ233" s="84"/>
      <c r="AK233" s="84"/>
      <c r="AL233" s="89"/>
      <c r="AM233" s="89"/>
      <c r="AN233" s="55"/>
      <c r="AO233" s="84"/>
      <c r="AP233" s="60"/>
      <c r="AQ233" s="90"/>
      <c r="AR233" s="55"/>
      <c r="AS233" s="55"/>
      <c r="AT233" s="91"/>
      <c r="AU233" s="55"/>
      <c r="AV233" s="92"/>
      <c r="AW233" s="92"/>
      <c r="AX233" s="62"/>
      <c r="AY233" s="90"/>
      <c r="AZ233" s="93"/>
      <c r="BA233" s="93"/>
      <c r="BB233" s="93"/>
      <c r="BC233" s="55"/>
      <c r="BD233" s="88"/>
      <c r="BE233" s="88"/>
      <c r="BF233" s="88"/>
      <c r="BG233" s="87"/>
      <c r="BH233" s="84"/>
      <c r="BI233" s="84"/>
      <c r="BJ233" s="90"/>
      <c r="BK233" s="94"/>
      <c r="BL233" s="62"/>
      <c r="BM233" s="84"/>
      <c r="BN233" s="95"/>
      <c r="BO233" s="84"/>
      <c r="BP233" s="84"/>
      <c r="BQ233" s="96"/>
    </row>
    <row r="234">
      <c r="A234" s="50"/>
      <c r="B234" s="83"/>
      <c r="C234" s="83"/>
      <c r="D234" s="84"/>
      <c r="E234" s="85"/>
      <c r="F234" s="85"/>
      <c r="G234" s="85"/>
      <c r="H234" s="86"/>
      <c r="I234" s="85"/>
      <c r="J234" s="87"/>
      <c r="K234" s="84"/>
      <c r="L234" s="84"/>
      <c r="M234" s="84"/>
      <c r="N234" s="55"/>
      <c r="O234" s="88"/>
      <c r="P234" s="88"/>
      <c r="Q234" s="88"/>
      <c r="R234" s="84"/>
      <c r="S234" s="84"/>
      <c r="T234" s="84"/>
      <c r="U234" s="84"/>
      <c r="V234" s="85"/>
      <c r="W234" s="84"/>
      <c r="X234" s="87"/>
      <c r="Y234" s="84"/>
      <c r="Z234" s="84"/>
      <c r="AA234" s="84"/>
      <c r="AB234" s="84"/>
      <c r="AC234" s="84"/>
      <c r="AD234" s="84"/>
      <c r="AE234" s="84"/>
      <c r="AF234" s="84"/>
      <c r="AG234" s="84"/>
      <c r="AH234" s="89"/>
      <c r="AI234" s="84"/>
      <c r="AJ234" s="84"/>
      <c r="AK234" s="84"/>
      <c r="AL234" s="89"/>
      <c r="AM234" s="89"/>
      <c r="AN234" s="55"/>
      <c r="AO234" s="84"/>
      <c r="AP234" s="60"/>
      <c r="AQ234" s="90"/>
      <c r="AR234" s="55"/>
      <c r="AS234" s="55"/>
      <c r="AT234" s="91"/>
      <c r="AU234" s="55"/>
      <c r="AV234" s="92"/>
      <c r="AW234" s="92"/>
      <c r="AX234" s="62"/>
      <c r="AY234" s="90"/>
      <c r="AZ234" s="93"/>
      <c r="BA234" s="93"/>
      <c r="BB234" s="93"/>
      <c r="BC234" s="55"/>
      <c r="BD234" s="88"/>
      <c r="BE234" s="88"/>
      <c r="BF234" s="88"/>
      <c r="BG234" s="87"/>
      <c r="BH234" s="84"/>
      <c r="BI234" s="84"/>
      <c r="BJ234" s="90"/>
      <c r="BK234" s="94"/>
      <c r="BL234" s="62"/>
      <c r="BM234" s="84"/>
      <c r="BN234" s="95"/>
      <c r="BO234" s="84"/>
      <c r="BP234" s="84"/>
      <c r="BQ234" s="96"/>
    </row>
    <row r="235">
      <c r="A235" s="50"/>
      <c r="B235" s="83"/>
      <c r="C235" s="83"/>
      <c r="D235" s="84"/>
      <c r="E235" s="85"/>
      <c r="F235" s="85"/>
      <c r="G235" s="85"/>
      <c r="H235" s="86"/>
      <c r="I235" s="85"/>
      <c r="J235" s="87"/>
      <c r="K235" s="84"/>
      <c r="L235" s="84"/>
      <c r="M235" s="84"/>
      <c r="N235" s="55"/>
      <c r="O235" s="88"/>
      <c r="P235" s="88"/>
      <c r="Q235" s="88"/>
      <c r="R235" s="84"/>
      <c r="S235" s="84"/>
      <c r="T235" s="84"/>
      <c r="U235" s="84"/>
      <c r="V235" s="85"/>
      <c r="W235" s="84"/>
      <c r="X235" s="87"/>
      <c r="Y235" s="84"/>
      <c r="Z235" s="84"/>
      <c r="AA235" s="84"/>
      <c r="AB235" s="84"/>
      <c r="AC235" s="84"/>
      <c r="AD235" s="84"/>
      <c r="AE235" s="84"/>
      <c r="AF235" s="84"/>
      <c r="AG235" s="84"/>
      <c r="AH235" s="89"/>
      <c r="AI235" s="84"/>
      <c r="AJ235" s="84"/>
      <c r="AK235" s="84"/>
      <c r="AL235" s="89"/>
      <c r="AM235" s="89"/>
      <c r="AN235" s="55"/>
      <c r="AO235" s="84"/>
      <c r="AP235" s="60"/>
      <c r="AQ235" s="90"/>
      <c r="AR235" s="55"/>
      <c r="AS235" s="55"/>
      <c r="AT235" s="91"/>
      <c r="AU235" s="55"/>
      <c r="AV235" s="92"/>
      <c r="AW235" s="92"/>
      <c r="AX235" s="62"/>
      <c r="AY235" s="90"/>
      <c r="AZ235" s="93"/>
      <c r="BA235" s="93"/>
      <c r="BB235" s="93"/>
      <c r="BC235" s="55"/>
      <c r="BD235" s="88"/>
      <c r="BE235" s="88"/>
      <c r="BF235" s="88"/>
      <c r="BG235" s="87"/>
      <c r="BH235" s="84"/>
      <c r="BI235" s="84"/>
      <c r="BJ235" s="90"/>
      <c r="BK235" s="94"/>
      <c r="BL235" s="62"/>
      <c r="BM235" s="84"/>
      <c r="BN235" s="95"/>
      <c r="BO235" s="84"/>
      <c r="BP235" s="84"/>
      <c r="BQ235" s="96"/>
    </row>
    <row r="236">
      <c r="A236" s="50"/>
      <c r="B236" s="83"/>
      <c r="C236" s="83"/>
      <c r="D236" s="84"/>
      <c r="E236" s="85"/>
      <c r="F236" s="85"/>
      <c r="G236" s="85"/>
      <c r="H236" s="86"/>
      <c r="I236" s="85"/>
      <c r="J236" s="87"/>
      <c r="K236" s="84"/>
      <c r="L236" s="84"/>
      <c r="M236" s="84"/>
      <c r="N236" s="55"/>
      <c r="O236" s="88"/>
      <c r="P236" s="88"/>
      <c r="Q236" s="88"/>
      <c r="R236" s="84"/>
      <c r="S236" s="84"/>
      <c r="T236" s="84"/>
      <c r="U236" s="84"/>
      <c r="V236" s="85"/>
      <c r="W236" s="84"/>
      <c r="X236" s="87"/>
      <c r="Y236" s="84"/>
      <c r="Z236" s="84"/>
      <c r="AA236" s="84"/>
      <c r="AB236" s="84"/>
      <c r="AC236" s="84"/>
      <c r="AD236" s="84"/>
      <c r="AE236" s="84"/>
      <c r="AF236" s="84"/>
      <c r="AG236" s="84"/>
      <c r="AH236" s="89"/>
      <c r="AI236" s="84"/>
      <c r="AJ236" s="84"/>
      <c r="AK236" s="84"/>
      <c r="AL236" s="89"/>
      <c r="AM236" s="89"/>
      <c r="AN236" s="55"/>
      <c r="AO236" s="84"/>
      <c r="AP236" s="60"/>
      <c r="AQ236" s="90"/>
      <c r="AR236" s="55"/>
      <c r="AS236" s="55"/>
      <c r="AT236" s="91"/>
      <c r="AU236" s="55"/>
      <c r="AV236" s="92"/>
      <c r="AW236" s="92"/>
      <c r="AX236" s="62"/>
      <c r="AY236" s="90"/>
      <c r="AZ236" s="93"/>
      <c r="BA236" s="93"/>
      <c r="BB236" s="93"/>
      <c r="BC236" s="55"/>
      <c r="BD236" s="88"/>
      <c r="BE236" s="88"/>
      <c r="BF236" s="88"/>
      <c r="BG236" s="87"/>
      <c r="BH236" s="84"/>
      <c r="BI236" s="84"/>
      <c r="BJ236" s="90"/>
      <c r="BK236" s="94"/>
      <c r="BL236" s="62"/>
      <c r="BM236" s="84"/>
      <c r="BN236" s="95"/>
      <c r="BO236" s="84"/>
      <c r="BP236" s="84"/>
      <c r="BQ236" s="96"/>
    </row>
    <row r="237">
      <c r="A237" s="50"/>
      <c r="B237" s="83"/>
      <c r="C237" s="83"/>
      <c r="D237" s="84"/>
      <c r="E237" s="85"/>
      <c r="F237" s="85"/>
      <c r="G237" s="85"/>
      <c r="H237" s="86"/>
      <c r="I237" s="85"/>
      <c r="J237" s="87"/>
      <c r="K237" s="84"/>
      <c r="L237" s="84"/>
      <c r="M237" s="84"/>
      <c r="N237" s="55"/>
      <c r="O237" s="88"/>
      <c r="P237" s="88"/>
      <c r="Q237" s="88"/>
      <c r="R237" s="84"/>
      <c r="S237" s="84"/>
      <c r="T237" s="84"/>
      <c r="U237" s="84"/>
      <c r="V237" s="85"/>
      <c r="W237" s="84"/>
      <c r="X237" s="87"/>
      <c r="Y237" s="84"/>
      <c r="Z237" s="84"/>
      <c r="AA237" s="84"/>
      <c r="AB237" s="84"/>
      <c r="AC237" s="84"/>
      <c r="AD237" s="84"/>
      <c r="AE237" s="84"/>
      <c r="AF237" s="84"/>
      <c r="AG237" s="84"/>
      <c r="AH237" s="89"/>
      <c r="AI237" s="84"/>
      <c r="AJ237" s="84"/>
      <c r="AK237" s="84"/>
      <c r="AL237" s="89"/>
      <c r="AM237" s="89"/>
      <c r="AN237" s="55"/>
      <c r="AO237" s="84"/>
      <c r="AP237" s="60"/>
      <c r="AQ237" s="90"/>
      <c r="AR237" s="55"/>
      <c r="AS237" s="55"/>
      <c r="AT237" s="91"/>
      <c r="AU237" s="55"/>
      <c r="AV237" s="92"/>
      <c r="AW237" s="92"/>
      <c r="AX237" s="62"/>
      <c r="AY237" s="90"/>
      <c r="AZ237" s="93"/>
      <c r="BA237" s="93"/>
      <c r="BB237" s="93"/>
      <c r="BC237" s="55"/>
      <c r="BD237" s="88"/>
      <c r="BE237" s="88"/>
      <c r="BF237" s="88"/>
      <c r="BG237" s="87"/>
      <c r="BH237" s="84"/>
      <c r="BI237" s="84"/>
      <c r="BJ237" s="90"/>
      <c r="BK237" s="94"/>
      <c r="BL237" s="62"/>
      <c r="BM237" s="84"/>
      <c r="BN237" s="95"/>
      <c r="BO237" s="84"/>
      <c r="BP237" s="84"/>
      <c r="BQ237" s="96"/>
    </row>
    <row r="238">
      <c r="A238" s="50"/>
      <c r="B238" s="83"/>
      <c r="C238" s="83"/>
      <c r="D238" s="84"/>
      <c r="E238" s="85"/>
      <c r="F238" s="85"/>
      <c r="G238" s="85"/>
      <c r="H238" s="86"/>
      <c r="I238" s="85"/>
      <c r="J238" s="87"/>
      <c r="K238" s="84"/>
      <c r="L238" s="84"/>
      <c r="M238" s="84"/>
      <c r="N238" s="55"/>
      <c r="O238" s="88"/>
      <c r="P238" s="88"/>
      <c r="Q238" s="88"/>
      <c r="R238" s="84"/>
      <c r="S238" s="84"/>
      <c r="T238" s="84"/>
      <c r="U238" s="84"/>
      <c r="V238" s="85"/>
      <c r="W238" s="84"/>
      <c r="X238" s="87"/>
      <c r="Y238" s="84"/>
      <c r="Z238" s="84"/>
      <c r="AA238" s="84"/>
      <c r="AB238" s="84"/>
      <c r="AC238" s="84"/>
      <c r="AD238" s="84"/>
      <c r="AE238" s="84"/>
      <c r="AF238" s="84"/>
      <c r="AG238" s="84"/>
      <c r="AH238" s="89"/>
      <c r="AI238" s="84"/>
      <c r="AJ238" s="84"/>
      <c r="AK238" s="84"/>
      <c r="AL238" s="89"/>
      <c r="AM238" s="89"/>
      <c r="AN238" s="55"/>
      <c r="AO238" s="84"/>
      <c r="AP238" s="60"/>
      <c r="AQ238" s="90"/>
      <c r="AR238" s="55"/>
      <c r="AS238" s="55"/>
      <c r="AT238" s="91"/>
      <c r="AU238" s="55"/>
      <c r="AV238" s="92"/>
      <c r="AW238" s="92"/>
      <c r="AX238" s="62"/>
      <c r="AY238" s="90"/>
      <c r="AZ238" s="93"/>
      <c r="BA238" s="93"/>
      <c r="BB238" s="93"/>
      <c r="BC238" s="55"/>
      <c r="BD238" s="88"/>
      <c r="BE238" s="88"/>
      <c r="BF238" s="88"/>
      <c r="BG238" s="87"/>
      <c r="BH238" s="84"/>
      <c r="BI238" s="84"/>
      <c r="BJ238" s="90"/>
      <c r="BK238" s="94"/>
      <c r="BL238" s="62"/>
      <c r="BM238" s="84"/>
      <c r="BN238" s="95"/>
      <c r="BO238" s="84"/>
      <c r="BP238" s="84"/>
      <c r="BQ238" s="96"/>
    </row>
    <row r="239">
      <c r="A239" s="50"/>
      <c r="B239" s="83"/>
      <c r="C239" s="83"/>
      <c r="D239" s="84"/>
      <c r="E239" s="85"/>
      <c r="F239" s="85"/>
      <c r="G239" s="85"/>
      <c r="H239" s="86"/>
      <c r="I239" s="85"/>
      <c r="J239" s="87"/>
      <c r="K239" s="84"/>
      <c r="L239" s="84"/>
      <c r="M239" s="84"/>
      <c r="N239" s="55"/>
      <c r="O239" s="88"/>
      <c r="P239" s="88"/>
      <c r="Q239" s="88"/>
      <c r="R239" s="84"/>
      <c r="S239" s="84"/>
      <c r="T239" s="84"/>
      <c r="U239" s="84"/>
      <c r="V239" s="85"/>
      <c r="W239" s="84"/>
      <c r="X239" s="87"/>
      <c r="Y239" s="84"/>
      <c r="Z239" s="84"/>
      <c r="AA239" s="84"/>
      <c r="AB239" s="84"/>
      <c r="AC239" s="84"/>
      <c r="AD239" s="84"/>
      <c r="AE239" s="84"/>
      <c r="AF239" s="84"/>
      <c r="AG239" s="84"/>
      <c r="AH239" s="89"/>
      <c r="AI239" s="84"/>
      <c r="AJ239" s="84"/>
      <c r="AK239" s="84"/>
      <c r="AL239" s="89"/>
      <c r="AM239" s="89"/>
      <c r="AN239" s="55"/>
      <c r="AO239" s="84"/>
      <c r="AP239" s="60"/>
      <c r="AQ239" s="90"/>
      <c r="AR239" s="55"/>
      <c r="AS239" s="55"/>
      <c r="AT239" s="91"/>
      <c r="AU239" s="55"/>
      <c r="AV239" s="92"/>
      <c r="AW239" s="92"/>
      <c r="AX239" s="62"/>
      <c r="AY239" s="90"/>
      <c r="AZ239" s="93"/>
      <c r="BA239" s="93"/>
      <c r="BB239" s="93"/>
      <c r="BC239" s="55"/>
      <c r="BD239" s="88"/>
      <c r="BE239" s="88"/>
      <c r="BF239" s="88"/>
      <c r="BG239" s="87"/>
      <c r="BH239" s="84"/>
      <c r="BI239" s="84"/>
      <c r="BJ239" s="90"/>
      <c r="BK239" s="94"/>
      <c r="BL239" s="62"/>
      <c r="BM239" s="84"/>
      <c r="BN239" s="95"/>
      <c r="BO239" s="84"/>
      <c r="BP239" s="84"/>
      <c r="BQ239" s="96"/>
    </row>
    <row r="240">
      <c r="A240" s="50"/>
      <c r="B240" s="83"/>
      <c r="C240" s="83"/>
      <c r="D240" s="84"/>
      <c r="E240" s="85"/>
      <c r="F240" s="85"/>
      <c r="G240" s="85"/>
      <c r="H240" s="86"/>
      <c r="I240" s="85"/>
      <c r="J240" s="87"/>
      <c r="K240" s="84"/>
      <c r="L240" s="84"/>
      <c r="M240" s="84"/>
      <c r="N240" s="55"/>
      <c r="O240" s="88"/>
      <c r="P240" s="88"/>
      <c r="Q240" s="88"/>
      <c r="R240" s="84"/>
      <c r="S240" s="84"/>
      <c r="T240" s="84"/>
      <c r="U240" s="84"/>
      <c r="V240" s="85"/>
      <c r="W240" s="84"/>
      <c r="X240" s="87"/>
      <c r="Y240" s="84"/>
      <c r="Z240" s="84"/>
      <c r="AA240" s="84"/>
      <c r="AB240" s="84"/>
      <c r="AC240" s="84"/>
      <c r="AD240" s="84"/>
      <c r="AE240" s="84"/>
      <c r="AF240" s="84"/>
      <c r="AG240" s="84"/>
      <c r="AH240" s="89"/>
      <c r="AI240" s="84"/>
      <c r="AJ240" s="84"/>
      <c r="AK240" s="84"/>
      <c r="AL240" s="89"/>
      <c r="AM240" s="89"/>
      <c r="AN240" s="55"/>
      <c r="AO240" s="84"/>
      <c r="AP240" s="60"/>
      <c r="AQ240" s="90"/>
      <c r="AR240" s="55"/>
      <c r="AS240" s="55"/>
      <c r="AT240" s="91"/>
      <c r="AU240" s="55"/>
      <c r="AV240" s="92"/>
      <c r="AW240" s="92"/>
      <c r="AX240" s="62"/>
      <c r="AY240" s="90"/>
      <c r="AZ240" s="93"/>
      <c r="BA240" s="93"/>
      <c r="BB240" s="93"/>
      <c r="BC240" s="55"/>
      <c r="BD240" s="88"/>
      <c r="BE240" s="88"/>
      <c r="BF240" s="88"/>
      <c r="BG240" s="87"/>
      <c r="BH240" s="84"/>
      <c r="BI240" s="84"/>
      <c r="BJ240" s="90"/>
      <c r="BK240" s="94"/>
      <c r="BL240" s="62"/>
      <c r="BM240" s="84"/>
      <c r="BN240" s="95"/>
      <c r="BO240" s="84"/>
      <c r="BP240" s="84"/>
      <c r="BQ240" s="96"/>
    </row>
    <row r="241">
      <c r="A241" s="50"/>
      <c r="B241" s="83"/>
      <c r="C241" s="83"/>
      <c r="D241" s="84"/>
      <c r="E241" s="85"/>
      <c r="F241" s="85"/>
      <c r="G241" s="85"/>
      <c r="H241" s="86"/>
      <c r="I241" s="85"/>
      <c r="J241" s="87"/>
      <c r="K241" s="84"/>
      <c r="L241" s="84"/>
      <c r="M241" s="84"/>
      <c r="N241" s="55"/>
      <c r="O241" s="88"/>
      <c r="P241" s="88"/>
      <c r="Q241" s="88"/>
      <c r="R241" s="84"/>
      <c r="S241" s="84"/>
      <c r="T241" s="84"/>
      <c r="U241" s="84"/>
      <c r="V241" s="85"/>
      <c r="W241" s="84"/>
      <c r="X241" s="87"/>
      <c r="Y241" s="84"/>
      <c r="Z241" s="84"/>
      <c r="AA241" s="84"/>
      <c r="AB241" s="84"/>
      <c r="AC241" s="84"/>
      <c r="AD241" s="84"/>
      <c r="AE241" s="84"/>
      <c r="AF241" s="84"/>
      <c r="AG241" s="84"/>
      <c r="AH241" s="89"/>
      <c r="AI241" s="84"/>
      <c r="AJ241" s="84"/>
      <c r="AK241" s="84"/>
      <c r="AL241" s="89"/>
      <c r="AM241" s="89"/>
      <c r="AN241" s="55"/>
      <c r="AO241" s="84"/>
      <c r="AP241" s="60"/>
      <c r="AQ241" s="90"/>
      <c r="AR241" s="55"/>
      <c r="AS241" s="55"/>
      <c r="AT241" s="91"/>
      <c r="AU241" s="55"/>
      <c r="AV241" s="92"/>
      <c r="AW241" s="92"/>
      <c r="AX241" s="62"/>
      <c r="AY241" s="90"/>
      <c r="AZ241" s="93"/>
      <c r="BA241" s="93"/>
      <c r="BB241" s="93"/>
      <c r="BC241" s="55"/>
      <c r="BD241" s="88"/>
      <c r="BE241" s="88"/>
      <c r="BF241" s="88"/>
      <c r="BG241" s="87"/>
      <c r="BH241" s="84"/>
      <c r="BI241" s="84"/>
      <c r="BJ241" s="90"/>
      <c r="BK241" s="94"/>
      <c r="BL241" s="62"/>
      <c r="BM241" s="84"/>
      <c r="BN241" s="95"/>
      <c r="BO241" s="84"/>
      <c r="BP241" s="84"/>
      <c r="BQ241" s="96"/>
    </row>
    <row r="242">
      <c r="A242" s="50"/>
      <c r="B242" s="83"/>
      <c r="C242" s="83"/>
      <c r="D242" s="84"/>
      <c r="E242" s="85"/>
      <c r="F242" s="85"/>
      <c r="G242" s="85"/>
      <c r="H242" s="86"/>
      <c r="I242" s="85"/>
      <c r="J242" s="87"/>
      <c r="K242" s="84"/>
      <c r="L242" s="84"/>
      <c r="M242" s="84"/>
      <c r="N242" s="55"/>
      <c r="O242" s="88"/>
      <c r="P242" s="88"/>
      <c r="Q242" s="88"/>
      <c r="R242" s="84"/>
      <c r="S242" s="84"/>
      <c r="T242" s="84"/>
      <c r="U242" s="84"/>
      <c r="V242" s="85"/>
      <c r="W242" s="84"/>
      <c r="X242" s="87"/>
      <c r="Y242" s="84"/>
      <c r="Z242" s="84"/>
      <c r="AA242" s="84"/>
      <c r="AB242" s="84"/>
      <c r="AC242" s="84"/>
      <c r="AD242" s="84"/>
      <c r="AE242" s="84"/>
      <c r="AF242" s="84"/>
      <c r="AG242" s="84"/>
      <c r="AH242" s="89"/>
      <c r="AI242" s="84"/>
      <c r="AJ242" s="84"/>
      <c r="AK242" s="84"/>
      <c r="AL242" s="89"/>
      <c r="AM242" s="89"/>
      <c r="AN242" s="55"/>
      <c r="AO242" s="84"/>
      <c r="AP242" s="60"/>
      <c r="AQ242" s="90"/>
      <c r="AR242" s="55"/>
      <c r="AS242" s="55"/>
      <c r="AT242" s="91"/>
      <c r="AU242" s="55"/>
      <c r="AV242" s="92"/>
      <c r="AW242" s="92"/>
      <c r="AX242" s="62"/>
      <c r="AY242" s="90"/>
      <c r="AZ242" s="93"/>
      <c r="BA242" s="93"/>
      <c r="BB242" s="93"/>
      <c r="BC242" s="55"/>
      <c r="BD242" s="88"/>
      <c r="BE242" s="88"/>
      <c r="BF242" s="88"/>
      <c r="BG242" s="87"/>
      <c r="BH242" s="84"/>
      <c r="BI242" s="84"/>
      <c r="BJ242" s="90"/>
      <c r="BK242" s="94"/>
      <c r="BL242" s="62"/>
      <c r="BM242" s="84"/>
      <c r="BN242" s="95"/>
      <c r="BO242" s="84"/>
      <c r="BP242" s="84"/>
      <c r="BQ242" s="96"/>
    </row>
    <row r="243">
      <c r="A243" s="50"/>
      <c r="B243" s="83"/>
      <c r="C243" s="83"/>
      <c r="D243" s="84"/>
      <c r="E243" s="85"/>
      <c r="F243" s="85"/>
      <c r="G243" s="85"/>
      <c r="H243" s="86"/>
      <c r="I243" s="85"/>
      <c r="J243" s="87"/>
      <c r="K243" s="84"/>
      <c r="L243" s="84"/>
      <c r="M243" s="84"/>
      <c r="N243" s="55"/>
      <c r="O243" s="88"/>
      <c r="P243" s="88"/>
      <c r="Q243" s="88"/>
      <c r="R243" s="84"/>
      <c r="S243" s="84"/>
      <c r="T243" s="84"/>
      <c r="U243" s="84"/>
      <c r="V243" s="85"/>
      <c r="W243" s="84"/>
      <c r="X243" s="87"/>
      <c r="Y243" s="84"/>
      <c r="Z243" s="84"/>
      <c r="AA243" s="84"/>
      <c r="AB243" s="84"/>
      <c r="AC243" s="84"/>
      <c r="AD243" s="84"/>
      <c r="AE243" s="84"/>
      <c r="AF243" s="84"/>
      <c r="AG243" s="84"/>
      <c r="AH243" s="89"/>
      <c r="AI243" s="84"/>
      <c r="AJ243" s="84"/>
      <c r="AK243" s="84"/>
      <c r="AL243" s="89"/>
      <c r="AM243" s="89"/>
      <c r="AN243" s="55"/>
      <c r="AO243" s="84"/>
      <c r="AP243" s="60"/>
      <c r="AQ243" s="90"/>
      <c r="AR243" s="55"/>
      <c r="AS243" s="55"/>
      <c r="AT243" s="91"/>
      <c r="AU243" s="55"/>
      <c r="AV243" s="92"/>
      <c r="AW243" s="92"/>
      <c r="AX243" s="62"/>
      <c r="AY243" s="90"/>
      <c r="AZ243" s="93"/>
      <c r="BA243" s="93"/>
      <c r="BB243" s="93"/>
      <c r="BC243" s="55"/>
      <c r="BD243" s="88"/>
      <c r="BE243" s="88"/>
      <c r="BF243" s="88"/>
      <c r="BG243" s="87"/>
      <c r="BH243" s="84"/>
      <c r="BI243" s="84"/>
      <c r="BJ243" s="90"/>
      <c r="BK243" s="94"/>
      <c r="BL243" s="62"/>
      <c r="BM243" s="84"/>
      <c r="BN243" s="95"/>
      <c r="BO243" s="84"/>
      <c r="BP243" s="84"/>
      <c r="BQ243" s="96"/>
    </row>
    <row r="244">
      <c r="A244" s="50"/>
      <c r="B244" s="83"/>
      <c r="C244" s="83"/>
      <c r="D244" s="84"/>
      <c r="E244" s="85"/>
      <c r="F244" s="85"/>
      <c r="G244" s="85"/>
      <c r="H244" s="86"/>
      <c r="I244" s="85"/>
      <c r="J244" s="87"/>
      <c r="K244" s="84"/>
      <c r="L244" s="84"/>
      <c r="M244" s="84"/>
      <c r="N244" s="55"/>
      <c r="O244" s="88"/>
      <c r="P244" s="88"/>
      <c r="Q244" s="88"/>
      <c r="R244" s="84"/>
      <c r="S244" s="84"/>
      <c r="T244" s="84"/>
      <c r="U244" s="84"/>
      <c r="V244" s="85"/>
      <c r="W244" s="84"/>
      <c r="X244" s="87"/>
      <c r="Y244" s="84"/>
      <c r="Z244" s="84"/>
      <c r="AA244" s="84"/>
      <c r="AB244" s="84"/>
      <c r="AC244" s="84"/>
      <c r="AD244" s="84"/>
      <c r="AE244" s="84"/>
      <c r="AF244" s="84"/>
      <c r="AG244" s="84"/>
      <c r="AH244" s="89"/>
      <c r="AI244" s="84"/>
      <c r="AJ244" s="84"/>
      <c r="AK244" s="84"/>
      <c r="AL244" s="89"/>
      <c r="AM244" s="89"/>
      <c r="AN244" s="55"/>
      <c r="AO244" s="84"/>
      <c r="AP244" s="60"/>
      <c r="AQ244" s="90"/>
      <c r="AR244" s="55"/>
      <c r="AS244" s="55"/>
      <c r="AT244" s="91"/>
      <c r="AU244" s="55"/>
      <c r="AV244" s="92"/>
      <c r="AW244" s="92"/>
      <c r="AX244" s="62"/>
      <c r="AY244" s="90"/>
      <c r="AZ244" s="93"/>
      <c r="BA244" s="93"/>
      <c r="BB244" s="93"/>
      <c r="BC244" s="55"/>
      <c r="BD244" s="88"/>
      <c r="BE244" s="88"/>
      <c r="BF244" s="88"/>
      <c r="BG244" s="87"/>
      <c r="BH244" s="84"/>
      <c r="BI244" s="84"/>
      <c r="BJ244" s="90"/>
      <c r="BK244" s="94"/>
      <c r="BL244" s="62"/>
      <c r="BM244" s="84"/>
      <c r="BN244" s="95"/>
      <c r="BO244" s="84"/>
      <c r="BP244" s="84"/>
      <c r="BQ244" s="96"/>
    </row>
    <row r="245">
      <c r="A245" s="50"/>
      <c r="B245" s="83"/>
      <c r="C245" s="83"/>
      <c r="D245" s="84"/>
      <c r="E245" s="85"/>
      <c r="F245" s="85"/>
      <c r="G245" s="85"/>
      <c r="H245" s="86"/>
      <c r="I245" s="85"/>
      <c r="J245" s="87"/>
      <c r="K245" s="84"/>
      <c r="L245" s="84"/>
      <c r="M245" s="84"/>
      <c r="N245" s="55"/>
      <c r="O245" s="88"/>
      <c r="P245" s="88"/>
      <c r="Q245" s="88"/>
      <c r="R245" s="84"/>
      <c r="S245" s="84"/>
      <c r="T245" s="84"/>
      <c r="U245" s="84"/>
      <c r="V245" s="85"/>
      <c r="W245" s="84"/>
      <c r="X245" s="87"/>
      <c r="Y245" s="84"/>
      <c r="Z245" s="84"/>
      <c r="AA245" s="84"/>
      <c r="AB245" s="84"/>
      <c r="AC245" s="84"/>
      <c r="AD245" s="84"/>
      <c r="AE245" s="84"/>
      <c r="AF245" s="84"/>
      <c r="AG245" s="84"/>
      <c r="AH245" s="89"/>
      <c r="AI245" s="84"/>
      <c r="AJ245" s="84"/>
      <c r="AK245" s="84"/>
      <c r="AL245" s="89"/>
      <c r="AM245" s="89"/>
      <c r="AN245" s="55"/>
      <c r="AO245" s="84"/>
      <c r="AP245" s="60"/>
      <c r="AQ245" s="90"/>
      <c r="AR245" s="55"/>
      <c r="AS245" s="55"/>
      <c r="AT245" s="91"/>
      <c r="AU245" s="55"/>
      <c r="AV245" s="92"/>
      <c r="AW245" s="92"/>
      <c r="AX245" s="62"/>
      <c r="AY245" s="90"/>
      <c r="AZ245" s="93"/>
      <c r="BA245" s="93"/>
      <c r="BB245" s="93"/>
      <c r="BC245" s="55"/>
      <c r="BD245" s="88"/>
      <c r="BE245" s="88"/>
      <c r="BF245" s="88"/>
      <c r="BG245" s="87"/>
      <c r="BH245" s="84"/>
      <c r="BI245" s="84"/>
      <c r="BJ245" s="90"/>
      <c r="BK245" s="94"/>
      <c r="BL245" s="62"/>
      <c r="BM245" s="84"/>
      <c r="BN245" s="95"/>
      <c r="BO245" s="84"/>
      <c r="BP245" s="84"/>
      <c r="BQ245" s="96"/>
    </row>
    <row r="246">
      <c r="A246" s="50"/>
      <c r="B246" s="83"/>
      <c r="C246" s="83"/>
      <c r="D246" s="84"/>
      <c r="E246" s="85"/>
      <c r="F246" s="85"/>
      <c r="G246" s="85"/>
      <c r="H246" s="86"/>
      <c r="I246" s="85"/>
      <c r="J246" s="87"/>
      <c r="K246" s="84"/>
      <c r="L246" s="84"/>
      <c r="M246" s="84"/>
      <c r="N246" s="55"/>
      <c r="O246" s="88"/>
      <c r="P246" s="88"/>
      <c r="Q246" s="88"/>
      <c r="R246" s="84"/>
      <c r="S246" s="84"/>
      <c r="T246" s="84"/>
      <c r="U246" s="84"/>
      <c r="V246" s="85"/>
      <c r="W246" s="84"/>
      <c r="X246" s="87"/>
      <c r="Y246" s="84"/>
      <c r="Z246" s="84"/>
      <c r="AA246" s="84"/>
      <c r="AB246" s="84"/>
      <c r="AC246" s="84"/>
      <c r="AD246" s="84"/>
      <c r="AE246" s="84"/>
      <c r="AF246" s="84"/>
      <c r="AG246" s="84"/>
      <c r="AH246" s="89"/>
      <c r="AI246" s="84"/>
      <c r="AJ246" s="84"/>
      <c r="AK246" s="84"/>
      <c r="AL246" s="89"/>
      <c r="AM246" s="89"/>
      <c r="AN246" s="55"/>
      <c r="AO246" s="84"/>
      <c r="AP246" s="60"/>
      <c r="AQ246" s="90"/>
      <c r="AR246" s="55"/>
      <c r="AS246" s="55"/>
      <c r="AT246" s="91"/>
      <c r="AU246" s="55"/>
      <c r="AV246" s="92"/>
      <c r="AW246" s="92"/>
      <c r="AX246" s="62"/>
      <c r="AY246" s="90"/>
      <c r="AZ246" s="93"/>
      <c r="BA246" s="93"/>
      <c r="BB246" s="93"/>
      <c r="BC246" s="55"/>
      <c r="BD246" s="88"/>
      <c r="BE246" s="88"/>
      <c r="BF246" s="88"/>
      <c r="BG246" s="87"/>
      <c r="BH246" s="84"/>
      <c r="BI246" s="84"/>
      <c r="BJ246" s="90"/>
      <c r="BK246" s="94"/>
      <c r="BL246" s="62"/>
      <c r="BM246" s="84"/>
      <c r="BN246" s="95"/>
      <c r="BO246" s="84"/>
      <c r="BP246" s="84"/>
      <c r="BQ246" s="96"/>
    </row>
    <row r="247">
      <c r="A247" s="50"/>
      <c r="B247" s="83"/>
      <c r="C247" s="83"/>
      <c r="D247" s="84"/>
      <c r="E247" s="85"/>
      <c r="F247" s="85"/>
      <c r="G247" s="85"/>
      <c r="H247" s="86"/>
      <c r="I247" s="85"/>
      <c r="J247" s="87"/>
      <c r="K247" s="84"/>
      <c r="L247" s="84"/>
      <c r="M247" s="84"/>
      <c r="N247" s="55"/>
      <c r="O247" s="88"/>
      <c r="P247" s="88"/>
      <c r="Q247" s="88"/>
      <c r="R247" s="84"/>
      <c r="S247" s="84"/>
      <c r="T247" s="84"/>
      <c r="U247" s="84"/>
      <c r="V247" s="85"/>
      <c r="W247" s="84"/>
      <c r="X247" s="87"/>
      <c r="Y247" s="84"/>
      <c r="Z247" s="84"/>
      <c r="AA247" s="84"/>
      <c r="AB247" s="84"/>
      <c r="AC247" s="84"/>
      <c r="AD247" s="84"/>
      <c r="AE247" s="84"/>
      <c r="AF247" s="84"/>
      <c r="AG247" s="84"/>
      <c r="AH247" s="89"/>
      <c r="AI247" s="84"/>
      <c r="AJ247" s="84"/>
      <c r="AK247" s="84"/>
      <c r="AL247" s="89"/>
      <c r="AM247" s="89"/>
      <c r="AN247" s="55"/>
      <c r="AO247" s="84"/>
      <c r="AP247" s="60"/>
      <c r="AQ247" s="90"/>
      <c r="AR247" s="55"/>
      <c r="AS247" s="55"/>
      <c r="AT247" s="91"/>
      <c r="AU247" s="55"/>
      <c r="AV247" s="92"/>
      <c r="AW247" s="92"/>
      <c r="AX247" s="62"/>
      <c r="AY247" s="90"/>
      <c r="AZ247" s="93"/>
      <c r="BA247" s="93"/>
      <c r="BB247" s="93"/>
      <c r="BC247" s="55"/>
      <c r="BD247" s="88"/>
      <c r="BE247" s="88"/>
      <c r="BF247" s="88"/>
      <c r="BG247" s="87"/>
      <c r="BH247" s="84"/>
      <c r="BI247" s="84"/>
      <c r="BJ247" s="90"/>
      <c r="BK247" s="94"/>
      <c r="BL247" s="62"/>
      <c r="BM247" s="84"/>
      <c r="BN247" s="95"/>
      <c r="BO247" s="84"/>
      <c r="BP247" s="84"/>
      <c r="BQ247" s="96"/>
    </row>
    <row r="248">
      <c r="A248" s="50"/>
      <c r="B248" s="83"/>
      <c r="C248" s="83"/>
      <c r="D248" s="84"/>
      <c r="E248" s="85"/>
      <c r="F248" s="85"/>
      <c r="G248" s="85"/>
      <c r="H248" s="86"/>
      <c r="I248" s="85"/>
      <c r="J248" s="87"/>
      <c r="K248" s="84"/>
      <c r="L248" s="84"/>
      <c r="M248" s="84"/>
      <c r="N248" s="55"/>
      <c r="O248" s="88"/>
      <c r="P248" s="88"/>
      <c r="Q248" s="88"/>
      <c r="R248" s="84"/>
      <c r="S248" s="84"/>
      <c r="T248" s="84"/>
      <c r="U248" s="84"/>
      <c r="V248" s="85"/>
      <c r="W248" s="84"/>
      <c r="X248" s="87"/>
      <c r="Y248" s="84"/>
      <c r="Z248" s="84"/>
      <c r="AA248" s="84"/>
      <c r="AB248" s="84"/>
      <c r="AC248" s="84"/>
      <c r="AD248" s="84"/>
      <c r="AE248" s="84"/>
      <c r="AF248" s="84"/>
      <c r="AG248" s="84"/>
      <c r="AH248" s="89"/>
      <c r="AI248" s="84"/>
      <c r="AJ248" s="84"/>
      <c r="AK248" s="84"/>
      <c r="AL248" s="89"/>
      <c r="AM248" s="89"/>
      <c r="AN248" s="55"/>
      <c r="AO248" s="84"/>
      <c r="AP248" s="60"/>
      <c r="AQ248" s="90"/>
      <c r="AR248" s="55"/>
      <c r="AS248" s="55"/>
      <c r="AT248" s="91"/>
      <c r="AU248" s="55"/>
      <c r="AV248" s="92"/>
      <c r="AW248" s="92"/>
      <c r="AX248" s="62"/>
      <c r="AY248" s="90"/>
      <c r="AZ248" s="93"/>
      <c r="BA248" s="93"/>
      <c r="BB248" s="93"/>
      <c r="BC248" s="55"/>
      <c r="BD248" s="88"/>
      <c r="BE248" s="88"/>
      <c r="BF248" s="88"/>
      <c r="BG248" s="87"/>
      <c r="BH248" s="84"/>
      <c r="BI248" s="84"/>
      <c r="BJ248" s="90"/>
      <c r="BK248" s="94"/>
      <c r="BL248" s="62"/>
      <c r="BM248" s="84"/>
      <c r="BN248" s="95"/>
      <c r="BO248" s="84"/>
      <c r="BP248" s="84"/>
      <c r="BQ248" s="96"/>
    </row>
    <row r="249">
      <c r="A249" s="50"/>
      <c r="B249" s="83"/>
      <c r="C249" s="83"/>
      <c r="D249" s="84"/>
      <c r="E249" s="85"/>
      <c r="F249" s="85"/>
      <c r="G249" s="85"/>
      <c r="H249" s="86"/>
      <c r="I249" s="85"/>
      <c r="J249" s="87"/>
      <c r="K249" s="84"/>
      <c r="L249" s="84"/>
      <c r="M249" s="84"/>
      <c r="N249" s="55"/>
      <c r="O249" s="88"/>
      <c r="P249" s="88"/>
      <c r="Q249" s="88"/>
      <c r="R249" s="84"/>
      <c r="S249" s="84"/>
      <c r="T249" s="84"/>
      <c r="U249" s="84"/>
      <c r="V249" s="85"/>
      <c r="W249" s="84"/>
      <c r="X249" s="87"/>
      <c r="Y249" s="84"/>
      <c r="Z249" s="84"/>
      <c r="AA249" s="84"/>
      <c r="AB249" s="84"/>
      <c r="AC249" s="84"/>
      <c r="AD249" s="84"/>
      <c r="AE249" s="84"/>
      <c r="AF249" s="84"/>
      <c r="AG249" s="84"/>
      <c r="AH249" s="89"/>
      <c r="AI249" s="84"/>
      <c r="AJ249" s="84"/>
      <c r="AK249" s="84"/>
      <c r="AL249" s="89"/>
      <c r="AM249" s="89"/>
      <c r="AN249" s="55"/>
      <c r="AO249" s="84"/>
      <c r="AP249" s="60"/>
      <c r="AQ249" s="90"/>
      <c r="AR249" s="55"/>
      <c r="AS249" s="55"/>
      <c r="AT249" s="91"/>
      <c r="AU249" s="55"/>
      <c r="AV249" s="92"/>
      <c r="AW249" s="92"/>
      <c r="AX249" s="62"/>
      <c r="AY249" s="90"/>
      <c r="AZ249" s="93"/>
      <c r="BA249" s="93"/>
      <c r="BB249" s="93"/>
      <c r="BC249" s="55"/>
      <c r="BD249" s="88"/>
      <c r="BE249" s="88"/>
      <c r="BF249" s="88"/>
      <c r="BG249" s="87"/>
      <c r="BH249" s="84"/>
      <c r="BI249" s="84"/>
      <c r="BJ249" s="90"/>
      <c r="BK249" s="94"/>
      <c r="BL249" s="62"/>
      <c r="BM249" s="84"/>
      <c r="BN249" s="95"/>
      <c r="BO249" s="84"/>
      <c r="BP249" s="84"/>
      <c r="BQ249" s="96"/>
    </row>
    <row r="250">
      <c r="A250" s="50"/>
      <c r="B250" s="83"/>
      <c r="C250" s="83"/>
      <c r="D250" s="84"/>
      <c r="E250" s="85"/>
      <c r="F250" s="85"/>
      <c r="G250" s="85"/>
      <c r="H250" s="86"/>
      <c r="I250" s="85"/>
      <c r="J250" s="87"/>
      <c r="K250" s="84"/>
      <c r="L250" s="84"/>
      <c r="M250" s="84"/>
      <c r="N250" s="55"/>
      <c r="O250" s="88"/>
      <c r="P250" s="88"/>
      <c r="Q250" s="88"/>
      <c r="R250" s="84"/>
      <c r="S250" s="84"/>
      <c r="T250" s="84"/>
      <c r="U250" s="84"/>
      <c r="V250" s="85"/>
      <c r="W250" s="84"/>
      <c r="X250" s="87"/>
      <c r="Y250" s="84"/>
      <c r="Z250" s="84"/>
      <c r="AA250" s="84"/>
      <c r="AB250" s="84"/>
      <c r="AC250" s="84"/>
      <c r="AD250" s="84"/>
      <c r="AE250" s="84"/>
      <c r="AF250" s="84"/>
      <c r="AG250" s="84"/>
      <c r="AH250" s="89"/>
      <c r="AI250" s="84"/>
      <c r="AJ250" s="84"/>
      <c r="AK250" s="84"/>
      <c r="AL250" s="89"/>
      <c r="AM250" s="89"/>
      <c r="AN250" s="55"/>
      <c r="AO250" s="84"/>
      <c r="AP250" s="60"/>
      <c r="AQ250" s="90"/>
      <c r="AR250" s="55"/>
      <c r="AS250" s="55"/>
      <c r="AT250" s="91"/>
      <c r="AU250" s="55"/>
      <c r="AV250" s="92"/>
      <c r="AW250" s="92"/>
      <c r="AX250" s="62"/>
      <c r="AY250" s="90"/>
      <c r="AZ250" s="93"/>
      <c r="BA250" s="93"/>
      <c r="BB250" s="93"/>
      <c r="BC250" s="55"/>
      <c r="BD250" s="88"/>
      <c r="BE250" s="88"/>
      <c r="BF250" s="88"/>
      <c r="BG250" s="87"/>
      <c r="BH250" s="84"/>
      <c r="BI250" s="84"/>
      <c r="BJ250" s="90"/>
      <c r="BK250" s="94"/>
      <c r="BL250" s="62"/>
      <c r="BM250" s="84"/>
      <c r="BN250" s="95"/>
      <c r="BO250" s="84"/>
      <c r="BP250" s="84"/>
      <c r="BQ250" s="96"/>
    </row>
    <row r="251">
      <c r="A251" s="50"/>
      <c r="B251" s="83"/>
      <c r="C251" s="83"/>
      <c r="D251" s="84"/>
      <c r="E251" s="85"/>
      <c r="F251" s="85"/>
      <c r="G251" s="85"/>
      <c r="H251" s="86"/>
      <c r="I251" s="85"/>
      <c r="J251" s="87"/>
      <c r="K251" s="84"/>
      <c r="L251" s="84"/>
      <c r="M251" s="84"/>
      <c r="N251" s="55"/>
      <c r="O251" s="88"/>
      <c r="P251" s="88"/>
      <c r="Q251" s="88"/>
      <c r="R251" s="84"/>
      <c r="S251" s="84"/>
      <c r="T251" s="84"/>
      <c r="U251" s="84"/>
      <c r="V251" s="85"/>
      <c r="W251" s="84"/>
      <c r="X251" s="87"/>
      <c r="Y251" s="84"/>
      <c r="Z251" s="84"/>
      <c r="AA251" s="84"/>
      <c r="AB251" s="84"/>
      <c r="AC251" s="84"/>
      <c r="AD251" s="84"/>
      <c r="AE251" s="84"/>
      <c r="AF251" s="84"/>
      <c r="AG251" s="84"/>
      <c r="AH251" s="89"/>
      <c r="AI251" s="84"/>
      <c r="AJ251" s="84"/>
      <c r="AK251" s="84"/>
      <c r="AL251" s="89"/>
      <c r="AM251" s="89"/>
      <c r="AN251" s="55"/>
      <c r="AO251" s="84"/>
      <c r="AP251" s="60"/>
      <c r="AQ251" s="90"/>
      <c r="AR251" s="55"/>
      <c r="AS251" s="55"/>
      <c r="AT251" s="91"/>
      <c r="AU251" s="55"/>
      <c r="AV251" s="92"/>
      <c r="AW251" s="92"/>
      <c r="AX251" s="62"/>
      <c r="AY251" s="90"/>
      <c r="AZ251" s="93"/>
      <c r="BA251" s="93"/>
      <c r="BB251" s="93"/>
      <c r="BC251" s="55"/>
      <c r="BD251" s="88"/>
      <c r="BE251" s="88"/>
      <c r="BF251" s="88"/>
      <c r="BG251" s="87"/>
      <c r="BH251" s="84"/>
      <c r="BI251" s="84"/>
      <c r="BJ251" s="90"/>
      <c r="BK251" s="94"/>
      <c r="BL251" s="62"/>
      <c r="BM251" s="84"/>
      <c r="BN251" s="95"/>
      <c r="BO251" s="84"/>
      <c r="BP251" s="84"/>
      <c r="BQ251" s="96"/>
    </row>
    <row r="252">
      <c r="A252" s="50"/>
      <c r="B252" s="83"/>
      <c r="C252" s="83"/>
      <c r="D252" s="84"/>
      <c r="E252" s="85"/>
      <c r="F252" s="85"/>
      <c r="G252" s="85"/>
      <c r="H252" s="86"/>
      <c r="I252" s="85"/>
      <c r="J252" s="87"/>
      <c r="K252" s="84"/>
      <c r="L252" s="84"/>
      <c r="M252" s="84"/>
      <c r="N252" s="55"/>
      <c r="O252" s="88"/>
      <c r="P252" s="88"/>
      <c r="Q252" s="88"/>
      <c r="R252" s="84"/>
      <c r="S252" s="84"/>
      <c r="T252" s="84"/>
      <c r="U252" s="84"/>
      <c r="V252" s="85"/>
      <c r="W252" s="84"/>
      <c r="X252" s="87"/>
      <c r="Y252" s="84"/>
      <c r="Z252" s="84"/>
      <c r="AA252" s="84"/>
      <c r="AB252" s="84"/>
      <c r="AC252" s="84"/>
      <c r="AD252" s="84"/>
      <c r="AE252" s="84"/>
      <c r="AF252" s="84"/>
      <c r="AG252" s="84"/>
      <c r="AH252" s="89"/>
      <c r="AI252" s="84"/>
      <c r="AJ252" s="84"/>
      <c r="AK252" s="84"/>
      <c r="AL252" s="89"/>
      <c r="AM252" s="89"/>
      <c r="AN252" s="55"/>
      <c r="AO252" s="84"/>
      <c r="AP252" s="60"/>
      <c r="AQ252" s="90"/>
      <c r="AR252" s="55"/>
      <c r="AS252" s="55"/>
      <c r="AT252" s="91"/>
      <c r="AU252" s="55"/>
      <c r="AV252" s="92"/>
      <c r="AW252" s="92"/>
      <c r="AX252" s="62"/>
      <c r="AY252" s="90"/>
      <c r="AZ252" s="93"/>
      <c r="BA252" s="93"/>
      <c r="BB252" s="93"/>
      <c r="BC252" s="55"/>
      <c r="BD252" s="88"/>
      <c r="BE252" s="88"/>
      <c r="BF252" s="88"/>
      <c r="BG252" s="87"/>
      <c r="BH252" s="84"/>
      <c r="BI252" s="84"/>
      <c r="BJ252" s="90"/>
      <c r="BK252" s="94"/>
      <c r="BL252" s="62"/>
      <c r="BM252" s="84"/>
      <c r="BN252" s="95"/>
      <c r="BO252" s="84"/>
      <c r="BP252" s="84"/>
      <c r="BQ252" s="96"/>
    </row>
    <row r="253">
      <c r="A253" s="50"/>
      <c r="B253" s="83"/>
      <c r="C253" s="83"/>
      <c r="D253" s="84"/>
      <c r="E253" s="85"/>
      <c r="F253" s="85"/>
      <c r="G253" s="85"/>
      <c r="H253" s="86"/>
      <c r="I253" s="85"/>
      <c r="J253" s="87"/>
      <c r="K253" s="84"/>
      <c r="L253" s="84"/>
      <c r="M253" s="84"/>
      <c r="N253" s="55"/>
      <c r="O253" s="88"/>
      <c r="P253" s="88"/>
      <c r="Q253" s="88"/>
      <c r="R253" s="84"/>
      <c r="S253" s="84"/>
      <c r="T253" s="84"/>
      <c r="U253" s="84"/>
      <c r="V253" s="85"/>
      <c r="W253" s="84"/>
      <c r="X253" s="87"/>
      <c r="Y253" s="84"/>
      <c r="Z253" s="84"/>
      <c r="AA253" s="84"/>
      <c r="AB253" s="84"/>
      <c r="AC253" s="84"/>
      <c r="AD253" s="84"/>
      <c r="AE253" s="84"/>
      <c r="AF253" s="84"/>
      <c r="AG253" s="84"/>
      <c r="AH253" s="89"/>
      <c r="AI253" s="84"/>
      <c r="AJ253" s="84"/>
      <c r="AK253" s="84"/>
      <c r="AL253" s="89"/>
      <c r="AM253" s="89"/>
      <c r="AN253" s="55"/>
      <c r="AO253" s="84"/>
      <c r="AP253" s="60"/>
      <c r="AQ253" s="90"/>
      <c r="AR253" s="55"/>
      <c r="AS253" s="55"/>
      <c r="AT253" s="91"/>
      <c r="AU253" s="55"/>
      <c r="AV253" s="92"/>
      <c r="AW253" s="92"/>
      <c r="AX253" s="62"/>
      <c r="AY253" s="90"/>
      <c r="AZ253" s="93"/>
      <c r="BA253" s="93"/>
      <c r="BB253" s="93"/>
      <c r="BC253" s="55"/>
      <c r="BD253" s="88"/>
      <c r="BE253" s="88"/>
      <c r="BF253" s="88"/>
      <c r="BG253" s="87"/>
      <c r="BH253" s="84"/>
      <c r="BI253" s="84"/>
      <c r="BJ253" s="90"/>
      <c r="BK253" s="94"/>
      <c r="BL253" s="62"/>
      <c r="BM253" s="84"/>
      <c r="BN253" s="95"/>
      <c r="BO253" s="84"/>
      <c r="BP253" s="84"/>
      <c r="BQ253" s="96"/>
    </row>
    <row r="254">
      <c r="A254" s="50"/>
      <c r="B254" s="83"/>
      <c r="C254" s="83"/>
      <c r="D254" s="84"/>
      <c r="E254" s="85"/>
      <c r="F254" s="85"/>
      <c r="G254" s="85"/>
      <c r="H254" s="86"/>
      <c r="I254" s="85"/>
      <c r="J254" s="87"/>
      <c r="K254" s="84"/>
      <c r="L254" s="84"/>
      <c r="M254" s="84"/>
      <c r="N254" s="55"/>
      <c r="O254" s="88"/>
      <c r="P254" s="88"/>
      <c r="Q254" s="88"/>
      <c r="R254" s="84"/>
      <c r="S254" s="84"/>
      <c r="T254" s="84"/>
      <c r="U254" s="84"/>
      <c r="V254" s="85"/>
      <c r="W254" s="84"/>
      <c r="X254" s="87"/>
      <c r="Y254" s="84"/>
      <c r="Z254" s="84"/>
      <c r="AA254" s="84"/>
      <c r="AB254" s="84"/>
      <c r="AC254" s="84"/>
      <c r="AD254" s="84"/>
      <c r="AE254" s="84"/>
      <c r="AF254" s="84"/>
      <c r="AG254" s="84"/>
      <c r="AH254" s="89"/>
      <c r="AI254" s="84"/>
      <c r="AJ254" s="84"/>
      <c r="AK254" s="84"/>
      <c r="AL254" s="89"/>
      <c r="AM254" s="89"/>
      <c r="AN254" s="55"/>
      <c r="AO254" s="84"/>
      <c r="AP254" s="60"/>
      <c r="AQ254" s="90"/>
      <c r="AR254" s="55"/>
      <c r="AS254" s="55"/>
      <c r="AT254" s="91"/>
      <c r="AU254" s="55"/>
      <c r="AV254" s="92"/>
      <c r="AW254" s="92"/>
      <c r="AX254" s="62"/>
      <c r="AY254" s="90"/>
      <c r="AZ254" s="93"/>
      <c r="BA254" s="93"/>
      <c r="BB254" s="93"/>
      <c r="BC254" s="55"/>
      <c r="BD254" s="88"/>
      <c r="BE254" s="88"/>
      <c r="BF254" s="88"/>
      <c r="BG254" s="87"/>
      <c r="BH254" s="84"/>
      <c r="BI254" s="84"/>
      <c r="BJ254" s="90"/>
      <c r="BK254" s="94"/>
      <c r="BL254" s="62"/>
      <c r="BM254" s="84"/>
      <c r="BN254" s="95"/>
      <c r="BO254" s="84"/>
      <c r="BP254" s="84"/>
      <c r="BQ254" s="96"/>
    </row>
    <row r="255">
      <c r="A255" s="50"/>
      <c r="B255" s="83"/>
      <c r="C255" s="83"/>
      <c r="D255" s="84"/>
      <c r="E255" s="85"/>
      <c r="F255" s="85"/>
      <c r="G255" s="85"/>
      <c r="H255" s="86"/>
      <c r="I255" s="85"/>
      <c r="J255" s="87"/>
      <c r="K255" s="84"/>
      <c r="L255" s="84"/>
      <c r="M255" s="84"/>
      <c r="N255" s="55"/>
      <c r="O255" s="88"/>
      <c r="P255" s="88"/>
      <c r="Q255" s="88"/>
      <c r="R255" s="84"/>
      <c r="S255" s="84"/>
      <c r="T255" s="84"/>
      <c r="U255" s="84"/>
      <c r="V255" s="85"/>
      <c r="W255" s="84"/>
      <c r="X255" s="87"/>
      <c r="Y255" s="84"/>
      <c r="Z255" s="84"/>
      <c r="AA255" s="84"/>
      <c r="AB255" s="84"/>
      <c r="AC255" s="84"/>
      <c r="AD255" s="84"/>
      <c r="AE255" s="84"/>
      <c r="AF255" s="84"/>
      <c r="AG255" s="84"/>
      <c r="AH255" s="89"/>
      <c r="AI255" s="84"/>
      <c r="AJ255" s="84"/>
      <c r="AK255" s="84"/>
      <c r="AL255" s="89"/>
      <c r="AM255" s="89"/>
      <c r="AN255" s="55"/>
      <c r="AO255" s="84"/>
      <c r="AP255" s="60"/>
      <c r="AQ255" s="90"/>
      <c r="AR255" s="55"/>
      <c r="AS255" s="55"/>
      <c r="AT255" s="91"/>
      <c r="AU255" s="55"/>
      <c r="AV255" s="92"/>
      <c r="AW255" s="92"/>
      <c r="AX255" s="62"/>
      <c r="AY255" s="90"/>
      <c r="AZ255" s="93"/>
      <c r="BA255" s="93"/>
      <c r="BB255" s="93"/>
      <c r="BC255" s="55"/>
      <c r="BD255" s="88"/>
      <c r="BE255" s="88"/>
      <c r="BF255" s="88"/>
      <c r="BG255" s="87"/>
      <c r="BH255" s="84"/>
      <c r="BI255" s="84"/>
      <c r="BJ255" s="90"/>
      <c r="BK255" s="94"/>
      <c r="BL255" s="62"/>
      <c r="BM255" s="84"/>
      <c r="BN255" s="95"/>
      <c r="BO255" s="84"/>
      <c r="BP255" s="84"/>
      <c r="BQ255" s="96"/>
    </row>
    <row r="256">
      <c r="A256" s="50"/>
      <c r="B256" s="83"/>
      <c r="C256" s="83"/>
      <c r="D256" s="84"/>
      <c r="E256" s="85"/>
      <c r="F256" s="85"/>
      <c r="G256" s="85"/>
      <c r="H256" s="86"/>
      <c r="I256" s="85"/>
      <c r="J256" s="87"/>
      <c r="K256" s="84"/>
      <c r="L256" s="84"/>
      <c r="M256" s="84"/>
      <c r="N256" s="55"/>
      <c r="O256" s="88"/>
      <c r="P256" s="88"/>
      <c r="Q256" s="88"/>
      <c r="R256" s="84"/>
      <c r="S256" s="84"/>
      <c r="T256" s="84"/>
      <c r="U256" s="84"/>
      <c r="V256" s="85"/>
      <c r="W256" s="84"/>
      <c r="X256" s="87"/>
      <c r="Y256" s="84"/>
      <c r="Z256" s="84"/>
      <c r="AA256" s="84"/>
      <c r="AB256" s="84"/>
      <c r="AC256" s="84"/>
      <c r="AD256" s="84"/>
      <c r="AE256" s="84"/>
      <c r="AF256" s="84"/>
      <c r="AG256" s="84"/>
      <c r="AH256" s="89"/>
      <c r="AI256" s="84"/>
      <c r="AJ256" s="84"/>
      <c r="AK256" s="84"/>
      <c r="AL256" s="89"/>
      <c r="AM256" s="89"/>
      <c r="AN256" s="55"/>
      <c r="AO256" s="84"/>
      <c r="AP256" s="60"/>
      <c r="AQ256" s="90"/>
      <c r="AR256" s="55"/>
      <c r="AS256" s="55"/>
      <c r="AT256" s="91"/>
      <c r="AU256" s="55"/>
      <c r="AV256" s="92"/>
      <c r="AW256" s="92"/>
      <c r="AX256" s="62"/>
      <c r="AY256" s="90"/>
      <c r="AZ256" s="93"/>
      <c r="BA256" s="93"/>
      <c r="BB256" s="93"/>
      <c r="BC256" s="55"/>
      <c r="BD256" s="88"/>
      <c r="BE256" s="88"/>
      <c r="BF256" s="88"/>
      <c r="BG256" s="87"/>
      <c r="BH256" s="84"/>
      <c r="BI256" s="84"/>
      <c r="BJ256" s="90"/>
      <c r="BK256" s="94"/>
      <c r="BL256" s="62"/>
      <c r="BM256" s="84"/>
      <c r="BN256" s="95"/>
      <c r="BO256" s="84"/>
      <c r="BP256" s="84"/>
      <c r="BQ256" s="96"/>
    </row>
    <row r="257">
      <c r="A257" s="50"/>
      <c r="B257" s="83"/>
      <c r="C257" s="83"/>
      <c r="D257" s="84"/>
      <c r="E257" s="85"/>
      <c r="F257" s="85"/>
      <c r="G257" s="85"/>
      <c r="H257" s="86"/>
      <c r="I257" s="85"/>
      <c r="J257" s="87"/>
      <c r="K257" s="84"/>
      <c r="L257" s="84"/>
      <c r="M257" s="84"/>
      <c r="N257" s="55"/>
      <c r="O257" s="88"/>
      <c r="P257" s="88"/>
      <c r="Q257" s="88"/>
      <c r="R257" s="84"/>
      <c r="S257" s="84"/>
      <c r="T257" s="84"/>
      <c r="U257" s="84"/>
      <c r="V257" s="85"/>
      <c r="W257" s="84"/>
      <c r="X257" s="87"/>
      <c r="Y257" s="84"/>
      <c r="Z257" s="84"/>
      <c r="AA257" s="84"/>
      <c r="AB257" s="84"/>
      <c r="AC257" s="84"/>
      <c r="AD257" s="84"/>
      <c r="AE257" s="84"/>
      <c r="AF257" s="84"/>
      <c r="AG257" s="84"/>
      <c r="AH257" s="89"/>
      <c r="AI257" s="84"/>
      <c r="AJ257" s="84"/>
      <c r="AK257" s="84"/>
      <c r="AL257" s="89"/>
      <c r="AM257" s="89"/>
      <c r="AN257" s="55"/>
      <c r="AO257" s="84"/>
      <c r="AP257" s="60"/>
      <c r="AQ257" s="90"/>
      <c r="AR257" s="55"/>
      <c r="AS257" s="55"/>
      <c r="AT257" s="91"/>
      <c r="AU257" s="55"/>
      <c r="AV257" s="92"/>
      <c r="AW257" s="92"/>
      <c r="AX257" s="62"/>
      <c r="AY257" s="90"/>
      <c r="AZ257" s="93"/>
      <c r="BA257" s="93"/>
      <c r="BB257" s="93"/>
      <c r="BC257" s="55"/>
      <c r="BD257" s="88"/>
      <c r="BE257" s="88"/>
      <c r="BF257" s="88"/>
      <c r="BG257" s="87"/>
      <c r="BH257" s="84"/>
      <c r="BI257" s="84"/>
      <c r="BJ257" s="90"/>
      <c r="BK257" s="94"/>
      <c r="BL257" s="62"/>
      <c r="BM257" s="84"/>
      <c r="BN257" s="95"/>
      <c r="BO257" s="84"/>
      <c r="BP257" s="84"/>
      <c r="BQ257" s="96"/>
    </row>
    <row r="258">
      <c r="A258" s="50"/>
      <c r="B258" s="83"/>
      <c r="C258" s="83"/>
      <c r="D258" s="84"/>
      <c r="E258" s="85"/>
      <c r="F258" s="85"/>
      <c r="G258" s="85"/>
      <c r="H258" s="86"/>
      <c r="I258" s="85"/>
      <c r="J258" s="87"/>
      <c r="K258" s="84"/>
      <c r="L258" s="84"/>
      <c r="M258" s="84"/>
      <c r="N258" s="55"/>
      <c r="O258" s="88"/>
      <c r="P258" s="88"/>
      <c r="Q258" s="88"/>
      <c r="R258" s="84"/>
      <c r="S258" s="84"/>
      <c r="T258" s="84"/>
      <c r="U258" s="84"/>
      <c r="V258" s="85"/>
      <c r="W258" s="84"/>
      <c r="X258" s="87"/>
      <c r="Y258" s="84"/>
      <c r="Z258" s="84"/>
      <c r="AA258" s="84"/>
      <c r="AB258" s="84"/>
      <c r="AC258" s="84"/>
      <c r="AD258" s="84"/>
      <c r="AE258" s="84"/>
      <c r="AF258" s="84"/>
      <c r="AG258" s="84"/>
      <c r="AH258" s="89"/>
      <c r="AI258" s="84"/>
      <c r="AJ258" s="84"/>
      <c r="AK258" s="84"/>
      <c r="AL258" s="89"/>
      <c r="AM258" s="89"/>
      <c r="AN258" s="55"/>
      <c r="AO258" s="84"/>
      <c r="AP258" s="60"/>
      <c r="AQ258" s="90"/>
      <c r="AR258" s="55"/>
      <c r="AS258" s="55"/>
      <c r="AT258" s="91"/>
      <c r="AU258" s="55"/>
      <c r="AV258" s="92"/>
      <c r="AW258" s="92"/>
      <c r="AX258" s="62"/>
      <c r="AY258" s="90"/>
      <c r="AZ258" s="93"/>
      <c r="BA258" s="93"/>
      <c r="BB258" s="93"/>
      <c r="BC258" s="55"/>
      <c r="BD258" s="88"/>
      <c r="BE258" s="88"/>
      <c r="BF258" s="88"/>
      <c r="BG258" s="87"/>
      <c r="BH258" s="84"/>
      <c r="BI258" s="84"/>
      <c r="BJ258" s="90"/>
      <c r="BK258" s="94"/>
      <c r="BL258" s="62"/>
      <c r="BM258" s="84"/>
      <c r="BN258" s="95"/>
      <c r="BO258" s="84"/>
      <c r="BP258" s="84"/>
      <c r="BQ258" s="96"/>
    </row>
    <row r="259">
      <c r="A259" s="50"/>
      <c r="B259" s="83"/>
      <c r="C259" s="83"/>
      <c r="D259" s="84"/>
      <c r="E259" s="85"/>
      <c r="F259" s="85"/>
      <c r="G259" s="85"/>
      <c r="H259" s="86"/>
      <c r="I259" s="85"/>
      <c r="J259" s="87"/>
      <c r="K259" s="84"/>
      <c r="L259" s="84"/>
      <c r="M259" s="84"/>
      <c r="N259" s="55"/>
      <c r="O259" s="88"/>
      <c r="P259" s="88"/>
      <c r="Q259" s="88"/>
      <c r="R259" s="84"/>
      <c r="S259" s="84"/>
      <c r="T259" s="84"/>
      <c r="U259" s="84"/>
      <c r="V259" s="85"/>
      <c r="W259" s="84"/>
      <c r="X259" s="87"/>
      <c r="Y259" s="84"/>
      <c r="Z259" s="84"/>
      <c r="AA259" s="84"/>
      <c r="AB259" s="84"/>
      <c r="AC259" s="84"/>
      <c r="AD259" s="84"/>
      <c r="AE259" s="84"/>
      <c r="AF259" s="84"/>
      <c r="AG259" s="84"/>
      <c r="AH259" s="89"/>
      <c r="AI259" s="84"/>
      <c r="AJ259" s="84"/>
      <c r="AK259" s="84"/>
      <c r="AL259" s="89"/>
      <c r="AM259" s="89"/>
      <c r="AN259" s="55"/>
      <c r="AO259" s="84"/>
      <c r="AP259" s="60"/>
      <c r="AQ259" s="90"/>
      <c r="AR259" s="55"/>
      <c r="AS259" s="55"/>
      <c r="AT259" s="91"/>
      <c r="AU259" s="55"/>
      <c r="AV259" s="92"/>
      <c r="AW259" s="92"/>
      <c r="AX259" s="62"/>
      <c r="AY259" s="90"/>
      <c r="AZ259" s="93"/>
      <c r="BA259" s="93"/>
      <c r="BB259" s="93"/>
      <c r="BC259" s="55"/>
      <c r="BD259" s="88"/>
      <c r="BE259" s="88"/>
      <c r="BF259" s="88"/>
      <c r="BG259" s="87"/>
      <c r="BH259" s="84"/>
      <c r="BI259" s="84"/>
      <c r="BJ259" s="90"/>
      <c r="BK259" s="94"/>
      <c r="BL259" s="62"/>
      <c r="BM259" s="84"/>
      <c r="BN259" s="95"/>
      <c r="BO259" s="84"/>
      <c r="BP259" s="84"/>
      <c r="BQ259" s="96"/>
    </row>
    <row r="260">
      <c r="A260" s="50"/>
      <c r="B260" s="83"/>
      <c r="C260" s="83"/>
      <c r="D260" s="84"/>
      <c r="E260" s="85"/>
      <c r="F260" s="85"/>
      <c r="G260" s="85"/>
      <c r="H260" s="86"/>
      <c r="I260" s="85"/>
      <c r="J260" s="87"/>
      <c r="K260" s="84"/>
      <c r="L260" s="84"/>
      <c r="M260" s="84"/>
      <c r="N260" s="55"/>
      <c r="O260" s="88"/>
      <c r="P260" s="88"/>
      <c r="Q260" s="88"/>
      <c r="R260" s="84"/>
      <c r="S260" s="84"/>
      <c r="T260" s="84"/>
      <c r="U260" s="84"/>
      <c r="V260" s="85"/>
      <c r="W260" s="84"/>
      <c r="X260" s="87"/>
      <c r="Y260" s="84"/>
      <c r="Z260" s="84"/>
      <c r="AA260" s="84"/>
      <c r="AB260" s="84"/>
      <c r="AC260" s="84"/>
      <c r="AD260" s="84"/>
      <c r="AE260" s="84"/>
      <c r="AF260" s="84"/>
      <c r="AG260" s="84"/>
      <c r="AH260" s="89"/>
      <c r="AI260" s="84"/>
      <c r="AJ260" s="84"/>
      <c r="AK260" s="84"/>
      <c r="AL260" s="89"/>
      <c r="AM260" s="89"/>
      <c r="AN260" s="55"/>
      <c r="AO260" s="84"/>
      <c r="AP260" s="60"/>
      <c r="AQ260" s="90"/>
      <c r="AR260" s="55"/>
      <c r="AS260" s="55"/>
      <c r="AT260" s="91"/>
      <c r="AU260" s="55"/>
      <c r="AV260" s="92"/>
      <c r="AW260" s="92"/>
      <c r="AX260" s="62"/>
      <c r="AY260" s="90"/>
      <c r="AZ260" s="93"/>
      <c r="BA260" s="93"/>
      <c r="BB260" s="93"/>
      <c r="BC260" s="55"/>
      <c r="BD260" s="88"/>
      <c r="BE260" s="88"/>
      <c r="BF260" s="88"/>
      <c r="BG260" s="87"/>
      <c r="BH260" s="84"/>
      <c r="BI260" s="84"/>
      <c r="BJ260" s="90"/>
      <c r="BK260" s="94"/>
      <c r="BL260" s="62"/>
      <c r="BM260" s="84"/>
      <c r="BN260" s="95"/>
      <c r="BO260" s="84"/>
      <c r="BP260" s="84"/>
      <c r="BQ260" s="96"/>
    </row>
    <row r="261">
      <c r="A261" s="50"/>
      <c r="B261" s="83"/>
      <c r="C261" s="83"/>
      <c r="D261" s="84"/>
      <c r="E261" s="85"/>
      <c r="F261" s="85"/>
      <c r="G261" s="85"/>
      <c r="H261" s="86"/>
      <c r="I261" s="85"/>
      <c r="J261" s="87"/>
      <c r="K261" s="84"/>
      <c r="L261" s="84"/>
      <c r="M261" s="84"/>
      <c r="N261" s="55"/>
      <c r="O261" s="88"/>
      <c r="P261" s="88"/>
      <c r="Q261" s="88"/>
      <c r="R261" s="84"/>
      <c r="S261" s="84"/>
      <c r="T261" s="84"/>
      <c r="U261" s="84"/>
      <c r="V261" s="85"/>
      <c r="W261" s="84"/>
      <c r="X261" s="87"/>
      <c r="Y261" s="84"/>
      <c r="Z261" s="84"/>
      <c r="AA261" s="84"/>
      <c r="AB261" s="84"/>
      <c r="AC261" s="84"/>
      <c r="AD261" s="84"/>
      <c r="AE261" s="84"/>
      <c r="AF261" s="84"/>
      <c r="AG261" s="84"/>
      <c r="AH261" s="89"/>
      <c r="AI261" s="84"/>
      <c r="AJ261" s="84"/>
      <c r="AK261" s="84"/>
      <c r="AL261" s="89"/>
      <c r="AM261" s="89"/>
      <c r="AN261" s="55"/>
      <c r="AO261" s="84"/>
      <c r="AP261" s="60"/>
      <c r="AQ261" s="90"/>
      <c r="AR261" s="55"/>
      <c r="AS261" s="55"/>
      <c r="AT261" s="91"/>
      <c r="AU261" s="55"/>
      <c r="AV261" s="92"/>
      <c r="AW261" s="92"/>
      <c r="AX261" s="62"/>
      <c r="AY261" s="90"/>
      <c r="AZ261" s="93"/>
      <c r="BA261" s="93"/>
      <c r="BB261" s="93"/>
      <c r="BC261" s="55"/>
      <c r="BD261" s="88"/>
      <c r="BE261" s="88"/>
      <c r="BF261" s="88"/>
      <c r="BG261" s="87"/>
      <c r="BH261" s="84"/>
      <c r="BI261" s="84"/>
      <c r="BJ261" s="90"/>
      <c r="BK261" s="94"/>
      <c r="BL261" s="62"/>
      <c r="BM261" s="84"/>
      <c r="BN261" s="95"/>
      <c r="BO261" s="84"/>
      <c r="BP261" s="84"/>
      <c r="BQ261" s="96"/>
    </row>
    <row r="262">
      <c r="A262" s="50"/>
      <c r="B262" s="83"/>
      <c r="C262" s="83"/>
      <c r="D262" s="84"/>
      <c r="E262" s="85"/>
      <c r="F262" s="85"/>
      <c r="G262" s="85"/>
      <c r="H262" s="86"/>
      <c r="I262" s="85"/>
      <c r="J262" s="87"/>
      <c r="K262" s="84"/>
      <c r="L262" s="84"/>
      <c r="M262" s="84"/>
      <c r="N262" s="55"/>
      <c r="O262" s="88"/>
      <c r="P262" s="88"/>
      <c r="Q262" s="88"/>
      <c r="R262" s="84"/>
      <c r="S262" s="84"/>
      <c r="T262" s="84"/>
      <c r="U262" s="84"/>
      <c r="V262" s="85"/>
      <c r="W262" s="84"/>
      <c r="X262" s="87"/>
      <c r="Y262" s="84"/>
      <c r="Z262" s="84"/>
      <c r="AA262" s="84"/>
      <c r="AB262" s="84"/>
      <c r="AC262" s="84"/>
      <c r="AD262" s="84"/>
      <c r="AE262" s="84"/>
      <c r="AF262" s="84"/>
      <c r="AG262" s="84"/>
      <c r="AH262" s="89"/>
      <c r="AI262" s="84"/>
      <c r="AJ262" s="84"/>
      <c r="AK262" s="84"/>
      <c r="AL262" s="89"/>
      <c r="AM262" s="89"/>
      <c r="AN262" s="55"/>
      <c r="AO262" s="84"/>
      <c r="AP262" s="60"/>
      <c r="AQ262" s="90"/>
      <c r="AR262" s="55"/>
      <c r="AS262" s="55"/>
      <c r="AT262" s="91"/>
      <c r="AU262" s="55"/>
      <c r="AV262" s="92"/>
      <c r="AW262" s="92"/>
      <c r="AX262" s="62"/>
      <c r="AY262" s="90"/>
      <c r="AZ262" s="93"/>
      <c r="BA262" s="93"/>
      <c r="BB262" s="93"/>
      <c r="BC262" s="55"/>
      <c r="BD262" s="88"/>
      <c r="BE262" s="88"/>
      <c r="BF262" s="88"/>
      <c r="BG262" s="87"/>
      <c r="BH262" s="84"/>
      <c r="BI262" s="84"/>
      <c r="BJ262" s="90"/>
      <c r="BK262" s="94"/>
      <c r="BL262" s="62"/>
      <c r="BM262" s="84"/>
      <c r="BN262" s="95"/>
      <c r="BO262" s="84"/>
      <c r="BP262" s="84"/>
      <c r="BQ262" s="96"/>
    </row>
    <row r="263">
      <c r="A263" s="50"/>
      <c r="B263" s="83"/>
      <c r="C263" s="83"/>
      <c r="D263" s="84"/>
      <c r="E263" s="85"/>
      <c r="F263" s="85"/>
      <c r="G263" s="85"/>
      <c r="H263" s="86"/>
      <c r="I263" s="85"/>
      <c r="J263" s="87"/>
      <c r="K263" s="84"/>
      <c r="L263" s="84"/>
      <c r="M263" s="84"/>
      <c r="N263" s="55"/>
      <c r="O263" s="88"/>
      <c r="P263" s="88"/>
      <c r="Q263" s="88"/>
      <c r="R263" s="84"/>
      <c r="S263" s="84"/>
      <c r="T263" s="84"/>
      <c r="U263" s="84"/>
      <c r="V263" s="85"/>
      <c r="W263" s="84"/>
      <c r="X263" s="87"/>
      <c r="Y263" s="84"/>
      <c r="Z263" s="84"/>
      <c r="AA263" s="84"/>
      <c r="AB263" s="84"/>
      <c r="AC263" s="84"/>
      <c r="AD263" s="84"/>
      <c r="AE263" s="84"/>
      <c r="AF263" s="84"/>
      <c r="AG263" s="84"/>
      <c r="AH263" s="89"/>
      <c r="AI263" s="84"/>
      <c r="AJ263" s="84"/>
      <c r="AK263" s="84"/>
      <c r="AL263" s="89"/>
      <c r="AM263" s="89"/>
      <c r="AN263" s="55"/>
      <c r="AO263" s="84"/>
      <c r="AP263" s="60"/>
      <c r="AQ263" s="90"/>
      <c r="AR263" s="55"/>
      <c r="AS263" s="55"/>
      <c r="AT263" s="91"/>
      <c r="AU263" s="55"/>
      <c r="AV263" s="92"/>
      <c r="AW263" s="92"/>
      <c r="AX263" s="62"/>
      <c r="AY263" s="90"/>
      <c r="AZ263" s="93"/>
      <c r="BA263" s="93"/>
      <c r="BB263" s="93"/>
      <c r="BC263" s="55"/>
      <c r="BD263" s="88"/>
      <c r="BE263" s="88"/>
      <c r="BF263" s="88"/>
      <c r="BG263" s="87"/>
      <c r="BH263" s="84"/>
      <c r="BI263" s="84"/>
      <c r="BJ263" s="90"/>
      <c r="BK263" s="94"/>
      <c r="BL263" s="62"/>
      <c r="BM263" s="84"/>
      <c r="BN263" s="95"/>
      <c r="BO263" s="84"/>
      <c r="BP263" s="84"/>
      <c r="BQ263" s="96"/>
    </row>
    <row r="264">
      <c r="A264" s="50"/>
      <c r="B264" s="83"/>
      <c r="C264" s="83"/>
      <c r="D264" s="84"/>
      <c r="E264" s="85"/>
      <c r="F264" s="85"/>
      <c r="G264" s="85"/>
      <c r="H264" s="86"/>
      <c r="I264" s="85"/>
      <c r="J264" s="87"/>
      <c r="K264" s="84"/>
      <c r="L264" s="84"/>
      <c r="M264" s="84"/>
      <c r="N264" s="55"/>
      <c r="O264" s="88"/>
      <c r="P264" s="88"/>
      <c r="Q264" s="88"/>
      <c r="R264" s="84"/>
      <c r="S264" s="84"/>
      <c r="T264" s="84"/>
      <c r="U264" s="84"/>
      <c r="V264" s="85"/>
      <c r="W264" s="84"/>
      <c r="X264" s="87"/>
      <c r="Y264" s="84"/>
      <c r="Z264" s="84"/>
      <c r="AA264" s="84"/>
      <c r="AB264" s="84"/>
      <c r="AC264" s="84"/>
      <c r="AD264" s="84"/>
      <c r="AE264" s="84"/>
      <c r="AF264" s="84"/>
      <c r="AG264" s="84"/>
      <c r="AH264" s="89"/>
      <c r="AI264" s="84"/>
      <c r="AJ264" s="84"/>
      <c r="AK264" s="84"/>
      <c r="AL264" s="89"/>
      <c r="AM264" s="89"/>
      <c r="AN264" s="55"/>
      <c r="AO264" s="84"/>
      <c r="AP264" s="60"/>
      <c r="AQ264" s="90"/>
      <c r="AR264" s="55"/>
      <c r="AS264" s="55"/>
      <c r="AT264" s="91"/>
      <c r="AU264" s="55"/>
      <c r="AV264" s="92"/>
      <c r="AW264" s="92"/>
      <c r="AX264" s="62"/>
      <c r="AY264" s="90"/>
      <c r="AZ264" s="93"/>
      <c r="BA264" s="93"/>
      <c r="BB264" s="93"/>
      <c r="BC264" s="55"/>
      <c r="BD264" s="88"/>
      <c r="BE264" s="88"/>
      <c r="BF264" s="88"/>
      <c r="BG264" s="87"/>
      <c r="BH264" s="84"/>
      <c r="BI264" s="84"/>
      <c r="BJ264" s="90"/>
      <c r="BK264" s="94"/>
      <c r="BL264" s="62"/>
      <c r="BM264" s="84"/>
      <c r="BN264" s="95"/>
      <c r="BO264" s="84"/>
      <c r="BP264" s="84"/>
      <c r="BQ264" s="96"/>
    </row>
    <row r="265">
      <c r="A265" s="50"/>
      <c r="B265" s="83"/>
      <c r="C265" s="83"/>
      <c r="D265" s="84"/>
      <c r="E265" s="85"/>
      <c r="F265" s="85"/>
      <c r="G265" s="85"/>
      <c r="H265" s="86"/>
      <c r="I265" s="85"/>
      <c r="J265" s="87"/>
      <c r="K265" s="84"/>
      <c r="L265" s="84"/>
      <c r="M265" s="84"/>
      <c r="N265" s="55"/>
      <c r="O265" s="88"/>
      <c r="P265" s="88"/>
      <c r="Q265" s="88"/>
      <c r="R265" s="84"/>
      <c r="S265" s="84"/>
      <c r="T265" s="84"/>
      <c r="U265" s="84"/>
      <c r="V265" s="85"/>
      <c r="W265" s="84"/>
      <c r="X265" s="87"/>
      <c r="Y265" s="84"/>
      <c r="Z265" s="84"/>
      <c r="AA265" s="84"/>
      <c r="AB265" s="84"/>
      <c r="AC265" s="84"/>
      <c r="AD265" s="84"/>
      <c r="AE265" s="84"/>
      <c r="AF265" s="84"/>
      <c r="AG265" s="84"/>
      <c r="AH265" s="89"/>
      <c r="AI265" s="84"/>
      <c r="AJ265" s="84"/>
      <c r="AK265" s="84"/>
      <c r="AL265" s="89"/>
      <c r="AM265" s="89"/>
      <c r="AN265" s="55"/>
      <c r="AO265" s="84"/>
      <c r="AP265" s="60"/>
      <c r="AQ265" s="90"/>
      <c r="AR265" s="55"/>
      <c r="AS265" s="55"/>
      <c r="AT265" s="91"/>
      <c r="AU265" s="55"/>
      <c r="AV265" s="92"/>
      <c r="AW265" s="92"/>
      <c r="AX265" s="62"/>
      <c r="AY265" s="90"/>
      <c r="AZ265" s="93"/>
      <c r="BA265" s="93"/>
      <c r="BB265" s="93"/>
      <c r="BC265" s="55"/>
      <c r="BD265" s="88"/>
      <c r="BE265" s="88"/>
      <c r="BF265" s="88"/>
      <c r="BG265" s="87"/>
      <c r="BH265" s="84"/>
      <c r="BI265" s="84"/>
      <c r="BJ265" s="90"/>
      <c r="BK265" s="94"/>
      <c r="BL265" s="62"/>
      <c r="BM265" s="84"/>
      <c r="BN265" s="95"/>
      <c r="BO265" s="84"/>
      <c r="BP265" s="84"/>
      <c r="BQ265" s="96"/>
    </row>
    <row r="266">
      <c r="A266" s="50"/>
      <c r="B266" s="83"/>
      <c r="C266" s="83"/>
      <c r="D266" s="84"/>
      <c r="E266" s="85"/>
      <c r="F266" s="85"/>
      <c r="G266" s="85"/>
      <c r="H266" s="86"/>
      <c r="I266" s="85"/>
      <c r="J266" s="87"/>
      <c r="K266" s="84"/>
      <c r="L266" s="84"/>
      <c r="M266" s="84"/>
      <c r="N266" s="55"/>
      <c r="O266" s="88"/>
      <c r="P266" s="88"/>
      <c r="Q266" s="88"/>
      <c r="R266" s="84"/>
      <c r="S266" s="84"/>
      <c r="T266" s="84"/>
      <c r="U266" s="84"/>
      <c r="V266" s="85"/>
      <c r="W266" s="84"/>
      <c r="X266" s="87"/>
      <c r="Y266" s="84"/>
      <c r="Z266" s="84"/>
      <c r="AA266" s="84"/>
      <c r="AB266" s="84"/>
      <c r="AC266" s="84"/>
      <c r="AD266" s="84"/>
      <c r="AE266" s="84"/>
      <c r="AF266" s="84"/>
      <c r="AG266" s="84"/>
      <c r="AH266" s="89"/>
      <c r="AI266" s="84"/>
      <c r="AJ266" s="84"/>
      <c r="AK266" s="84"/>
      <c r="AL266" s="89"/>
      <c r="AM266" s="89"/>
      <c r="AN266" s="55"/>
      <c r="AO266" s="84"/>
      <c r="AP266" s="60"/>
      <c r="AQ266" s="90"/>
      <c r="AR266" s="55"/>
      <c r="AS266" s="55"/>
      <c r="AT266" s="91"/>
      <c r="AU266" s="55"/>
      <c r="AV266" s="92"/>
      <c r="AW266" s="92"/>
      <c r="AX266" s="62"/>
      <c r="AY266" s="90"/>
      <c r="AZ266" s="93"/>
      <c r="BA266" s="93"/>
      <c r="BB266" s="93"/>
      <c r="BC266" s="55"/>
      <c r="BD266" s="88"/>
      <c r="BE266" s="88"/>
      <c r="BF266" s="88"/>
      <c r="BG266" s="87"/>
      <c r="BH266" s="84"/>
      <c r="BI266" s="84"/>
      <c r="BJ266" s="90"/>
      <c r="BK266" s="94"/>
      <c r="BL266" s="62"/>
      <c r="BM266" s="84"/>
      <c r="BN266" s="95"/>
      <c r="BO266" s="84"/>
      <c r="BP266" s="84"/>
      <c r="BQ266" s="96"/>
    </row>
    <row r="267">
      <c r="A267" s="50"/>
      <c r="B267" s="83"/>
      <c r="C267" s="83"/>
      <c r="D267" s="84"/>
      <c r="E267" s="85"/>
      <c r="F267" s="85"/>
      <c r="G267" s="85"/>
      <c r="H267" s="86"/>
      <c r="I267" s="85"/>
      <c r="J267" s="87"/>
      <c r="K267" s="84"/>
      <c r="L267" s="84"/>
      <c r="M267" s="84"/>
      <c r="N267" s="55"/>
      <c r="O267" s="88"/>
      <c r="P267" s="88"/>
      <c r="Q267" s="88"/>
      <c r="R267" s="84"/>
      <c r="S267" s="84"/>
      <c r="T267" s="84"/>
      <c r="U267" s="84"/>
      <c r="V267" s="85"/>
      <c r="W267" s="84"/>
      <c r="X267" s="87"/>
      <c r="Y267" s="84"/>
      <c r="Z267" s="84"/>
      <c r="AA267" s="84"/>
      <c r="AB267" s="84"/>
      <c r="AC267" s="84"/>
      <c r="AD267" s="84"/>
      <c r="AE267" s="84"/>
      <c r="AF267" s="84"/>
      <c r="AG267" s="84"/>
      <c r="AH267" s="89"/>
      <c r="AI267" s="84"/>
      <c r="AJ267" s="84"/>
      <c r="AK267" s="84"/>
      <c r="AL267" s="89"/>
      <c r="AM267" s="89"/>
      <c r="AN267" s="55"/>
      <c r="AO267" s="84"/>
      <c r="AP267" s="60"/>
      <c r="AQ267" s="90"/>
      <c r="AR267" s="55"/>
      <c r="AS267" s="55"/>
      <c r="AT267" s="91"/>
      <c r="AU267" s="55"/>
      <c r="AV267" s="92"/>
      <c r="AW267" s="92"/>
      <c r="AX267" s="62"/>
      <c r="AY267" s="90"/>
      <c r="AZ267" s="93"/>
      <c r="BA267" s="93"/>
      <c r="BB267" s="93"/>
      <c r="BC267" s="55"/>
      <c r="BD267" s="88"/>
      <c r="BE267" s="88"/>
      <c r="BF267" s="88"/>
      <c r="BG267" s="87"/>
      <c r="BH267" s="84"/>
      <c r="BI267" s="84"/>
      <c r="BJ267" s="90"/>
      <c r="BK267" s="94"/>
      <c r="BL267" s="62"/>
      <c r="BM267" s="84"/>
      <c r="BN267" s="95"/>
      <c r="BO267" s="84"/>
      <c r="BP267" s="84"/>
      <c r="BQ267" s="96"/>
    </row>
    <row r="268">
      <c r="A268" s="50"/>
      <c r="B268" s="83"/>
      <c r="C268" s="83"/>
      <c r="D268" s="84"/>
      <c r="E268" s="85"/>
      <c r="F268" s="85"/>
      <c r="G268" s="85"/>
      <c r="H268" s="86"/>
      <c r="I268" s="85"/>
      <c r="J268" s="87"/>
      <c r="K268" s="84"/>
      <c r="L268" s="84"/>
      <c r="M268" s="84"/>
      <c r="N268" s="55"/>
      <c r="O268" s="88"/>
      <c r="P268" s="88"/>
      <c r="Q268" s="88"/>
      <c r="R268" s="84"/>
      <c r="S268" s="84"/>
      <c r="T268" s="84"/>
      <c r="U268" s="84"/>
      <c r="V268" s="85"/>
      <c r="W268" s="84"/>
      <c r="X268" s="87"/>
      <c r="Y268" s="84"/>
      <c r="Z268" s="84"/>
      <c r="AA268" s="84"/>
      <c r="AB268" s="84"/>
      <c r="AC268" s="84"/>
      <c r="AD268" s="84"/>
      <c r="AE268" s="84"/>
      <c r="AF268" s="84"/>
      <c r="AG268" s="84"/>
      <c r="AH268" s="89"/>
      <c r="AI268" s="84"/>
      <c r="AJ268" s="84"/>
      <c r="AK268" s="84"/>
      <c r="AL268" s="89"/>
      <c r="AM268" s="89"/>
      <c r="AN268" s="55"/>
      <c r="AO268" s="84"/>
      <c r="AP268" s="60"/>
      <c r="AQ268" s="90"/>
      <c r="AR268" s="55"/>
      <c r="AS268" s="55"/>
      <c r="AT268" s="91"/>
      <c r="AU268" s="55"/>
      <c r="AV268" s="92"/>
      <c r="AW268" s="92"/>
      <c r="AX268" s="62"/>
      <c r="AY268" s="90"/>
      <c r="AZ268" s="93"/>
      <c r="BA268" s="93"/>
      <c r="BB268" s="93"/>
      <c r="BC268" s="55"/>
      <c r="BD268" s="88"/>
      <c r="BE268" s="88"/>
      <c r="BF268" s="88"/>
      <c r="BG268" s="87"/>
      <c r="BH268" s="84"/>
      <c r="BI268" s="84"/>
      <c r="BJ268" s="90"/>
      <c r="BK268" s="94"/>
      <c r="BL268" s="62"/>
      <c r="BM268" s="84"/>
      <c r="BN268" s="95"/>
      <c r="BO268" s="84"/>
      <c r="BP268" s="84"/>
      <c r="BQ268" s="96"/>
    </row>
    <row r="269">
      <c r="A269" s="50"/>
      <c r="B269" s="83"/>
      <c r="C269" s="83"/>
      <c r="D269" s="84"/>
      <c r="E269" s="85"/>
      <c r="F269" s="85"/>
      <c r="G269" s="85"/>
      <c r="H269" s="86"/>
      <c r="I269" s="85"/>
      <c r="J269" s="87"/>
      <c r="K269" s="84"/>
      <c r="L269" s="84"/>
      <c r="M269" s="84"/>
      <c r="N269" s="55"/>
      <c r="O269" s="88"/>
      <c r="P269" s="88"/>
      <c r="Q269" s="88"/>
      <c r="R269" s="84"/>
      <c r="S269" s="84"/>
      <c r="T269" s="84"/>
      <c r="U269" s="84"/>
      <c r="V269" s="85"/>
      <c r="W269" s="84"/>
      <c r="X269" s="87"/>
      <c r="Y269" s="84"/>
      <c r="Z269" s="84"/>
      <c r="AA269" s="84"/>
      <c r="AB269" s="84"/>
      <c r="AC269" s="84"/>
      <c r="AD269" s="84"/>
      <c r="AE269" s="84"/>
      <c r="AF269" s="84"/>
      <c r="AG269" s="84"/>
      <c r="AH269" s="89"/>
      <c r="AI269" s="84"/>
      <c r="AJ269" s="84"/>
      <c r="AK269" s="84"/>
      <c r="AL269" s="89"/>
      <c r="AM269" s="89"/>
      <c r="AN269" s="55"/>
      <c r="AO269" s="84"/>
      <c r="AP269" s="60"/>
      <c r="AQ269" s="90"/>
      <c r="AR269" s="55"/>
      <c r="AS269" s="55"/>
      <c r="AT269" s="91"/>
      <c r="AU269" s="55"/>
      <c r="AV269" s="92"/>
      <c r="AW269" s="92"/>
      <c r="AX269" s="62"/>
      <c r="AY269" s="90"/>
      <c r="AZ269" s="93"/>
      <c r="BA269" s="93"/>
      <c r="BB269" s="93"/>
      <c r="BC269" s="55"/>
      <c r="BD269" s="88"/>
      <c r="BE269" s="88"/>
      <c r="BF269" s="88"/>
      <c r="BG269" s="87"/>
      <c r="BH269" s="84"/>
      <c r="BI269" s="84"/>
      <c r="BJ269" s="90"/>
      <c r="BK269" s="94"/>
      <c r="BL269" s="62"/>
      <c r="BM269" s="84"/>
      <c r="BN269" s="95"/>
      <c r="BO269" s="84"/>
      <c r="BP269" s="84"/>
      <c r="BQ269" s="96"/>
    </row>
    <row r="270">
      <c r="A270" s="50"/>
      <c r="B270" s="83"/>
      <c r="C270" s="83"/>
      <c r="D270" s="84"/>
      <c r="E270" s="85"/>
      <c r="F270" s="85"/>
      <c r="G270" s="85"/>
      <c r="H270" s="86"/>
      <c r="I270" s="85"/>
      <c r="J270" s="87"/>
      <c r="K270" s="84"/>
      <c r="L270" s="84"/>
      <c r="M270" s="84"/>
      <c r="N270" s="55"/>
      <c r="O270" s="88"/>
      <c r="P270" s="88"/>
      <c r="Q270" s="88"/>
      <c r="R270" s="84"/>
      <c r="S270" s="84"/>
      <c r="T270" s="84"/>
      <c r="U270" s="84"/>
      <c r="V270" s="85"/>
      <c r="W270" s="84"/>
      <c r="X270" s="87"/>
      <c r="Y270" s="84"/>
      <c r="Z270" s="84"/>
      <c r="AA270" s="84"/>
      <c r="AB270" s="84"/>
      <c r="AC270" s="84"/>
      <c r="AD270" s="84"/>
      <c r="AE270" s="84"/>
      <c r="AF270" s="84"/>
      <c r="AG270" s="84"/>
      <c r="AH270" s="89"/>
      <c r="AI270" s="84"/>
      <c r="AJ270" s="84"/>
      <c r="AK270" s="84"/>
      <c r="AL270" s="89"/>
      <c r="AM270" s="89"/>
      <c r="AN270" s="55"/>
      <c r="AO270" s="84"/>
      <c r="AP270" s="60"/>
      <c r="AQ270" s="90"/>
      <c r="AR270" s="55"/>
      <c r="AS270" s="55"/>
      <c r="AT270" s="91"/>
      <c r="AU270" s="55"/>
      <c r="AV270" s="92"/>
      <c r="AW270" s="92"/>
      <c r="AX270" s="62"/>
      <c r="AY270" s="90"/>
      <c r="AZ270" s="93"/>
      <c r="BA270" s="93"/>
      <c r="BB270" s="93"/>
      <c r="BC270" s="55"/>
      <c r="BD270" s="88"/>
      <c r="BE270" s="88"/>
      <c r="BF270" s="88"/>
      <c r="BG270" s="87"/>
      <c r="BH270" s="84"/>
      <c r="BI270" s="84"/>
      <c r="BJ270" s="90"/>
      <c r="BK270" s="94"/>
      <c r="BL270" s="62"/>
      <c r="BM270" s="84"/>
      <c r="BN270" s="95"/>
      <c r="BO270" s="84"/>
      <c r="BP270" s="84"/>
      <c r="BQ270" s="96"/>
    </row>
    <row r="271">
      <c r="A271" s="50"/>
      <c r="B271" s="83"/>
      <c r="C271" s="83"/>
      <c r="D271" s="84"/>
      <c r="E271" s="85"/>
      <c r="F271" s="85"/>
      <c r="G271" s="85"/>
      <c r="H271" s="86"/>
      <c r="I271" s="85"/>
      <c r="J271" s="87"/>
      <c r="K271" s="84"/>
      <c r="L271" s="84"/>
      <c r="M271" s="84"/>
      <c r="N271" s="55"/>
      <c r="O271" s="88"/>
      <c r="P271" s="88"/>
      <c r="Q271" s="88"/>
      <c r="R271" s="84"/>
      <c r="S271" s="84"/>
      <c r="T271" s="84"/>
      <c r="U271" s="84"/>
      <c r="V271" s="85"/>
      <c r="W271" s="84"/>
      <c r="X271" s="87"/>
      <c r="Y271" s="84"/>
      <c r="Z271" s="84"/>
      <c r="AA271" s="84"/>
      <c r="AB271" s="84"/>
      <c r="AC271" s="84"/>
      <c r="AD271" s="84"/>
      <c r="AE271" s="84"/>
      <c r="AF271" s="84"/>
      <c r="AG271" s="84"/>
      <c r="AH271" s="89"/>
      <c r="AI271" s="84"/>
      <c r="AJ271" s="84"/>
      <c r="AK271" s="84"/>
      <c r="AL271" s="89"/>
      <c r="AM271" s="89"/>
      <c r="AN271" s="55"/>
      <c r="AO271" s="84"/>
      <c r="AP271" s="60"/>
      <c r="AQ271" s="90"/>
      <c r="AR271" s="55"/>
      <c r="AS271" s="55"/>
      <c r="AT271" s="91"/>
      <c r="AU271" s="55"/>
      <c r="AV271" s="92"/>
      <c r="AW271" s="92"/>
      <c r="AX271" s="62"/>
      <c r="AY271" s="90"/>
      <c r="AZ271" s="93"/>
      <c r="BA271" s="93"/>
      <c r="BB271" s="93"/>
      <c r="BC271" s="55"/>
      <c r="BD271" s="88"/>
      <c r="BE271" s="88"/>
      <c r="BF271" s="88"/>
      <c r="BG271" s="87"/>
      <c r="BH271" s="84"/>
      <c r="BI271" s="84"/>
      <c r="BJ271" s="90"/>
      <c r="BK271" s="94"/>
      <c r="BL271" s="62"/>
      <c r="BM271" s="84"/>
      <c r="BN271" s="95"/>
      <c r="BO271" s="84"/>
      <c r="BP271" s="84"/>
      <c r="BQ271" s="96"/>
    </row>
    <row r="272">
      <c r="A272" s="50"/>
      <c r="B272" s="83"/>
      <c r="C272" s="83"/>
      <c r="D272" s="84"/>
      <c r="E272" s="85"/>
      <c r="F272" s="85"/>
      <c r="G272" s="85"/>
      <c r="H272" s="86"/>
      <c r="I272" s="85"/>
      <c r="J272" s="87"/>
      <c r="K272" s="84"/>
      <c r="L272" s="84"/>
      <c r="M272" s="84"/>
      <c r="N272" s="55"/>
      <c r="O272" s="88"/>
      <c r="P272" s="88"/>
      <c r="Q272" s="88"/>
      <c r="R272" s="84"/>
      <c r="S272" s="84"/>
      <c r="T272" s="84"/>
      <c r="U272" s="84"/>
      <c r="V272" s="85"/>
      <c r="W272" s="84"/>
      <c r="X272" s="87"/>
      <c r="Y272" s="84"/>
      <c r="Z272" s="84"/>
      <c r="AA272" s="84"/>
      <c r="AB272" s="84"/>
      <c r="AC272" s="84"/>
      <c r="AD272" s="84"/>
      <c r="AE272" s="84"/>
      <c r="AF272" s="84"/>
      <c r="AG272" s="84"/>
      <c r="AH272" s="89"/>
      <c r="AI272" s="84"/>
      <c r="AJ272" s="84"/>
      <c r="AK272" s="84"/>
      <c r="AL272" s="89"/>
      <c r="AM272" s="89"/>
      <c r="AN272" s="55"/>
      <c r="AO272" s="84"/>
      <c r="AP272" s="60"/>
      <c r="AQ272" s="90"/>
      <c r="AR272" s="55"/>
      <c r="AS272" s="55"/>
      <c r="AT272" s="91"/>
      <c r="AU272" s="55"/>
      <c r="AV272" s="92"/>
      <c r="AW272" s="92"/>
      <c r="AX272" s="62"/>
      <c r="AY272" s="90"/>
      <c r="AZ272" s="93"/>
      <c r="BA272" s="93"/>
      <c r="BB272" s="93"/>
      <c r="BC272" s="55"/>
      <c r="BD272" s="88"/>
      <c r="BE272" s="88"/>
      <c r="BF272" s="88"/>
      <c r="BG272" s="87"/>
      <c r="BH272" s="84"/>
      <c r="BI272" s="84"/>
      <c r="BJ272" s="90"/>
      <c r="BK272" s="94"/>
      <c r="BL272" s="62"/>
      <c r="BM272" s="84"/>
      <c r="BN272" s="95"/>
      <c r="BO272" s="84"/>
      <c r="BP272" s="84"/>
      <c r="BQ272" s="96"/>
    </row>
    <row r="273">
      <c r="A273" s="50"/>
      <c r="B273" s="83"/>
      <c r="C273" s="83"/>
      <c r="D273" s="84"/>
      <c r="E273" s="85"/>
      <c r="F273" s="85"/>
      <c r="G273" s="85"/>
      <c r="H273" s="86"/>
      <c r="I273" s="85"/>
      <c r="J273" s="87"/>
      <c r="K273" s="84"/>
      <c r="L273" s="84"/>
      <c r="M273" s="84"/>
      <c r="N273" s="55"/>
      <c r="O273" s="88"/>
      <c r="P273" s="88"/>
      <c r="Q273" s="88"/>
      <c r="R273" s="84"/>
      <c r="S273" s="84"/>
      <c r="T273" s="84"/>
      <c r="U273" s="84"/>
      <c r="V273" s="85"/>
      <c r="W273" s="84"/>
      <c r="X273" s="87"/>
      <c r="Y273" s="84"/>
      <c r="Z273" s="84"/>
      <c r="AA273" s="84"/>
      <c r="AB273" s="84"/>
      <c r="AC273" s="84"/>
      <c r="AD273" s="84"/>
      <c r="AE273" s="84"/>
      <c r="AF273" s="84"/>
      <c r="AG273" s="84"/>
      <c r="AH273" s="89"/>
      <c r="AI273" s="84"/>
      <c r="AJ273" s="84"/>
      <c r="AK273" s="84"/>
      <c r="AL273" s="89"/>
      <c r="AM273" s="89"/>
      <c r="AN273" s="55"/>
      <c r="AO273" s="84"/>
      <c r="AP273" s="60"/>
      <c r="AQ273" s="90"/>
      <c r="AR273" s="55"/>
      <c r="AS273" s="55"/>
      <c r="AT273" s="91"/>
      <c r="AU273" s="55"/>
      <c r="AV273" s="92"/>
      <c r="AW273" s="92"/>
      <c r="AX273" s="62"/>
      <c r="AY273" s="90"/>
      <c r="AZ273" s="93"/>
      <c r="BA273" s="93"/>
      <c r="BB273" s="93"/>
      <c r="BC273" s="55"/>
      <c r="BD273" s="88"/>
      <c r="BE273" s="88"/>
      <c r="BF273" s="88"/>
      <c r="BG273" s="87"/>
      <c r="BH273" s="84"/>
      <c r="BI273" s="84"/>
      <c r="BJ273" s="90"/>
      <c r="BK273" s="94"/>
      <c r="BL273" s="62"/>
      <c r="BM273" s="84"/>
      <c r="BN273" s="95"/>
      <c r="BO273" s="84"/>
      <c r="BP273" s="84"/>
      <c r="BQ273" s="96"/>
    </row>
    <row r="274">
      <c r="A274" s="50"/>
      <c r="B274" s="83"/>
      <c r="C274" s="83"/>
      <c r="D274" s="84"/>
      <c r="E274" s="85"/>
      <c r="F274" s="85"/>
      <c r="G274" s="85"/>
      <c r="H274" s="86"/>
      <c r="I274" s="85"/>
      <c r="J274" s="87"/>
      <c r="K274" s="84"/>
      <c r="L274" s="84"/>
      <c r="M274" s="84"/>
      <c r="N274" s="55"/>
      <c r="O274" s="88"/>
      <c r="P274" s="88"/>
      <c r="Q274" s="88"/>
      <c r="R274" s="84"/>
      <c r="S274" s="84"/>
      <c r="T274" s="84"/>
      <c r="U274" s="84"/>
      <c r="V274" s="85"/>
      <c r="W274" s="84"/>
      <c r="X274" s="87"/>
      <c r="Y274" s="84"/>
      <c r="Z274" s="84"/>
      <c r="AA274" s="84"/>
      <c r="AB274" s="84"/>
      <c r="AC274" s="84"/>
      <c r="AD274" s="84"/>
      <c r="AE274" s="84"/>
      <c r="AF274" s="84"/>
      <c r="AG274" s="84"/>
      <c r="AH274" s="89"/>
      <c r="AI274" s="84"/>
      <c r="AJ274" s="84"/>
      <c r="AK274" s="84"/>
      <c r="AL274" s="89"/>
      <c r="AM274" s="89"/>
      <c r="AN274" s="55"/>
      <c r="AO274" s="84"/>
      <c r="AP274" s="60"/>
      <c r="AQ274" s="90"/>
      <c r="AR274" s="55"/>
      <c r="AS274" s="55"/>
      <c r="AT274" s="91"/>
      <c r="AU274" s="55"/>
      <c r="AV274" s="92"/>
      <c r="AW274" s="92"/>
      <c r="AX274" s="62"/>
      <c r="AY274" s="90"/>
      <c r="AZ274" s="93"/>
      <c r="BA274" s="93"/>
      <c r="BB274" s="93"/>
      <c r="BC274" s="55"/>
      <c r="BD274" s="88"/>
      <c r="BE274" s="88"/>
      <c r="BF274" s="88"/>
      <c r="BG274" s="87"/>
      <c r="BH274" s="84"/>
      <c r="BI274" s="84"/>
      <c r="BJ274" s="90"/>
      <c r="BK274" s="94"/>
      <c r="BL274" s="62"/>
      <c r="BM274" s="84"/>
      <c r="BN274" s="95"/>
      <c r="BO274" s="84"/>
      <c r="BP274" s="84"/>
      <c r="BQ274" s="96"/>
    </row>
    <row r="275">
      <c r="A275" s="50"/>
      <c r="B275" s="83"/>
      <c r="C275" s="83"/>
      <c r="D275" s="84"/>
      <c r="E275" s="85"/>
      <c r="F275" s="85"/>
      <c r="G275" s="85"/>
      <c r="H275" s="86"/>
      <c r="I275" s="85"/>
      <c r="J275" s="87"/>
      <c r="K275" s="84"/>
      <c r="L275" s="84"/>
      <c r="M275" s="84"/>
      <c r="N275" s="55"/>
      <c r="O275" s="88"/>
      <c r="P275" s="88"/>
      <c r="Q275" s="88"/>
      <c r="R275" s="84"/>
      <c r="S275" s="84"/>
      <c r="T275" s="84"/>
      <c r="U275" s="84"/>
      <c r="V275" s="85"/>
      <c r="W275" s="84"/>
      <c r="X275" s="87"/>
      <c r="Y275" s="84"/>
      <c r="Z275" s="84"/>
      <c r="AA275" s="84"/>
      <c r="AB275" s="84"/>
      <c r="AC275" s="84"/>
      <c r="AD275" s="84"/>
      <c r="AE275" s="84"/>
      <c r="AF275" s="84"/>
      <c r="AG275" s="84"/>
      <c r="AH275" s="89"/>
      <c r="AI275" s="84"/>
      <c r="AJ275" s="84"/>
      <c r="AK275" s="84"/>
      <c r="AL275" s="89"/>
      <c r="AM275" s="89"/>
      <c r="AN275" s="55"/>
      <c r="AO275" s="84"/>
      <c r="AP275" s="60"/>
      <c r="AQ275" s="90"/>
      <c r="AR275" s="55"/>
      <c r="AS275" s="55"/>
      <c r="AT275" s="91"/>
      <c r="AU275" s="55"/>
      <c r="AV275" s="92"/>
      <c r="AW275" s="92"/>
      <c r="AX275" s="62"/>
      <c r="AY275" s="90"/>
      <c r="AZ275" s="93"/>
      <c r="BA275" s="93"/>
      <c r="BB275" s="93"/>
      <c r="BC275" s="55"/>
      <c r="BD275" s="88"/>
      <c r="BE275" s="88"/>
      <c r="BF275" s="88"/>
      <c r="BG275" s="87"/>
      <c r="BH275" s="84"/>
      <c r="BI275" s="84"/>
      <c r="BJ275" s="90"/>
      <c r="BK275" s="94"/>
      <c r="BL275" s="62"/>
      <c r="BM275" s="84"/>
      <c r="BN275" s="95"/>
      <c r="BO275" s="84"/>
      <c r="BP275" s="84"/>
      <c r="BQ275" s="96"/>
    </row>
    <row r="276">
      <c r="A276" s="50"/>
      <c r="B276" s="83"/>
      <c r="C276" s="83"/>
      <c r="D276" s="84"/>
      <c r="E276" s="85"/>
      <c r="F276" s="85"/>
      <c r="G276" s="85"/>
      <c r="H276" s="86"/>
      <c r="I276" s="85"/>
      <c r="J276" s="87"/>
      <c r="K276" s="84"/>
      <c r="L276" s="84"/>
      <c r="M276" s="84"/>
      <c r="N276" s="55"/>
      <c r="O276" s="88"/>
      <c r="P276" s="88"/>
      <c r="Q276" s="88"/>
      <c r="R276" s="84"/>
      <c r="S276" s="84"/>
      <c r="T276" s="84"/>
      <c r="U276" s="84"/>
      <c r="V276" s="85"/>
      <c r="W276" s="84"/>
      <c r="X276" s="87"/>
      <c r="Y276" s="84"/>
      <c r="Z276" s="84"/>
      <c r="AA276" s="84"/>
      <c r="AB276" s="84"/>
      <c r="AC276" s="84"/>
      <c r="AD276" s="84"/>
      <c r="AE276" s="84"/>
      <c r="AF276" s="84"/>
      <c r="AG276" s="84"/>
      <c r="AH276" s="89"/>
      <c r="AI276" s="84"/>
      <c r="AJ276" s="84"/>
      <c r="AK276" s="84"/>
      <c r="AL276" s="89"/>
      <c r="AM276" s="89"/>
      <c r="AN276" s="55"/>
      <c r="AO276" s="84"/>
      <c r="AP276" s="60"/>
      <c r="AQ276" s="90"/>
      <c r="AR276" s="55"/>
      <c r="AS276" s="55"/>
      <c r="AT276" s="91"/>
      <c r="AU276" s="55"/>
      <c r="AV276" s="92"/>
      <c r="AW276" s="92"/>
      <c r="AX276" s="62"/>
      <c r="AY276" s="90"/>
      <c r="AZ276" s="93"/>
      <c r="BA276" s="93"/>
      <c r="BB276" s="93"/>
      <c r="BC276" s="55"/>
      <c r="BD276" s="88"/>
      <c r="BE276" s="88"/>
      <c r="BF276" s="88"/>
      <c r="BG276" s="87"/>
      <c r="BH276" s="84"/>
      <c r="BI276" s="84"/>
      <c r="BJ276" s="90"/>
      <c r="BK276" s="94"/>
      <c r="BL276" s="62"/>
      <c r="BM276" s="84"/>
      <c r="BN276" s="95"/>
      <c r="BO276" s="84"/>
      <c r="BP276" s="84"/>
      <c r="BQ276" s="96"/>
    </row>
    <row r="277">
      <c r="A277" s="50"/>
      <c r="B277" s="83"/>
      <c r="C277" s="83"/>
      <c r="D277" s="84"/>
      <c r="E277" s="85"/>
      <c r="F277" s="85"/>
      <c r="G277" s="85"/>
      <c r="H277" s="86"/>
      <c r="I277" s="85"/>
      <c r="J277" s="87"/>
      <c r="K277" s="84"/>
      <c r="L277" s="84"/>
      <c r="M277" s="84"/>
      <c r="N277" s="55"/>
      <c r="O277" s="88"/>
      <c r="P277" s="88"/>
      <c r="Q277" s="88"/>
      <c r="R277" s="84"/>
      <c r="S277" s="84"/>
      <c r="T277" s="84"/>
      <c r="U277" s="84"/>
      <c r="V277" s="85"/>
      <c r="W277" s="84"/>
      <c r="X277" s="87"/>
      <c r="Y277" s="84"/>
      <c r="Z277" s="84"/>
      <c r="AA277" s="84"/>
      <c r="AB277" s="84"/>
      <c r="AC277" s="84"/>
      <c r="AD277" s="84"/>
      <c r="AE277" s="84"/>
      <c r="AF277" s="84"/>
      <c r="AG277" s="84"/>
      <c r="AH277" s="89"/>
      <c r="AI277" s="84"/>
      <c r="AJ277" s="84"/>
      <c r="AK277" s="84"/>
      <c r="AL277" s="89"/>
      <c r="AM277" s="89"/>
      <c r="AN277" s="55"/>
      <c r="AO277" s="84"/>
      <c r="AP277" s="60"/>
      <c r="AQ277" s="90"/>
      <c r="AR277" s="55"/>
      <c r="AS277" s="55"/>
      <c r="AT277" s="91"/>
      <c r="AU277" s="55"/>
      <c r="AV277" s="92"/>
      <c r="AW277" s="92"/>
      <c r="AX277" s="62"/>
      <c r="AY277" s="90"/>
      <c r="AZ277" s="93"/>
      <c r="BA277" s="93"/>
      <c r="BB277" s="93"/>
      <c r="BC277" s="55"/>
      <c r="BD277" s="88"/>
      <c r="BE277" s="88"/>
      <c r="BF277" s="88"/>
      <c r="BG277" s="87"/>
      <c r="BH277" s="84"/>
      <c r="BI277" s="84"/>
      <c r="BJ277" s="90"/>
      <c r="BK277" s="94"/>
      <c r="BL277" s="62"/>
      <c r="BM277" s="84"/>
      <c r="BN277" s="95"/>
      <c r="BO277" s="84"/>
      <c r="BP277" s="84"/>
      <c r="BQ277" s="96"/>
    </row>
    <row r="278">
      <c r="A278" s="50"/>
      <c r="B278" s="83"/>
      <c r="C278" s="83"/>
      <c r="D278" s="84"/>
      <c r="E278" s="85"/>
      <c r="F278" s="85"/>
      <c r="G278" s="85"/>
      <c r="H278" s="86"/>
      <c r="I278" s="85"/>
      <c r="J278" s="87"/>
      <c r="K278" s="84"/>
      <c r="L278" s="84"/>
      <c r="M278" s="84"/>
      <c r="N278" s="55"/>
      <c r="O278" s="88"/>
      <c r="P278" s="88"/>
      <c r="Q278" s="88"/>
      <c r="R278" s="84"/>
      <c r="S278" s="84"/>
      <c r="T278" s="84"/>
      <c r="U278" s="84"/>
      <c r="V278" s="85"/>
      <c r="W278" s="84"/>
      <c r="X278" s="87"/>
      <c r="Y278" s="84"/>
      <c r="Z278" s="84"/>
      <c r="AA278" s="84"/>
      <c r="AB278" s="84"/>
      <c r="AC278" s="84"/>
      <c r="AD278" s="84"/>
      <c r="AE278" s="84"/>
      <c r="AF278" s="84"/>
      <c r="AG278" s="84"/>
      <c r="AH278" s="89"/>
      <c r="AI278" s="84"/>
      <c r="AJ278" s="84"/>
      <c r="AK278" s="84"/>
      <c r="AL278" s="89"/>
      <c r="AM278" s="89"/>
      <c r="AN278" s="55"/>
      <c r="AO278" s="84"/>
      <c r="AP278" s="60"/>
      <c r="AQ278" s="90"/>
      <c r="AR278" s="55"/>
      <c r="AS278" s="55"/>
      <c r="AT278" s="91"/>
      <c r="AU278" s="55"/>
      <c r="AV278" s="92"/>
      <c r="AW278" s="92"/>
      <c r="AX278" s="62"/>
      <c r="AY278" s="90"/>
      <c r="AZ278" s="93"/>
      <c r="BA278" s="93"/>
      <c r="BB278" s="93"/>
      <c r="BC278" s="55"/>
      <c r="BD278" s="88"/>
      <c r="BE278" s="88"/>
      <c r="BF278" s="88"/>
      <c r="BG278" s="87"/>
      <c r="BH278" s="84"/>
      <c r="BI278" s="84"/>
      <c r="BJ278" s="90"/>
      <c r="BK278" s="94"/>
      <c r="BL278" s="62"/>
      <c r="BM278" s="84"/>
      <c r="BN278" s="95"/>
      <c r="BO278" s="84"/>
      <c r="BP278" s="84"/>
      <c r="BQ278" s="96"/>
    </row>
    <row r="279">
      <c r="A279" s="50"/>
      <c r="B279" s="83"/>
      <c r="C279" s="83"/>
      <c r="D279" s="84"/>
      <c r="E279" s="85"/>
      <c r="F279" s="85"/>
      <c r="G279" s="85"/>
      <c r="H279" s="86"/>
      <c r="I279" s="85"/>
      <c r="J279" s="87"/>
      <c r="K279" s="84"/>
      <c r="L279" s="84"/>
      <c r="M279" s="84"/>
      <c r="N279" s="55"/>
      <c r="O279" s="88"/>
      <c r="P279" s="88"/>
      <c r="Q279" s="88"/>
      <c r="R279" s="84"/>
      <c r="S279" s="84"/>
      <c r="T279" s="84"/>
      <c r="U279" s="84"/>
      <c r="V279" s="85"/>
      <c r="W279" s="84"/>
      <c r="X279" s="87"/>
      <c r="Y279" s="84"/>
      <c r="Z279" s="84"/>
      <c r="AA279" s="84"/>
      <c r="AB279" s="84"/>
      <c r="AC279" s="84"/>
      <c r="AD279" s="84"/>
      <c r="AE279" s="84"/>
      <c r="AF279" s="84"/>
      <c r="AG279" s="84"/>
      <c r="AH279" s="89"/>
      <c r="AI279" s="84"/>
      <c r="AJ279" s="84"/>
      <c r="AK279" s="84"/>
      <c r="AL279" s="89"/>
      <c r="AM279" s="89"/>
      <c r="AN279" s="55"/>
      <c r="AO279" s="84"/>
      <c r="AP279" s="60"/>
      <c r="AQ279" s="90"/>
      <c r="AR279" s="55"/>
      <c r="AS279" s="55"/>
      <c r="AT279" s="91"/>
      <c r="AU279" s="55"/>
      <c r="AV279" s="92"/>
      <c r="AW279" s="92"/>
      <c r="AX279" s="62"/>
      <c r="AY279" s="90"/>
      <c r="AZ279" s="93"/>
      <c r="BA279" s="93"/>
      <c r="BB279" s="93"/>
      <c r="BC279" s="55"/>
      <c r="BD279" s="88"/>
      <c r="BE279" s="88"/>
      <c r="BF279" s="88"/>
      <c r="BG279" s="87"/>
      <c r="BH279" s="84"/>
      <c r="BI279" s="84"/>
      <c r="BJ279" s="90"/>
      <c r="BK279" s="94"/>
      <c r="BL279" s="62"/>
      <c r="BM279" s="84"/>
      <c r="BN279" s="95"/>
      <c r="BO279" s="84"/>
      <c r="BP279" s="84"/>
      <c r="BQ279" s="96"/>
    </row>
    <row r="280">
      <c r="A280" s="50"/>
      <c r="B280" s="83"/>
      <c r="C280" s="83"/>
      <c r="D280" s="84"/>
      <c r="E280" s="85"/>
      <c r="F280" s="85"/>
      <c r="G280" s="85"/>
      <c r="H280" s="86"/>
      <c r="I280" s="85"/>
      <c r="J280" s="87"/>
      <c r="K280" s="84"/>
      <c r="L280" s="84"/>
      <c r="M280" s="84"/>
      <c r="N280" s="55"/>
      <c r="O280" s="88"/>
      <c r="P280" s="88"/>
      <c r="Q280" s="88"/>
      <c r="R280" s="84"/>
      <c r="S280" s="84"/>
      <c r="T280" s="84"/>
      <c r="U280" s="84"/>
      <c r="V280" s="85"/>
      <c r="W280" s="84"/>
      <c r="X280" s="87"/>
      <c r="Y280" s="84"/>
      <c r="Z280" s="84"/>
      <c r="AA280" s="84"/>
      <c r="AB280" s="84"/>
      <c r="AC280" s="84"/>
      <c r="AD280" s="84"/>
      <c r="AE280" s="84"/>
      <c r="AF280" s="84"/>
      <c r="AG280" s="84"/>
      <c r="AH280" s="89"/>
      <c r="AI280" s="84"/>
      <c r="AJ280" s="84"/>
      <c r="AK280" s="84"/>
      <c r="AL280" s="89"/>
      <c r="AM280" s="89"/>
      <c r="AN280" s="55"/>
      <c r="AO280" s="84"/>
      <c r="AP280" s="60"/>
      <c r="AQ280" s="90"/>
      <c r="AR280" s="55"/>
      <c r="AS280" s="55"/>
      <c r="AT280" s="91"/>
      <c r="AU280" s="55"/>
      <c r="AV280" s="92"/>
      <c r="AW280" s="92"/>
      <c r="AX280" s="62"/>
      <c r="AY280" s="90"/>
      <c r="AZ280" s="93"/>
      <c r="BA280" s="93"/>
      <c r="BB280" s="93"/>
      <c r="BC280" s="55"/>
      <c r="BD280" s="88"/>
      <c r="BE280" s="88"/>
      <c r="BF280" s="88"/>
      <c r="BG280" s="87"/>
      <c r="BH280" s="84"/>
      <c r="BI280" s="84"/>
      <c r="BJ280" s="90"/>
      <c r="BK280" s="94"/>
      <c r="BL280" s="62"/>
      <c r="BM280" s="84"/>
      <c r="BN280" s="95"/>
      <c r="BO280" s="84"/>
      <c r="BP280" s="84"/>
      <c r="BQ280" s="96"/>
    </row>
    <row r="281">
      <c r="A281" s="50"/>
      <c r="B281" s="83"/>
      <c r="C281" s="83"/>
      <c r="D281" s="84"/>
      <c r="E281" s="85"/>
      <c r="F281" s="85"/>
      <c r="G281" s="85"/>
      <c r="H281" s="86"/>
      <c r="I281" s="85"/>
      <c r="J281" s="87"/>
      <c r="K281" s="84"/>
      <c r="L281" s="84"/>
      <c r="M281" s="84"/>
      <c r="N281" s="55"/>
      <c r="O281" s="88"/>
      <c r="P281" s="88"/>
      <c r="Q281" s="88"/>
      <c r="R281" s="84"/>
      <c r="S281" s="84"/>
      <c r="T281" s="84"/>
      <c r="U281" s="84"/>
      <c r="V281" s="85"/>
      <c r="W281" s="84"/>
      <c r="X281" s="87"/>
      <c r="Y281" s="84"/>
      <c r="Z281" s="84"/>
      <c r="AA281" s="84"/>
      <c r="AB281" s="84"/>
      <c r="AC281" s="84"/>
      <c r="AD281" s="84"/>
      <c r="AE281" s="84"/>
      <c r="AF281" s="84"/>
      <c r="AG281" s="84"/>
      <c r="AH281" s="89"/>
      <c r="AI281" s="84"/>
      <c r="AJ281" s="84"/>
      <c r="AK281" s="84"/>
      <c r="AL281" s="89"/>
      <c r="AM281" s="89"/>
      <c r="AN281" s="55"/>
      <c r="AO281" s="84"/>
      <c r="AP281" s="60"/>
      <c r="AQ281" s="90"/>
      <c r="AR281" s="55"/>
      <c r="AS281" s="55"/>
      <c r="AT281" s="91"/>
      <c r="AU281" s="55"/>
      <c r="AV281" s="92"/>
      <c r="AW281" s="92"/>
      <c r="AX281" s="62"/>
      <c r="AY281" s="90"/>
      <c r="AZ281" s="93"/>
      <c r="BA281" s="93"/>
      <c r="BB281" s="93"/>
      <c r="BC281" s="55"/>
      <c r="BD281" s="88"/>
      <c r="BE281" s="88"/>
      <c r="BF281" s="88"/>
      <c r="BG281" s="87"/>
      <c r="BH281" s="84"/>
      <c r="BI281" s="84"/>
      <c r="BJ281" s="90"/>
      <c r="BK281" s="94"/>
      <c r="BL281" s="62"/>
      <c r="BM281" s="84"/>
      <c r="BN281" s="95"/>
      <c r="BO281" s="84"/>
      <c r="BP281" s="84"/>
      <c r="BQ281" s="96"/>
    </row>
    <row r="282">
      <c r="A282" s="50"/>
      <c r="B282" s="83"/>
      <c r="C282" s="83"/>
      <c r="D282" s="84"/>
      <c r="E282" s="85"/>
      <c r="F282" s="85"/>
      <c r="G282" s="85"/>
      <c r="H282" s="86"/>
      <c r="I282" s="85"/>
      <c r="J282" s="87"/>
      <c r="K282" s="84"/>
      <c r="L282" s="84"/>
      <c r="M282" s="84"/>
      <c r="N282" s="55"/>
      <c r="O282" s="88"/>
      <c r="P282" s="88"/>
      <c r="Q282" s="88"/>
      <c r="R282" s="84"/>
      <c r="S282" s="84"/>
      <c r="T282" s="84"/>
      <c r="U282" s="84"/>
      <c r="V282" s="85"/>
      <c r="W282" s="84"/>
      <c r="X282" s="87"/>
      <c r="Y282" s="84"/>
      <c r="Z282" s="84"/>
      <c r="AA282" s="84"/>
      <c r="AB282" s="84"/>
      <c r="AC282" s="84"/>
      <c r="AD282" s="84"/>
      <c r="AE282" s="84"/>
      <c r="AF282" s="84"/>
      <c r="AG282" s="84"/>
      <c r="AH282" s="89"/>
      <c r="AI282" s="84"/>
      <c r="AJ282" s="84"/>
      <c r="AK282" s="84"/>
      <c r="AL282" s="89"/>
      <c r="AM282" s="89"/>
      <c r="AN282" s="55"/>
      <c r="AO282" s="84"/>
      <c r="AP282" s="60"/>
      <c r="AQ282" s="90"/>
      <c r="AR282" s="55"/>
      <c r="AS282" s="55"/>
      <c r="AT282" s="91"/>
      <c r="AU282" s="55"/>
      <c r="AV282" s="92"/>
      <c r="AW282" s="92"/>
      <c r="AX282" s="62"/>
      <c r="AY282" s="90"/>
      <c r="AZ282" s="93"/>
      <c r="BA282" s="93"/>
      <c r="BB282" s="93"/>
      <c r="BC282" s="55"/>
      <c r="BD282" s="88"/>
      <c r="BE282" s="88"/>
      <c r="BF282" s="88"/>
      <c r="BG282" s="87"/>
      <c r="BH282" s="84"/>
      <c r="BI282" s="84"/>
      <c r="BJ282" s="90"/>
      <c r="BK282" s="94"/>
      <c r="BL282" s="62"/>
      <c r="BM282" s="84"/>
      <c r="BN282" s="95"/>
      <c r="BO282" s="84"/>
      <c r="BP282" s="84"/>
      <c r="BQ282" s="96"/>
    </row>
    <row r="283">
      <c r="A283" s="50"/>
      <c r="B283" s="83"/>
      <c r="C283" s="83"/>
      <c r="D283" s="84"/>
      <c r="E283" s="85"/>
      <c r="F283" s="85"/>
      <c r="G283" s="85"/>
      <c r="H283" s="86"/>
      <c r="I283" s="85"/>
      <c r="J283" s="87"/>
      <c r="K283" s="84"/>
      <c r="L283" s="84"/>
      <c r="M283" s="84"/>
      <c r="N283" s="55"/>
      <c r="O283" s="88"/>
      <c r="P283" s="88"/>
      <c r="Q283" s="88"/>
      <c r="R283" s="84"/>
      <c r="S283" s="84"/>
      <c r="T283" s="84"/>
      <c r="U283" s="84"/>
      <c r="V283" s="85"/>
      <c r="W283" s="84"/>
      <c r="X283" s="87"/>
      <c r="Y283" s="84"/>
      <c r="Z283" s="84"/>
      <c r="AA283" s="84"/>
      <c r="AB283" s="84"/>
      <c r="AC283" s="84"/>
      <c r="AD283" s="84"/>
      <c r="AE283" s="84"/>
      <c r="AF283" s="84"/>
      <c r="AG283" s="84"/>
      <c r="AH283" s="89"/>
      <c r="AI283" s="84"/>
      <c r="AJ283" s="84"/>
      <c r="AK283" s="84"/>
      <c r="AL283" s="89"/>
      <c r="AM283" s="89"/>
      <c r="AN283" s="55"/>
      <c r="AO283" s="84"/>
      <c r="AP283" s="60"/>
      <c r="AQ283" s="90"/>
      <c r="AR283" s="55"/>
      <c r="AS283" s="55"/>
      <c r="AT283" s="91"/>
      <c r="AU283" s="55"/>
      <c r="AV283" s="92"/>
      <c r="AW283" s="92"/>
      <c r="AX283" s="62"/>
      <c r="AY283" s="90"/>
      <c r="AZ283" s="93"/>
      <c r="BA283" s="93"/>
      <c r="BB283" s="93"/>
      <c r="BC283" s="55"/>
      <c r="BD283" s="88"/>
      <c r="BE283" s="88"/>
      <c r="BF283" s="88"/>
      <c r="BG283" s="87"/>
      <c r="BH283" s="84"/>
      <c r="BI283" s="84"/>
      <c r="BJ283" s="90"/>
      <c r="BK283" s="94"/>
      <c r="BL283" s="62"/>
      <c r="BM283" s="84"/>
      <c r="BN283" s="95"/>
      <c r="BO283" s="84"/>
      <c r="BP283" s="84"/>
      <c r="BQ283" s="96"/>
    </row>
    <row r="284">
      <c r="A284" s="50"/>
      <c r="B284" s="83"/>
      <c r="C284" s="83"/>
      <c r="D284" s="84"/>
      <c r="E284" s="85"/>
      <c r="F284" s="85"/>
      <c r="G284" s="85"/>
      <c r="H284" s="86"/>
      <c r="I284" s="85"/>
      <c r="J284" s="87"/>
      <c r="K284" s="84"/>
      <c r="L284" s="84"/>
      <c r="M284" s="84"/>
      <c r="N284" s="55"/>
      <c r="O284" s="88"/>
      <c r="P284" s="88"/>
      <c r="Q284" s="88"/>
      <c r="R284" s="84"/>
      <c r="S284" s="84"/>
      <c r="T284" s="84"/>
      <c r="U284" s="84"/>
      <c r="V284" s="85"/>
      <c r="W284" s="84"/>
      <c r="X284" s="87"/>
      <c r="Y284" s="84"/>
      <c r="Z284" s="84"/>
      <c r="AA284" s="84"/>
      <c r="AB284" s="84"/>
      <c r="AC284" s="84"/>
      <c r="AD284" s="84"/>
      <c r="AE284" s="84"/>
      <c r="AF284" s="84"/>
      <c r="AG284" s="84"/>
      <c r="AH284" s="89"/>
      <c r="AI284" s="84"/>
      <c r="AJ284" s="84"/>
      <c r="AK284" s="84"/>
      <c r="AL284" s="89"/>
      <c r="AM284" s="89"/>
      <c r="AN284" s="55"/>
      <c r="AO284" s="84"/>
      <c r="AP284" s="60"/>
      <c r="AQ284" s="90"/>
      <c r="AR284" s="55"/>
      <c r="AS284" s="55"/>
      <c r="AT284" s="91"/>
      <c r="AU284" s="55"/>
      <c r="AV284" s="92"/>
      <c r="AW284" s="92"/>
      <c r="AX284" s="62"/>
      <c r="AY284" s="90"/>
      <c r="AZ284" s="93"/>
      <c r="BA284" s="93"/>
      <c r="BB284" s="93"/>
      <c r="BC284" s="55"/>
      <c r="BD284" s="88"/>
      <c r="BE284" s="88"/>
      <c r="BF284" s="88"/>
      <c r="BG284" s="87"/>
      <c r="BH284" s="84"/>
      <c r="BI284" s="84"/>
      <c r="BJ284" s="90"/>
      <c r="BK284" s="94"/>
      <c r="BL284" s="62"/>
      <c r="BM284" s="84"/>
      <c r="BN284" s="95"/>
      <c r="BO284" s="84"/>
      <c r="BP284" s="84"/>
      <c r="BQ284" s="96"/>
    </row>
    <row r="285">
      <c r="A285" s="50"/>
      <c r="B285" s="83"/>
      <c r="C285" s="83"/>
      <c r="D285" s="84"/>
      <c r="E285" s="85"/>
      <c r="F285" s="85"/>
      <c r="G285" s="85"/>
      <c r="H285" s="86"/>
      <c r="I285" s="85"/>
      <c r="J285" s="87"/>
      <c r="K285" s="84"/>
      <c r="L285" s="84"/>
      <c r="M285" s="84"/>
      <c r="N285" s="55"/>
      <c r="O285" s="88"/>
      <c r="P285" s="88"/>
      <c r="Q285" s="88"/>
      <c r="R285" s="84"/>
      <c r="S285" s="84"/>
      <c r="T285" s="84"/>
      <c r="U285" s="84"/>
      <c r="V285" s="85"/>
      <c r="W285" s="84"/>
      <c r="X285" s="87"/>
      <c r="Y285" s="84"/>
      <c r="Z285" s="84"/>
      <c r="AA285" s="84"/>
      <c r="AB285" s="84"/>
      <c r="AC285" s="84"/>
      <c r="AD285" s="84"/>
      <c r="AE285" s="84"/>
      <c r="AF285" s="84"/>
      <c r="AG285" s="84"/>
      <c r="AH285" s="89"/>
      <c r="AI285" s="84"/>
      <c r="AJ285" s="84"/>
      <c r="AK285" s="84"/>
      <c r="AL285" s="89"/>
      <c r="AM285" s="89"/>
      <c r="AN285" s="55"/>
      <c r="AO285" s="84"/>
      <c r="AP285" s="60"/>
      <c r="AQ285" s="90"/>
      <c r="AR285" s="55"/>
      <c r="AS285" s="55"/>
      <c r="AT285" s="91"/>
      <c r="AU285" s="55"/>
      <c r="AV285" s="92"/>
      <c r="AW285" s="92"/>
      <c r="AX285" s="62"/>
      <c r="AY285" s="90"/>
      <c r="AZ285" s="93"/>
      <c r="BA285" s="93"/>
      <c r="BB285" s="93"/>
      <c r="BC285" s="55"/>
      <c r="BD285" s="88"/>
      <c r="BE285" s="88"/>
      <c r="BF285" s="88"/>
      <c r="BG285" s="87"/>
      <c r="BH285" s="84"/>
      <c r="BI285" s="84"/>
      <c r="BJ285" s="90"/>
      <c r="BK285" s="94"/>
      <c r="BL285" s="62"/>
      <c r="BM285" s="84"/>
      <c r="BN285" s="95"/>
      <c r="BO285" s="84"/>
      <c r="BP285" s="84"/>
      <c r="BQ285" s="96"/>
    </row>
    <row r="286">
      <c r="A286" s="50"/>
      <c r="B286" s="83"/>
      <c r="C286" s="83"/>
      <c r="D286" s="84"/>
      <c r="E286" s="85"/>
      <c r="F286" s="85"/>
      <c r="G286" s="85"/>
      <c r="H286" s="86"/>
      <c r="I286" s="85"/>
      <c r="J286" s="87"/>
      <c r="K286" s="84"/>
      <c r="L286" s="84"/>
      <c r="M286" s="84"/>
      <c r="N286" s="55"/>
      <c r="O286" s="88"/>
      <c r="P286" s="88"/>
      <c r="Q286" s="88"/>
      <c r="R286" s="84"/>
      <c r="S286" s="84"/>
      <c r="T286" s="84"/>
      <c r="U286" s="84"/>
      <c r="V286" s="85"/>
      <c r="W286" s="84"/>
      <c r="X286" s="87"/>
      <c r="Y286" s="84"/>
      <c r="Z286" s="84"/>
      <c r="AA286" s="84"/>
      <c r="AB286" s="84"/>
      <c r="AC286" s="84"/>
      <c r="AD286" s="84"/>
      <c r="AE286" s="84"/>
      <c r="AF286" s="84"/>
      <c r="AG286" s="84"/>
      <c r="AH286" s="89"/>
      <c r="AI286" s="84"/>
      <c r="AJ286" s="84"/>
      <c r="AK286" s="84"/>
      <c r="AL286" s="89"/>
      <c r="AM286" s="89"/>
      <c r="AN286" s="55"/>
      <c r="AO286" s="84"/>
      <c r="AP286" s="60"/>
      <c r="AQ286" s="90"/>
      <c r="AR286" s="55"/>
      <c r="AS286" s="55"/>
      <c r="AT286" s="91"/>
      <c r="AU286" s="55"/>
      <c r="AV286" s="92"/>
      <c r="AW286" s="92"/>
      <c r="AX286" s="62"/>
      <c r="AY286" s="90"/>
      <c r="AZ286" s="93"/>
      <c r="BA286" s="93"/>
      <c r="BB286" s="93"/>
      <c r="BC286" s="55"/>
      <c r="BD286" s="88"/>
      <c r="BE286" s="88"/>
      <c r="BF286" s="88"/>
      <c r="BG286" s="87"/>
      <c r="BH286" s="84"/>
      <c r="BI286" s="84"/>
      <c r="BJ286" s="90"/>
      <c r="BK286" s="94"/>
      <c r="BL286" s="62"/>
      <c r="BM286" s="84"/>
      <c r="BN286" s="95"/>
      <c r="BO286" s="84"/>
      <c r="BP286" s="84"/>
      <c r="BQ286" s="96"/>
    </row>
    <row r="287">
      <c r="A287" s="50"/>
      <c r="B287" s="83"/>
      <c r="C287" s="83"/>
      <c r="D287" s="84"/>
      <c r="E287" s="85"/>
      <c r="F287" s="85"/>
      <c r="G287" s="85"/>
      <c r="H287" s="86"/>
      <c r="I287" s="85"/>
      <c r="J287" s="87"/>
      <c r="K287" s="84"/>
      <c r="L287" s="84"/>
      <c r="M287" s="84"/>
      <c r="N287" s="55"/>
      <c r="O287" s="88"/>
      <c r="P287" s="88"/>
      <c r="Q287" s="88"/>
      <c r="R287" s="84"/>
      <c r="S287" s="84"/>
      <c r="T287" s="84"/>
      <c r="U287" s="84"/>
      <c r="V287" s="85"/>
      <c r="W287" s="84"/>
      <c r="X287" s="87"/>
      <c r="Y287" s="84"/>
      <c r="Z287" s="84"/>
      <c r="AA287" s="84"/>
      <c r="AB287" s="84"/>
      <c r="AC287" s="84"/>
      <c r="AD287" s="84"/>
      <c r="AE287" s="84"/>
      <c r="AF287" s="84"/>
      <c r="AG287" s="84"/>
      <c r="AH287" s="89"/>
      <c r="AI287" s="84"/>
      <c r="AJ287" s="84"/>
      <c r="AK287" s="84"/>
      <c r="AL287" s="89"/>
      <c r="AM287" s="89"/>
      <c r="AN287" s="55"/>
      <c r="AO287" s="84"/>
      <c r="AP287" s="60"/>
      <c r="AQ287" s="90"/>
      <c r="AR287" s="55"/>
      <c r="AS287" s="55"/>
      <c r="AT287" s="91"/>
      <c r="AU287" s="55"/>
      <c r="AV287" s="92"/>
      <c r="AW287" s="92"/>
      <c r="AX287" s="62"/>
      <c r="AY287" s="90"/>
      <c r="AZ287" s="93"/>
      <c r="BA287" s="93"/>
      <c r="BB287" s="93"/>
      <c r="BC287" s="55"/>
      <c r="BD287" s="88"/>
      <c r="BE287" s="88"/>
      <c r="BF287" s="88"/>
      <c r="BG287" s="87"/>
      <c r="BH287" s="84"/>
      <c r="BI287" s="84"/>
      <c r="BJ287" s="90"/>
      <c r="BK287" s="94"/>
      <c r="BL287" s="62"/>
      <c r="BM287" s="84"/>
      <c r="BN287" s="95"/>
      <c r="BO287" s="84"/>
      <c r="BP287" s="84"/>
      <c r="BQ287" s="96"/>
    </row>
    <row r="288">
      <c r="A288" s="50"/>
      <c r="B288" s="83"/>
      <c r="C288" s="83"/>
      <c r="D288" s="84"/>
      <c r="E288" s="85"/>
      <c r="F288" s="85"/>
      <c r="G288" s="85"/>
      <c r="H288" s="86"/>
      <c r="I288" s="85"/>
      <c r="J288" s="87"/>
      <c r="K288" s="84"/>
      <c r="L288" s="84"/>
      <c r="M288" s="84"/>
      <c r="N288" s="55"/>
      <c r="O288" s="88"/>
      <c r="P288" s="88"/>
      <c r="Q288" s="88"/>
      <c r="R288" s="84"/>
      <c r="S288" s="84"/>
      <c r="T288" s="84"/>
      <c r="U288" s="84"/>
      <c r="V288" s="85"/>
      <c r="W288" s="84"/>
      <c r="X288" s="87"/>
      <c r="Y288" s="84"/>
      <c r="Z288" s="84"/>
      <c r="AA288" s="84"/>
      <c r="AB288" s="84"/>
      <c r="AC288" s="84"/>
      <c r="AD288" s="84"/>
      <c r="AE288" s="84"/>
      <c r="AF288" s="84"/>
      <c r="AG288" s="84"/>
      <c r="AH288" s="89"/>
      <c r="AI288" s="84"/>
      <c r="AJ288" s="84"/>
      <c r="AK288" s="84"/>
      <c r="AL288" s="89"/>
      <c r="AM288" s="89"/>
      <c r="AN288" s="55"/>
      <c r="AO288" s="84"/>
      <c r="AP288" s="60"/>
      <c r="AQ288" s="90"/>
      <c r="AR288" s="55"/>
      <c r="AS288" s="55"/>
      <c r="AT288" s="91"/>
      <c r="AU288" s="55"/>
      <c r="AV288" s="92"/>
      <c r="AW288" s="92"/>
      <c r="AX288" s="62"/>
      <c r="AY288" s="90"/>
      <c r="AZ288" s="93"/>
      <c r="BA288" s="93"/>
      <c r="BB288" s="93"/>
      <c r="BC288" s="55"/>
      <c r="BD288" s="88"/>
      <c r="BE288" s="88"/>
      <c r="BF288" s="88"/>
      <c r="BG288" s="87"/>
      <c r="BH288" s="84"/>
      <c r="BI288" s="84"/>
      <c r="BJ288" s="90"/>
      <c r="BK288" s="94"/>
      <c r="BL288" s="62"/>
      <c r="BM288" s="84"/>
      <c r="BN288" s="95"/>
      <c r="BO288" s="84"/>
      <c r="BP288" s="84"/>
      <c r="BQ288" s="96"/>
    </row>
    <row r="289">
      <c r="A289" s="50"/>
      <c r="B289" s="83"/>
      <c r="C289" s="83"/>
      <c r="D289" s="84"/>
      <c r="E289" s="85"/>
      <c r="F289" s="85"/>
      <c r="G289" s="85"/>
      <c r="H289" s="86"/>
      <c r="I289" s="85"/>
      <c r="J289" s="87"/>
      <c r="K289" s="84"/>
      <c r="L289" s="84"/>
      <c r="M289" s="84"/>
      <c r="N289" s="55"/>
      <c r="O289" s="88"/>
      <c r="P289" s="88"/>
      <c r="Q289" s="88"/>
      <c r="R289" s="84"/>
      <c r="S289" s="84"/>
      <c r="T289" s="84"/>
      <c r="U289" s="84"/>
      <c r="V289" s="85"/>
      <c r="W289" s="84"/>
      <c r="X289" s="87"/>
      <c r="Y289" s="84"/>
      <c r="Z289" s="84"/>
      <c r="AA289" s="84"/>
      <c r="AB289" s="84"/>
      <c r="AC289" s="84"/>
      <c r="AD289" s="84"/>
      <c r="AE289" s="84"/>
      <c r="AF289" s="84"/>
      <c r="AG289" s="84"/>
      <c r="AH289" s="89"/>
      <c r="AI289" s="84"/>
      <c r="AJ289" s="84"/>
      <c r="AK289" s="84"/>
      <c r="AL289" s="89"/>
      <c r="AM289" s="89"/>
      <c r="AN289" s="55"/>
      <c r="AO289" s="84"/>
      <c r="AP289" s="60"/>
      <c r="AQ289" s="90"/>
      <c r="AR289" s="55"/>
      <c r="AS289" s="55"/>
      <c r="AT289" s="91"/>
      <c r="AU289" s="55"/>
      <c r="AV289" s="92"/>
      <c r="AW289" s="92"/>
      <c r="AX289" s="62"/>
      <c r="AY289" s="90"/>
      <c r="AZ289" s="93"/>
      <c r="BA289" s="93"/>
      <c r="BB289" s="93"/>
      <c r="BC289" s="55"/>
      <c r="BD289" s="88"/>
      <c r="BE289" s="88"/>
      <c r="BF289" s="88"/>
      <c r="BG289" s="87"/>
      <c r="BH289" s="84"/>
      <c r="BI289" s="84"/>
      <c r="BJ289" s="90"/>
      <c r="BK289" s="94"/>
      <c r="BL289" s="62"/>
      <c r="BM289" s="84"/>
      <c r="BN289" s="95"/>
      <c r="BO289" s="84"/>
      <c r="BP289" s="84"/>
      <c r="BQ289" s="96"/>
    </row>
    <row r="290">
      <c r="A290" s="50"/>
      <c r="B290" s="83"/>
      <c r="C290" s="83"/>
      <c r="D290" s="84"/>
      <c r="E290" s="85"/>
      <c r="F290" s="85"/>
      <c r="G290" s="85"/>
      <c r="H290" s="86"/>
      <c r="I290" s="85"/>
      <c r="J290" s="87"/>
      <c r="K290" s="84"/>
      <c r="L290" s="84"/>
      <c r="M290" s="84"/>
      <c r="N290" s="55"/>
      <c r="O290" s="88"/>
      <c r="P290" s="88"/>
      <c r="Q290" s="88"/>
      <c r="R290" s="84"/>
      <c r="S290" s="84"/>
      <c r="T290" s="84"/>
      <c r="U290" s="84"/>
      <c r="V290" s="85"/>
      <c r="W290" s="84"/>
      <c r="X290" s="87"/>
      <c r="Y290" s="84"/>
      <c r="Z290" s="84"/>
      <c r="AA290" s="84"/>
      <c r="AB290" s="84"/>
      <c r="AC290" s="84"/>
      <c r="AD290" s="84"/>
      <c r="AE290" s="84"/>
      <c r="AF290" s="84"/>
      <c r="AG290" s="84"/>
      <c r="AH290" s="89"/>
      <c r="AI290" s="84"/>
      <c r="AJ290" s="84"/>
      <c r="AK290" s="84"/>
      <c r="AL290" s="89"/>
      <c r="AM290" s="89"/>
      <c r="AN290" s="55"/>
      <c r="AO290" s="84"/>
      <c r="AP290" s="60"/>
      <c r="AQ290" s="90"/>
      <c r="AR290" s="55"/>
      <c r="AS290" s="55"/>
      <c r="AT290" s="91"/>
      <c r="AU290" s="55"/>
      <c r="AV290" s="92"/>
      <c r="AW290" s="92"/>
      <c r="AX290" s="62"/>
      <c r="AY290" s="90"/>
      <c r="AZ290" s="93"/>
      <c r="BA290" s="93"/>
      <c r="BB290" s="93"/>
      <c r="BC290" s="55"/>
      <c r="BD290" s="88"/>
      <c r="BE290" s="88"/>
      <c r="BF290" s="88"/>
      <c r="BG290" s="87"/>
      <c r="BH290" s="84"/>
      <c r="BI290" s="84"/>
      <c r="BJ290" s="90"/>
      <c r="BK290" s="94"/>
      <c r="BL290" s="62"/>
      <c r="BM290" s="84"/>
      <c r="BN290" s="95"/>
      <c r="BO290" s="84"/>
      <c r="BP290" s="84"/>
      <c r="BQ290" s="96"/>
    </row>
    <row r="291">
      <c r="A291" s="50"/>
      <c r="B291" s="83"/>
      <c r="C291" s="83"/>
      <c r="D291" s="84"/>
      <c r="E291" s="85"/>
      <c r="F291" s="85"/>
      <c r="G291" s="85"/>
      <c r="H291" s="86"/>
      <c r="I291" s="85"/>
      <c r="J291" s="87"/>
      <c r="K291" s="84"/>
      <c r="L291" s="84"/>
      <c r="M291" s="84"/>
      <c r="N291" s="55"/>
      <c r="O291" s="88"/>
      <c r="P291" s="88"/>
      <c r="Q291" s="88"/>
      <c r="R291" s="84"/>
      <c r="S291" s="84"/>
      <c r="T291" s="84"/>
      <c r="U291" s="84"/>
      <c r="V291" s="85"/>
      <c r="W291" s="84"/>
      <c r="X291" s="87"/>
      <c r="Y291" s="84"/>
      <c r="Z291" s="84"/>
      <c r="AA291" s="84"/>
      <c r="AB291" s="84"/>
      <c r="AC291" s="84"/>
      <c r="AD291" s="84"/>
      <c r="AE291" s="84"/>
      <c r="AF291" s="84"/>
      <c r="AG291" s="84"/>
      <c r="AH291" s="89"/>
      <c r="AI291" s="84"/>
      <c r="AJ291" s="84"/>
      <c r="AK291" s="84"/>
      <c r="AL291" s="89"/>
      <c r="AM291" s="89"/>
      <c r="AN291" s="55"/>
      <c r="AO291" s="84"/>
      <c r="AP291" s="60"/>
      <c r="AQ291" s="90"/>
      <c r="AR291" s="55"/>
      <c r="AS291" s="55"/>
      <c r="AT291" s="91"/>
      <c r="AU291" s="55"/>
      <c r="AV291" s="92"/>
      <c r="AW291" s="92"/>
      <c r="AX291" s="62"/>
      <c r="AY291" s="90"/>
      <c r="AZ291" s="93"/>
      <c r="BA291" s="93"/>
      <c r="BB291" s="93"/>
      <c r="BC291" s="55"/>
      <c r="BD291" s="88"/>
      <c r="BE291" s="88"/>
      <c r="BF291" s="88"/>
      <c r="BG291" s="87"/>
      <c r="BH291" s="84"/>
      <c r="BI291" s="84"/>
      <c r="BJ291" s="90"/>
      <c r="BK291" s="94"/>
      <c r="BL291" s="62"/>
      <c r="BM291" s="84"/>
      <c r="BN291" s="95"/>
      <c r="BO291" s="84"/>
      <c r="BP291" s="84"/>
      <c r="BQ291" s="96"/>
    </row>
    <row r="292">
      <c r="A292" s="50"/>
      <c r="B292" s="83"/>
      <c r="C292" s="83"/>
      <c r="D292" s="84"/>
      <c r="E292" s="85"/>
      <c r="F292" s="85"/>
      <c r="G292" s="85"/>
      <c r="H292" s="86"/>
      <c r="I292" s="85"/>
      <c r="J292" s="87"/>
      <c r="K292" s="84"/>
      <c r="L292" s="84"/>
      <c r="M292" s="84"/>
      <c r="N292" s="55"/>
      <c r="O292" s="88"/>
      <c r="P292" s="88"/>
      <c r="Q292" s="88"/>
      <c r="R292" s="84"/>
      <c r="S292" s="84"/>
      <c r="T292" s="84"/>
      <c r="U292" s="84"/>
      <c r="V292" s="85"/>
      <c r="W292" s="84"/>
      <c r="X292" s="87"/>
      <c r="Y292" s="84"/>
      <c r="Z292" s="84"/>
      <c r="AA292" s="84"/>
      <c r="AB292" s="84"/>
      <c r="AC292" s="84"/>
      <c r="AD292" s="84"/>
      <c r="AE292" s="84"/>
      <c r="AF292" s="84"/>
      <c r="AG292" s="84"/>
      <c r="AH292" s="89"/>
      <c r="AI292" s="84"/>
      <c r="AJ292" s="84"/>
      <c r="AK292" s="84"/>
      <c r="AL292" s="89"/>
      <c r="AM292" s="89"/>
      <c r="AN292" s="55"/>
      <c r="AO292" s="84"/>
      <c r="AP292" s="60"/>
      <c r="AQ292" s="90"/>
      <c r="AR292" s="55"/>
      <c r="AS292" s="55"/>
      <c r="AT292" s="91"/>
      <c r="AU292" s="55"/>
      <c r="AV292" s="92"/>
      <c r="AW292" s="92"/>
      <c r="AX292" s="62"/>
      <c r="AY292" s="90"/>
      <c r="AZ292" s="93"/>
      <c r="BA292" s="93"/>
      <c r="BB292" s="93"/>
      <c r="BC292" s="55"/>
      <c r="BD292" s="88"/>
      <c r="BE292" s="88"/>
      <c r="BF292" s="88"/>
      <c r="BG292" s="87"/>
      <c r="BH292" s="84"/>
      <c r="BI292" s="84"/>
      <c r="BJ292" s="90"/>
      <c r="BK292" s="94"/>
      <c r="BL292" s="62"/>
      <c r="BM292" s="84"/>
      <c r="BN292" s="95"/>
      <c r="BO292" s="84"/>
      <c r="BP292" s="84"/>
      <c r="BQ292" s="96"/>
    </row>
    <row r="293">
      <c r="A293" s="50"/>
      <c r="B293" s="83"/>
      <c r="C293" s="83"/>
      <c r="D293" s="84"/>
      <c r="E293" s="85"/>
      <c r="F293" s="85"/>
      <c r="G293" s="85"/>
      <c r="H293" s="86"/>
      <c r="I293" s="85"/>
      <c r="J293" s="87"/>
      <c r="K293" s="84"/>
      <c r="L293" s="84"/>
      <c r="M293" s="84"/>
      <c r="N293" s="55"/>
      <c r="O293" s="88"/>
      <c r="P293" s="88"/>
      <c r="Q293" s="88"/>
      <c r="R293" s="84"/>
      <c r="S293" s="84"/>
      <c r="T293" s="84"/>
      <c r="U293" s="84"/>
      <c r="V293" s="85"/>
      <c r="W293" s="84"/>
      <c r="X293" s="87"/>
      <c r="Y293" s="84"/>
      <c r="Z293" s="84"/>
      <c r="AA293" s="84"/>
      <c r="AB293" s="84"/>
      <c r="AC293" s="84"/>
      <c r="AD293" s="84"/>
      <c r="AE293" s="84"/>
      <c r="AF293" s="84"/>
      <c r="AG293" s="84"/>
      <c r="AH293" s="89"/>
      <c r="AI293" s="84"/>
      <c r="AJ293" s="84"/>
      <c r="AK293" s="84"/>
      <c r="AL293" s="89"/>
      <c r="AM293" s="89"/>
      <c r="AN293" s="55"/>
      <c r="AO293" s="84"/>
      <c r="AP293" s="60"/>
      <c r="AQ293" s="90"/>
      <c r="AR293" s="55"/>
      <c r="AS293" s="55"/>
      <c r="AT293" s="91"/>
      <c r="AU293" s="55"/>
      <c r="AV293" s="92"/>
      <c r="AW293" s="92"/>
      <c r="AX293" s="62"/>
      <c r="AY293" s="90"/>
      <c r="AZ293" s="93"/>
      <c r="BA293" s="93"/>
      <c r="BB293" s="93"/>
      <c r="BC293" s="55"/>
      <c r="BD293" s="88"/>
      <c r="BE293" s="88"/>
      <c r="BF293" s="88"/>
      <c r="BG293" s="87"/>
      <c r="BH293" s="84"/>
      <c r="BI293" s="84"/>
      <c r="BJ293" s="90"/>
      <c r="BK293" s="94"/>
      <c r="BL293" s="62"/>
      <c r="BM293" s="84"/>
      <c r="BN293" s="95"/>
      <c r="BO293" s="84"/>
      <c r="BP293" s="84"/>
      <c r="BQ293" s="96"/>
    </row>
    <row r="294">
      <c r="A294" s="50"/>
      <c r="B294" s="83"/>
      <c r="C294" s="83"/>
      <c r="D294" s="84"/>
      <c r="E294" s="85"/>
      <c r="F294" s="85"/>
      <c r="G294" s="85"/>
      <c r="H294" s="86"/>
      <c r="I294" s="85"/>
      <c r="J294" s="87"/>
      <c r="K294" s="84"/>
      <c r="L294" s="84"/>
      <c r="M294" s="84"/>
      <c r="N294" s="55"/>
      <c r="O294" s="88"/>
      <c r="P294" s="88"/>
      <c r="Q294" s="88"/>
      <c r="R294" s="84"/>
      <c r="S294" s="84"/>
      <c r="T294" s="84"/>
      <c r="U294" s="84"/>
      <c r="V294" s="85"/>
      <c r="W294" s="84"/>
      <c r="X294" s="87"/>
      <c r="Y294" s="84"/>
      <c r="Z294" s="84"/>
      <c r="AA294" s="84"/>
      <c r="AB294" s="84"/>
      <c r="AC294" s="84"/>
      <c r="AD294" s="84"/>
      <c r="AE294" s="84"/>
      <c r="AF294" s="84"/>
      <c r="AG294" s="84"/>
      <c r="AH294" s="89"/>
      <c r="AI294" s="84"/>
      <c r="AJ294" s="84"/>
      <c r="AK294" s="84"/>
      <c r="AL294" s="89"/>
      <c r="AM294" s="89"/>
      <c r="AN294" s="55"/>
      <c r="AO294" s="84"/>
      <c r="AP294" s="60"/>
      <c r="AQ294" s="90"/>
      <c r="AR294" s="55"/>
      <c r="AS294" s="55"/>
      <c r="AT294" s="91"/>
      <c r="AU294" s="55"/>
      <c r="AV294" s="92"/>
      <c r="AW294" s="92"/>
      <c r="AX294" s="62"/>
      <c r="AY294" s="90"/>
      <c r="AZ294" s="93"/>
      <c r="BA294" s="93"/>
      <c r="BB294" s="93"/>
      <c r="BC294" s="55"/>
      <c r="BD294" s="88"/>
      <c r="BE294" s="88"/>
      <c r="BF294" s="88"/>
      <c r="BG294" s="87"/>
      <c r="BH294" s="84"/>
      <c r="BI294" s="84"/>
      <c r="BJ294" s="90"/>
      <c r="BK294" s="94"/>
      <c r="BL294" s="62"/>
      <c r="BM294" s="84"/>
      <c r="BN294" s="95"/>
      <c r="BO294" s="84"/>
      <c r="BP294" s="84"/>
      <c r="BQ294" s="96"/>
    </row>
    <row r="295">
      <c r="A295" s="50"/>
      <c r="B295" s="83"/>
      <c r="C295" s="83"/>
      <c r="D295" s="84"/>
      <c r="E295" s="85"/>
      <c r="F295" s="85"/>
      <c r="G295" s="85"/>
      <c r="H295" s="86"/>
      <c r="I295" s="85"/>
      <c r="J295" s="87"/>
      <c r="K295" s="84"/>
      <c r="L295" s="84"/>
      <c r="M295" s="84"/>
      <c r="N295" s="55"/>
      <c r="O295" s="88"/>
      <c r="P295" s="88"/>
      <c r="Q295" s="88"/>
      <c r="R295" s="84"/>
      <c r="S295" s="84"/>
      <c r="T295" s="84"/>
      <c r="U295" s="84"/>
      <c r="V295" s="85"/>
      <c r="W295" s="84"/>
      <c r="X295" s="87"/>
      <c r="Y295" s="84"/>
      <c r="Z295" s="84"/>
      <c r="AA295" s="84"/>
      <c r="AB295" s="84"/>
      <c r="AC295" s="84"/>
      <c r="AD295" s="84"/>
      <c r="AE295" s="84"/>
      <c r="AF295" s="84"/>
      <c r="AG295" s="84"/>
      <c r="AH295" s="89"/>
      <c r="AI295" s="84"/>
      <c r="AJ295" s="84"/>
      <c r="AK295" s="84"/>
      <c r="AL295" s="89"/>
      <c r="AM295" s="89"/>
      <c r="AN295" s="55"/>
      <c r="AO295" s="84"/>
      <c r="AP295" s="60"/>
      <c r="AQ295" s="90"/>
      <c r="AR295" s="55"/>
      <c r="AS295" s="55"/>
      <c r="AT295" s="91"/>
      <c r="AU295" s="55"/>
      <c r="AV295" s="92"/>
      <c r="AW295" s="92"/>
      <c r="AX295" s="62"/>
      <c r="AY295" s="90"/>
      <c r="AZ295" s="93"/>
      <c r="BA295" s="93"/>
      <c r="BB295" s="93"/>
      <c r="BC295" s="55"/>
      <c r="BD295" s="88"/>
      <c r="BE295" s="88"/>
      <c r="BF295" s="88"/>
      <c r="BG295" s="87"/>
      <c r="BH295" s="84"/>
      <c r="BI295" s="84"/>
      <c r="BJ295" s="90"/>
      <c r="BK295" s="94"/>
      <c r="BL295" s="62"/>
      <c r="BM295" s="84"/>
      <c r="BN295" s="95"/>
      <c r="BO295" s="84"/>
      <c r="BP295" s="84"/>
      <c r="BQ295" s="96"/>
    </row>
    <row r="296">
      <c r="A296" s="50"/>
      <c r="B296" s="83"/>
      <c r="C296" s="83"/>
      <c r="D296" s="84"/>
      <c r="E296" s="85"/>
      <c r="F296" s="85"/>
      <c r="G296" s="85"/>
      <c r="H296" s="86"/>
      <c r="I296" s="85"/>
      <c r="J296" s="87"/>
      <c r="K296" s="84"/>
      <c r="L296" s="84"/>
      <c r="M296" s="84"/>
      <c r="N296" s="55"/>
      <c r="O296" s="88"/>
      <c r="P296" s="88"/>
      <c r="Q296" s="88"/>
      <c r="R296" s="84"/>
      <c r="S296" s="84"/>
      <c r="T296" s="84"/>
      <c r="U296" s="84"/>
      <c r="V296" s="85"/>
      <c r="W296" s="84"/>
      <c r="X296" s="87"/>
      <c r="Y296" s="84"/>
      <c r="Z296" s="84"/>
      <c r="AA296" s="84"/>
      <c r="AB296" s="84"/>
      <c r="AC296" s="84"/>
      <c r="AD296" s="84"/>
      <c r="AE296" s="84"/>
      <c r="AF296" s="84"/>
      <c r="AG296" s="84"/>
      <c r="AH296" s="89"/>
      <c r="AI296" s="84"/>
      <c r="AJ296" s="84"/>
      <c r="AK296" s="84"/>
      <c r="AL296" s="89"/>
      <c r="AM296" s="89"/>
      <c r="AN296" s="55"/>
      <c r="AO296" s="84"/>
      <c r="AP296" s="60"/>
      <c r="AQ296" s="90"/>
      <c r="AR296" s="55"/>
      <c r="AS296" s="55"/>
      <c r="AT296" s="91"/>
      <c r="AU296" s="55"/>
      <c r="AV296" s="92"/>
      <c r="AW296" s="92"/>
      <c r="AX296" s="62"/>
      <c r="AY296" s="90"/>
      <c r="AZ296" s="93"/>
      <c r="BA296" s="93"/>
      <c r="BB296" s="93"/>
      <c r="BC296" s="55"/>
      <c r="BD296" s="88"/>
      <c r="BE296" s="88"/>
      <c r="BF296" s="88"/>
      <c r="BG296" s="87"/>
      <c r="BH296" s="84"/>
      <c r="BI296" s="84"/>
      <c r="BJ296" s="90"/>
      <c r="BK296" s="94"/>
      <c r="BL296" s="62"/>
      <c r="BM296" s="84"/>
      <c r="BN296" s="95"/>
      <c r="BO296" s="84"/>
      <c r="BP296" s="84"/>
      <c r="BQ296" s="96"/>
    </row>
    <row r="297">
      <c r="A297" s="50"/>
      <c r="B297" s="83"/>
      <c r="C297" s="83"/>
      <c r="D297" s="84"/>
      <c r="E297" s="85"/>
      <c r="F297" s="85"/>
      <c r="G297" s="85"/>
      <c r="H297" s="86"/>
      <c r="I297" s="85"/>
      <c r="J297" s="87"/>
      <c r="K297" s="84"/>
      <c r="L297" s="84"/>
      <c r="M297" s="84"/>
      <c r="N297" s="55"/>
      <c r="O297" s="88"/>
      <c r="P297" s="88"/>
      <c r="Q297" s="88"/>
      <c r="R297" s="84"/>
      <c r="S297" s="84"/>
      <c r="T297" s="84"/>
      <c r="U297" s="84"/>
      <c r="V297" s="85"/>
      <c r="W297" s="84"/>
      <c r="X297" s="87"/>
      <c r="Y297" s="84"/>
      <c r="Z297" s="84"/>
      <c r="AA297" s="84"/>
      <c r="AB297" s="84"/>
      <c r="AC297" s="84"/>
      <c r="AD297" s="84"/>
      <c r="AE297" s="84"/>
      <c r="AF297" s="84"/>
      <c r="AG297" s="84"/>
      <c r="AH297" s="89"/>
      <c r="AI297" s="84"/>
      <c r="AJ297" s="84"/>
      <c r="AK297" s="84"/>
      <c r="AL297" s="89"/>
      <c r="AM297" s="89"/>
      <c r="AN297" s="55"/>
      <c r="AO297" s="84"/>
      <c r="AP297" s="60"/>
      <c r="AQ297" s="90"/>
      <c r="AR297" s="55"/>
      <c r="AS297" s="55"/>
      <c r="AT297" s="91"/>
      <c r="AU297" s="55"/>
      <c r="AV297" s="92"/>
      <c r="AW297" s="92"/>
      <c r="AX297" s="62"/>
      <c r="AY297" s="90"/>
      <c r="AZ297" s="93"/>
      <c r="BA297" s="93"/>
      <c r="BB297" s="93"/>
      <c r="BC297" s="55"/>
      <c r="BD297" s="88"/>
      <c r="BE297" s="88"/>
      <c r="BF297" s="88"/>
      <c r="BG297" s="87"/>
      <c r="BH297" s="84"/>
      <c r="BI297" s="84"/>
      <c r="BJ297" s="90"/>
      <c r="BK297" s="94"/>
      <c r="BL297" s="62"/>
      <c r="BM297" s="84"/>
      <c r="BN297" s="95"/>
      <c r="BO297" s="84"/>
      <c r="BP297" s="84"/>
      <c r="BQ297" s="96"/>
    </row>
    <row r="298">
      <c r="A298" s="50"/>
      <c r="B298" s="83"/>
      <c r="C298" s="83"/>
      <c r="D298" s="84"/>
      <c r="E298" s="85"/>
      <c r="F298" s="85"/>
      <c r="G298" s="85"/>
      <c r="H298" s="86"/>
      <c r="I298" s="85"/>
      <c r="J298" s="87"/>
      <c r="K298" s="84"/>
      <c r="L298" s="84"/>
      <c r="M298" s="84"/>
      <c r="N298" s="55"/>
      <c r="O298" s="88"/>
      <c r="P298" s="88"/>
      <c r="Q298" s="88"/>
      <c r="R298" s="84"/>
      <c r="S298" s="84"/>
      <c r="T298" s="84"/>
      <c r="U298" s="84"/>
      <c r="V298" s="85"/>
      <c r="W298" s="84"/>
      <c r="X298" s="87"/>
      <c r="Y298" s="84"/>
      <c r="Z298" s="84"/>
      <c r="AA298" s="84"/>
      <c r="AB298" s="84"/>
      <c r="AC298" s="84"/>
      <c r="AD298" s="84"/>
      <c r="AE298" s="84"/>
      <c r="AF298" s="84"/>
      <c r="AG298" s="84"/>
      <c r="AH298" s="89"/>
      <c r="AI298" s="84"/>
      <c r="AJ298" s="84"/>
      <c r="AK298" s="84"/>
      <c r="AL298" s="89"/>
      <c r="AM298" s="89"/>
      <c r="AN298" s="55"/>
      <c r="AO298" s="84"/>
      <c r="AP298" s="60"/>
      <c r="AQ298" s="90"/>
      <c r="AR298" s="55"/>
      <c r="AS298" s="55"/>
      <c r="AT298" s="91"/>
      <c r="AU298" s="55"/>
      <c r="AV298" s="92"/>
      <c r="AW298" s="92"/>
      <c r="AX298" s="62"/>
      <c r="AY298" s="90"/>
      <c r="AZ298" s="93"/>
      <c r="BA298" s="93"/>
      <c r="BB298" s="93"/>
      <c r="BC298" s="55"/>
      <c r="BD298" s="88"/>
      <c r="BE298" s="88"/>
      <c r="BF298" s="88"/>
      <c r="BG298" s="87"/>
      <c r="BH298" s="84"/>
      <c r="BI298" s="84"/>
      <c r="BJ298" s="90"/>
      <c r="BK298" s="94"/>
      <c r="BL298" s="62"/>
      <c r="BM298" s="84"/>
      <c r="BN298" s="95"/>
      <c r="BO298" s="84"/>
      <c r="BP298" s="84"/>
      <c r="BQ298" s="96"/>
    </row>
    <row r="299">
      <c r="A299" s="50"/>
      <c r="B299" s="83"/>
      <c r="C299" s="83"/>
      <c r="D299" s="84"/>
      <c r="E299" s="85"/>
      <c r="F299" s="85"/>
      <c r="G299" s="85"/>
      <c r="H299" s="86"/>
      <c r="I299" s="85"/>
      <c r="J299" s="87"/>
      <c r="K299" s="84"/>
      <c r="L299" s="84"/>
      <c r="M299" s="84"/>
      <c r="N299" s="55"/>
      <c r="O299" s="88"/>
      <c r="P299" s="88"/>
      <c r="Q299" s="88"/>
      <c r="R299" s="84"/>
      <c r="S299" s="84"/>
      <c r="T299" s="84"/>
      <c r="U299" s="84"/>
      <c r="V299" s="85"/>
      <c r="W299" s="84"/>
      <c r="X299" s="87"/>
      <c r="Y299" s="84"/>
      <c r="Z299" s="84"/>
      <c r="AA299" s="84"/>
      <c r="AB299" s="84"/>
      <c r="AC299" s="84"/>
      <c r="AD299" s="84"/>
      <c r="AE299" s="84"/>
      <c r="AF299" s="84"/>
      <c r="AG299" s="84"/>
      <c r="AH299" s="89"/>
      <c r="AI299" s="84"/>
      <c r="AJ299" s="84"/>
      <c r="AK299" s="84"/>
      <c r="AL299" s="89"/>
      <c r="AM299" s="89"/>
      <c r="AN299" s="55"/>
      <c r="AO299" s="84"/>
      <c r="AP299" s="60"/>
      <c r="AQ299" s="90"/>
      <c r="AR299" s="55"/>
      <c r="AS299" s="55"/>
      <c r="AT299" s="91"/>
      <c r="AU299" s="55"/>
      <c r="AV299" s="92"/>
      <c r="AW299" s="92"/>
      <c r="AX299" s="62"/>
      <c r="AY299" s="90"/>
      <c r="AZ299" s="93"/>
      <c r="BA299" s="93"/>
      <c r="BB299" s="93"/>
      <c r="BC299" s="55"/>
      <c r="BD299" s="88"/>
      <c r="BE299" s="88"/>
      <c r="BF299" s="88"/>
      <c r="BG299" s="87"/>
      <c r="BH299" s="84"/>
      <c r="BI299" s="84"/>
      <c r="BJ299" s="90"/>
      <c r="BK299" s="94"/>
      <c r="BL299" s="62"/>
      <c r="BM299" s="84"/>
      <c r="BN299" s="95"/>
      <c r="BO299" s="84"/>
      <c r="BP299" s="84"/>
      <c r="BQ299" s="96"/>
    </row>
    <row r="300">
      <c r="A300" s="50"/>
      <c r="B300" s="83"/>
      <c r="C300" s="83"/>
      <c r="D300" s="84"/>
      <c r="E300" s="85"/>
      <c r="F300" s="85"/>
      <c r="G300" s="85"/>
      <c r="H300" s="86"/>
      <c r="I300" s="85"/>
      <c r="J300" s="87"/>
      <c r="K300" s="84"/>
      <c r="L300" s="84"/>
      <c r="M300" s="84"/>
      <c r="N300" s="55"/>
      <c r="O300" s="88"/>
      <c r="P300" s="88"/>
      <c r="Q300" s="88"/>
      <c r="R300" s="84"/>
      <c r="S300" s="84"/>
      <c r="T300" s="84"/>
      <c r="U300" s="84"/>
      <c r="V300" s="85"/>
      <c r="W300" s="84"/>
      <c r="X300" s="87"/>
      <c r="Y300" s="84"/>
      <c r="Z300" s="84"/>
      <c r="AA300" s="84"/>
      <c r="AB300" s="84"/>
      <c r="AC300" s="84"/>
      <c r="AD300" s="84"/>
      <c r="AE300" s="84"/>
      <c r="AF300" s="84"/>
      <c r="AG300" s="84"/>
      <c r="AH300" s="89"/>
      <c r="AI300" s="84"/>
      <c r="AJ300" s="84"/>
      <c r="AK300" s="84"/>
      <c r="AL300" s="89"/>
      <c r="AM300" s="89"/>
      <c r="AN300" s="55"/>
      <c r="AO300" s="84"/>
      <c r="AP300" s="60"/>
      <c r="AQ300" s="90"/>
      <c r="AR300" s="55"/>
      <c r="AS300" s="55"/>
      <c r="AT300" s="91"/>
      <c r="AU300" s="55"/>
      <c r="AV300" s="92"/>
      <c r="AW300" s="92"/>
      <c r="AX300" s="62"/>
      <c r="AY300" s="90"/>
      <c r="AZ300" s="93"/>
      <c r="BA300" s="93"/>
      <c r="BB300" s="93"/>
      <c r="BC300" s="55"/>
      <c r="BD300" s="88"/>
      <c r="BE300" s="88"/>
      <c r="BF300" s="88"/>
      <c r="BG300" s="87"/>
      <c r="BH300" s="84"/>
      <c r="BI300" s="84"/>
      <c r="BJ300" s="90"/>
      <c r="BK300" s="94"/>
      <c r="BL300" s="62"/>
      <c r="BM300" s="84"/>
      <c r="BN300" s="95"/>
      <c r="BO300" s="84"/>
      <c r="BP300" s="84"/>
      <c r="BQ300" s="96"/>
    </row>
    <row r="301">
      <c r="A301" s="50"/>
      <c r="B301" s="83"/>
      <c r="C301" s="83"/>
      <c r="D301" s="84"/>
      <c r="E301" s="85"/>
      <c r="F301" s="85"/>
      <c r="G301" s="85"/>
      <c r="H301" s="86"/>
      <c r="I301" s="85"/>
      <c r="J301" s="87"/>
      <c r="K301" s="84"/>
      <c r="L301" s="84"/>
      <c r="M301" s="84"/>
      <c r="N301" s="55"/>
      <c r="O301" s="88"/>
      <c r="P301" s="88"/>
      <c r="Q301" s="88"/>
      <c r="R301" s="84"/>
      <c r="S301" s="84"/>
      <c r="T301" s="84"/>
      <c r="U301" s="84"/>
      <c r="V301" s="85"/>
      <c r="W301" s="84"/>
      <c r="X301" s="87"/>
      <c r="Y301" s="84"/>
      <c r="Z301" s="84"/>
      <c r="AA301" s="84"/>
      <c r="AB301" s="84"/>
      <c r="AC301" s="84"/>
      <c r="AD301" s="84"/>
      <c r="AE301" s="84"/>
      <c r="AF301" s="84"/>
      <c r="AG301" s="84"/>
      <c r="AH301" s="89"/>
      <c r="AI301" s="84"/>
      <c r="AJ301" s="84"/>
      <c r="AK301" s="84"/>
      <c r="AL301" s="89"/>
      <c r="AM301" s="89"/>
      <c r="AN301" s="55"/>
      <c r="AO301" s="84"/>
      <c r="AP301" s="60"/>
      <c r="AQ301" s="90"/>
      <c r="AR301" s="55"/>
      <c r="AS301" s="55"/>
      <c r="AT301" s="91"/>
      <c r="AU301" s="55"/>
      <c r="AV301" s="92"/>
      <c r="AW301" s="92"/>
      <c r="AX301" s="62"/>
      <c r="AY301" s="90"/>
      <c r="AZ301" s="93"/>
      <c r="BA301" s="93"/>
      <c r="BB301" s="93"/>
      <c r="BC301" s="55"/>
      <c r="BD301" s="88"/>
      <c r="BE301" s="88"/>
      <c r="BF301" s="88"/>
      <c r="BG301" s="87"/>
      <c r="BH301" s="84"/>
      <c r="BI301" s="84"/>
      <c r="BJ301" s="90"/>
      <c r="BK301" s="94"/>
      <c r="BL301" s="62"/>
      <c r="BM301" s="84"/>
      <c r="BN301" s="95"/>
      <c r="BO301" s="84"/>
      <c r="BP301" s="84"/>
      <c r="BQ301" s="96"/>
    </row>
    <row r="302">
      <c r="A302" s="50"/>
      <c r="B302" s="83"/>
      <c r="C302" s="83"/>
      <c r="D302" s="84"/>
      <c r="E302" s="85"/>
      <c r="F302" s="85"/>
      <c r="G302" s="85"/>
      <c r="H302" s="86"/>
      <c r="I302" s="85"/>
      <c r="J302" s="87"/>
      <c r="K302" s="84"/>
      <c r="L302" s="84"/>
      <c r="M302" s="84"/>
      <c r="N302" s="55"/>
      <c r="O302" s="88"/>
      <c r="P302" s="88"/>
      <c r="Q302" s="88"/>
      <c r="R302" s="84"/>
      <c r="S302" s="84"/>
      <c r="T302" s="84"/>
      <c r="U302" s="84"/>
      <c r="V302" s="85"/>
      <c r="W302" s="84"/>
      <c r="X302" s="87"/>
      <c r="Y302" s="84"/>
      <c r="Z302" s="84"/>
      <c r="AA302" s="84"/>
      <c r="AB302" s="84"/>
      <c r="AC302" s="84"/>
      <c r="AD302" s="84"/>
      <c r="AE302" s="84"/>
      <c r="AF302" s="84"/>
      <c r="AG302" s="84"/>
      <c r="AH302" s="89"/>
      <c r="AI302" s="84"/>
      <c r="AJ302" s="84"/>
      <c r="AK302" s="84"/>
      <c r="AL302" s="89"/>
      <c r="AM302" s="89"/>
      <c r="AN302" s="55"/>
      <c r="AO302" s="84"/>
      <c r="AP302" s="60"/>
      <c r="AQ302" s="90"/>
      <c r="AR302" s="55"/>
      <c r="AS302" s="55"/>
      <c r="AT302" s="91"/>
      <c r="AU302" s="55"/>
      <c r="AV302" s="92"/>
      <c r="AW302" s="92"/>
      <c r="AX302" s="62"/>
      <c r="AY302" s="90"/>
      <c r="AZ302" s="93"/>
      <c r="BA302" s="93"/>
      <c r="BB302" s="93"/>
      <c r="BC302" s="55"/>
      <c r="BD302" s="88"/>
      <c r="BE302" s="88"/>
      <c r="BF302" s="88"/>
      <c r="BG302" s="87"/>
      <c r="BH302" s="84"/>
      <c r="BI302" s="84"/>
      <c r="BJ302" s="90"/>
      <c r="BK302" s="94"/>
      <c r="BL302" s="62"/>
      <c r="BM302" s="84"/>
      <c r="BN302" s="95"/>
      <c r="BO302" s="84"/>
      <c r="BP302" s="84"/>
      <c r="BQ302" s="96"/>
    </row>
    <row r="303">
      <c r="A303" s="50"/>
      <c r="B303" s="83"/>
      <c r="C303" s="83"/>
      <c r="D303" s="84"/>
      <c r="E303" s="85"/>
      <c r="F303" s="85"/>
      <c r="G303" s="85"/>
      <c r="H303" s="86"/>
      <c r="I303" s="85"/>
      <c r="J303" s="87"/>
      <c r="K303" s="84"/>
      <c r="L303" s="84"/>
      <c r="M303" s="84"/>
      <c r="N303" s="55"/>
      <c r="O303" s="88"/>
      <c r="P303" s="88"/>
      <c r="Q303" s="88"/>
      <c r="R303" s="84"/>
      <c r="S303" s="84"/>
      <c r="T303" s="84"/>
      <c r="U303" s="84"/>
      <c r="V303" s="85"/>
      <c r="W303" s="84"/>
      <c r="X303" s="87"/>
      <c r="Y303" s="84"/>
      <c r="Z303" s="84"/>
      <c r="AA303" s="84"/>
      <c r="AB303" s="84"/>
      <c r="AC303" s="84"/>
      <c r="AD303" s="84"/>
      <c r="AE303" s="84"/>
      <c r="AF303" s="84"/>
      <c r="AG303" s="84"/>
      <c r="AH303" s="89"/>
      <c r="AI303" s="84"/>
      <c r="AJ303" s="84"/>
      <c r="AK303" s="84"/>
      <c r="AL303" s="89"/>
      <c r="AM303" s="89"/>
      <c r="AN303" s="55"/>
      <c r="AO303" s="84"/>
      <c r="AP303" s="60"/>
      <c r="AQ303" s="90"/>
      <c r="AR303" s="55"/>
      <c r="AS303" s="55"/>
      <c r="AT303" s="91"/>
      <c r="AU303" s="55"/>
      <c r="AV303" s="92"/>
      <c r="AW303" s="92"/>
      <c r="AX303" s="62"/>
      <c r="AY303" s="90"/>
      <c r="AZ303" s="93"/>
      <c r="BA303" s="93"/>
      <c r="BB303" s="93"/>
      <c r="BC303" s="55"/>
      <c r="BD303" s="88"/>
      <c r="BE303" s="88"/>
      <c r="BF303" s="88"/>
      <c r="BG303" s="87"/>
      <c r="BH303" s="84"/>
      <c r="BI303" s="84"/>
      <c r="BJ303" s="90"/>
      <c r="BK303" s="94"/>
      <c r="BL303" s="62"/>
      <c r="BM303" s="84"/>
      <c r="BN303" s="95"/>
      <c r="BO303" s="84"/>
      <c r="BP303" s="84"/>
      <c r="BQ303" s="96"/>
    </row>
    <row r="304">
      <c r="A304" s="50"/>
      <c r="B304" s="83"/>
      <c r="C304" s="83"/>
      <c r="D304" s="84"/>
      <c r="E304" s="85"/>
      <c r="F304" s="85"/>
      <c r="G304" s="85"/>
      <c r="H304" s="86"/>
      <c r="I304" s="85"/>
      <c r="J304" s="87"/>
      <c r="K304" s="84"/>
      <c r="L304" s="84"/>
      <c r="M304" s="84"/>
      <c r="N304" s="55"/>
      <c r="O304" s="88"/>
      <c r="P304" s="88"/>
      <c r="Q304" s="88"/>
      <c r="R304" s="84"/>
      <c r="S304" s="84"/>
      <c r="T304" s="84"/>
      <c r="U304" s="84"/>
      <c r="V304" s="85"/>
      <c r="W304" s="84"/>
      <c r="X304" s="87"/>
      <c r="Y304" s="84"/>
      <c r="Z304" s="84"/>
      <c r="AA304" s="84"/>
      <c r="AB304" s="84"/>
      <c r="AC304" s="84"/>
      <c r="AD304" s="84"/>
      <c r="AE304" s="84"/>
      <c r="AF304" s="84"/>
      <c r="AG304" s="84"/>
      <c r="AH304" s="89"/>
      <c r="AI304" s="84"/>
      <c r="AJ304" s="84"/>
      <c r="AK304" s="84"/>
      <c r="AL304" s="89"/>
      <c r="AM304" s="89"/>
      <c r="AN304" s="55"/>
      <c r="AO304" s="84"/>
      <c r="AP304" s="60"/>
      <c r="AQ304" s="90"/>
      <c r="AR304" s="55"/>
      <c r="AS304" s="55"/>
      <c r="AT304" s="91"/>
      <c r="AU304" s="55"/>
      <c r="AV304" s="92"/>
      <c r="AW304" s="92"/>
      <c r="AX304" s="62"/>
      <c r="AY304" s="90"/>
      <c r="AZ304" s="93"/>
      <c r="BA304" s="93"/>
      <c r="BB304" s="93"/>
      <c r="BC304" s="55"/>
      <c r="BD304" s="88"/>
      <c r="BE304" s="88"/>
      <c r="BF304" s="88"/>
      <c r="BG304" s="87"/>
      <c r="BH304" s="84"/>
      <c r="BI304" s="84"/>
      <c r="BJ304" s="90"/>
      <c r="BK304" s="94"/>
      <c r="BL304" s="62"/>
      <c r="BM304" s="84"/>
      <c r="BN304" s="95"/>
      <c r="BO304" s="84"/>
      <c r="BP304" s="84"/>
      <c r="BQ304" s="96"/>
    </row>
    <row r="305">
      <c r="A305" s="50"/>
      <c r="B305" s="83"/>
      <c r="C305" s="83"/>
      <c r="D305" s="84"/>
      <c r="E305" s="85"/>
      <c r="F305" s="85"/>
      <c r="G305" s="85"/>
      <c r="H305" s="86"/>
      <c r="I305" s="85"/>
      <c r="J305" s="87"/>
      <c r="K305" s="84"/>
      <c r="L305" s="84"/>
      <c r="M305" s="84"/>
      <c r="N305" s="55"/>
      <c r="O305" s="88"/>
      <c r="P305" s="88"/>
      <c r="Q305" s="88"/>
      <c r="R305" s="84"/>
      <c r="S305" s="84"/>
      <c r="T305" s="84"/>
      <c r="U305" s="84"/>
      <c r="V305" s="85"/>
      <c r="W305" s="84"/>
      <c r="X305" s="87"/>
      <c r="Y305" s="84"/>
      <c r="Z305" s="84"/>
      <c r="AA305" s="84"/>
      <c r="AB305" s="84"/>
      <c r="AC305" s="84"/>
      <c r="AD305" s="84"/>
      <c r="AE305" s="84"/>
      <c r="AF305" s="84"/>
      <c r="AG305" s="84"/>
      <c r="AH305" s="89"/>
      <c r="AI305" s="84"/>
      <c r="AJ305" s="84"/>
      <c r="AK305" s="84"/>
      <c r="AL305" s="89"/>
      <c r="AM305" s="89"/>
      <c r="AN305" s="55"/>
      <c r="AO305" s="84"/>
      <c r="AP305" s="60"/>
      <c r="AQ305" s="90"/>
      <c r="AR305" s="55"/>
      <c r="AS305" s="55"/>
      <c r="AT305" s="91"/>
      <c r="AU305" s="55"/>
      <c r="AV305" s="92"/>
      <c r="AW305" s="92"/>
      <c r="AX305" s="62"/>
      <c r="AY305" s="90"/>
      <c r="AZ305" s="93"/>
      <c r="BA305" s="93"/>
      <c r="BB305" s="93"/>
      <c r="BC305" s="55"/>
      <c r="BD305" s="88"/>
      <c r="BE305" s="88"/>
      <c r="BF305" s="88"/>
      <c r="BG305" s="87"/>
      <c r="BH305" s="84"/>
      <c r="BI305" s="84"/>
      <c r="BJ305" s="90"/>
      <c r="BK305" s="94"/>
      <c r="BL305" s="62"/>
      <c r="BM305" s="84"/>
      <c r="BN305" s="95"/>
      <c r="BO305" s="84"/>
      <c r="BP305" s="84"/>
      <c r="BQ305" s="96"/>
    </row>
    <row r="306">
      <c r="A306" s="50"/>
      <c r="B306" s="83"/>
      <c r="C306" s="83"/>
      <c r="D306" s="84"/>
      <c r="E306" s="85"/>
      <c r="F306" s="85"/>
      <c r="G306" s="85"/>
      <c r="H306" s="86"/>
      <c r="I306" s="85"/>
      <c r="J306" s="87"/>
      <c r="K306" s="84"/>
      <c r="L306" s="84"/>
      <c r="M306" s="84"/>
      <c r="N306" s="55"/>
      <c r="O306" s="88"/>
      <c r="P306" s="88"/>
      <c r="Q306" s="88"/>
      <c r="R306" s="84"/>
      <c r="S306" s="84"/>
      <c r="T306" s="84"/>
      <c r="U306" s="84"/>
      <c r="V306" s="85"/>
      <c r="W306" s="84"/>
      <c r="X306" s="87"/>
      <c r="Y306" s="84"/>
      <c r="Z306" s="84"/>
      <c r="AA306" s="84"/>
      <c r="AB306" s="84"/>
      <c r="AC306" s="84"/>
      <c r="AD306" s="84"/>
      <c r="AE306" s="84"/>
      <c r="AF306" s="84"/>
      <c r="AG306" s="84"/>
      <c r="AH306" s="89"/>
      <c r="AI306" s="84"/>
      <c r="AJ306" s="84"/>
      <c r="AK306" s="84"/>
      <c r="AL306" s="89"/>
      <c r="AM306" s="89"/>
      <c r="AN306" s="55"/>
      <c r="AO306" s="84"/>
      <c r="AP306" s="60"/>
      <c r="AQ306" s="90"/>
      <c r="AR306" s="55"/>
      <c r="AS306" s="55"/>
      <c r="AT306" s="91"/>
      <c r="AU306" s="55"/>
      <c r="AV306" s="92"/>
      <c r="AW306" s="92"/>
      <c r="AX306" s="62"/>
      <c r="AY306" s="90"/>
      <c r="AZ306" s="93"/>
      <c r="BA306" s="93"/>
      <c r="BB306" s="93"/>
      <c r="BC306" s="55"/>
      <c r="BD306" s="88"/>
      <c r="BE306" s="88"/>
      <c r="BF306" s="88"/>
      <c r="BG306" s="87"/>
      <c r="BH306" s="84"/>
      <c r="BI306" s="84"/>
      <c r="BJ306" s="90"/>
      <c r="BK306" s="94"/>
      <c r="BL306" s="62"/>
      <c r="BM306" s="84"/>
      <c r="BN306" s="95"/>
      <c r="BO306" s="84"/>
      <c r="BP306" s="84"/>
      <c r="BQ306" s="96"/>
    </row>
    <row r="307">
      <c r="A307" s="50"/>
      <c r="B307" s="83"/>
      <c r="C307" s="83"/>
      <c r="D307" s="84"/>
      <c r="E307" s="85"/>
      <c r="F307" s="85"/>
      <c r="G307" s="85"/>
      <c r="H307" s="86"/>
      <c r="I307" s="85"/>
      <c r="J307" s="87"/>
      <c r="K307" s="84"/>
      <c r="L307" s="84"/>
      <c r="M307" s="84"/>
      <c r="N307" s="55"/>
      <c r="O307" s="88"/>
      <c r="P307" s="88"/>
      <c r="Q307" s="88"/>
      <c r="R307" s="84"/>
      <c r="S307" s="84"/>
      <c r="T307" s="84"/>
      <c r="U307" s="84"/>
      <c r="V307" s="85"/>
      <c r="W307" s="84"/>
      <c r="X307" s="87"/>
      <c r="Y307" s="84"/>
      <c r="Z307" s="84"/>
      <c r="AA307" s="84"/>
      <c r="AB307" s="84"/>
      <c r="AC307" s="84"/>
      <c r="AD307" s="84"/>
      <c r="AE307" s="84"/>
      <c r="AF307" s="84"/>
      <c r="AG307" s="84"/>
      <c r="AH307" s="89"/>
      <c r="AI307" s="84"/>
      <c r="AJ307" s="84"/>
      <c r="AK307" s="84"/>
      <c r="AL307" s="89"/>
      <c r="AM307" s="89"/>
      <c r="AN307" s="55"/>
      <c r="AO307" s="84"/>
      <c r="AP307" s="60"/>
      <c r="AQ307" s="90"/>
      <c r="AR307" s="55"/>
      <c r="AS307" s="55"/>
      <c r="AT307" s="91"/>
      <c r="AU307" s="55"/>
      <c r="AV307" s="92"/>
      <c r="AW307" s="92"/>
      <c r="AX307" s="62"/>
      <c r="AY307" s="90"/>
      <c r="AZ307" s="93"/>
      <c r="BA307" s="93"/>
      <c r="BB307" s="93"/>
      <c r="BC307" s="55"/>
      <c r="BD307" s="88"/>
      <c r="BE307" s="88"/>
      <c r="BF307" s="88"/>
      <c r="BG307" s="87"/>
      <c r="BH307" s="84"/>
      <c r="BI307" s="84"/>
      <c r="BJ307" s="90"/>
      <c r="BK307" s="94"/>
      <c r="BL307" s="62"/>
      <c r="BM307" s="84"/>
      <c r="BN307" s="95"/>
      <c r="BO307" s="84"/>
      <c r="BP307" s="84"/>
      <c r="BQ307" s="96"/>
    </row>
    <row r="308">
      <c r="A308" s="50"/>
      <c r="B308" s="83"/>
      <c r="C308" s="83"/>
      <c r="D308" s="84"/>
      <c r="E308" s="85"/>
      <c r="F308" s="85"/>
      <c r="G308" s="85"/>
      <c r="H308" s="86"/>
      <c r="I308" s="85"/>
      <c r="J308" s="87"/>
      <c r="K308" s="84"/>
      <c r="L308" s="84"/>
      <c r="M308" s="84"/>
      <c r="N308" s="55"/>
      <c r="O308" s="88"/>
      <c r="P308" s="88"/>
      <c r="Q308" s="88"/>
      <c r="R308" s="84"/>
      <c r="S308" s="84"/>
      <c r="T308" s="84"/>
      <c r="U308" s="84"/>
      <c r="V308" s="85"/>
      <c r="W308" s="84"/>
      <c r="X308" s="87"/>
      <c r="Y308" s="84"/>
      <c r="Z308" s="84"/>
      <c r="AA308" s="84"/>
      <c r="AB308" s="84"/>
      <c r="AC308" s="84"/>
      <c r="AD308" s="84"/>
      <c r="AE308" s="84"/>
      <c r="AF308" s="84"/>
      <c r="AG308" s="84"/>
      <c r="AH308" s="89"/>
      <c r="AI308" s="84"/>
      <c r="AJ308" s="84"/>
      <c r="AK308" s="84"/>
      <c r="AL308" s="89"/>
      <c r="AM308" s="89"/>
      <c r="AN308" s="55"/>
      <c r="AO308" s="84"/>
      <c r="AP308" s="60"/>
      <c r="AQ308" s="90"/>
      <c r="AR308" s="55"/>
      <c r="AS308" s="55"/>
      <c r="AT308" s="91"/>
      <c r="AU308" s="55"/>
      <c r="AV308" s="92"/>
      <c r="AW308" s="92"/>
      <c r="AX308" s="62"/>
      <c r="AY308" s="90"/>
      <c r="AZ308" s="93"/>
      <c r="BA308" s="93"/>
      <c r="BB308" s="93"/>
      <c r="BC308" s="55"/>
      <c r="BD308" s="88"/>
      <c r="BE308" s="88"/>
      <c r="BF308" s="88"/>
      <c r="BG308" s="87"/>
      <c r="BH308" s="84"/>
      <c r="BI308" s="84"/>
      <c r="BJ308" s="90"/>
      <c r="BK308" s="94"/>
      <c r="BL308" s="62"/>
      <c r="BM308" s="84"/>
      <c r="BN308" s="95"/>
      <c r="BO308" s="84"/>
      <c r="BP308" s="84"/>
      <c r="BQ308" s="96"/>
    </row>
    <row r="309">
      <c r="A309" s="50"/>
      <c r="B309" s="83"/>
      <c r="C309" s="83"/>
      <c r="D309" s="84"/>
      <c r="E309" s="85"/>
      <c r="F309" s="85"/>
      <c r="G309" s="85"/>
      <c r="H309" s="86"/>
      <c r="I309" s="85"/>
      <c r="J309" s="87"/>
      <c r="K309" s="84"/>
      <c r="L309" s="84"/>
      <c r="M309" s="84"/>
      <c r="N309" s="55"/>
      <c r="O309" s="88"/>
      <c r="P309" s="88"/>
      <c r="Q309" s="88"/>
      <c r="R309" s="84"/>
      <c r="S309" s="84"/>
      <c r="T309" s="84"/>
      <c r="U309" s="84"/>
      <c r="V309" s="85"/>
      <c r="W309" s="84"/>
      <c r="X309" s="87"/>
      <c r="Y309" s="84"/>
      <c r="Z309" s="84"/>
      <c r="AA309" s="84"/>
      <c r="AB309" s="84"/>
      <c r="AC309" s="84"/>
      <c r="AD309" s="84"/>
      <c r="AE309" s="84"/>
      <c r="AF309" s="84"/>
      <c r="AG309" s="84"/>
      <c r="AH309" s="89"/>
      <c r="AI309" s="84"/>
      <c r="AJ309" s="84"/>
      <c r="AK309" s="84"/>
      <c r="AL309" s="89"/>
      <c r="AM309" s="89"/>
      <c r="AN309" s="55"/>
      <c r="AO309" s="84"/>
      <c r="AP309" s="60"/>
      <c r="AQ309" s="90"/>
      <c r="AR309" s="55"/>
      <c r="AS309" s="55"/>
      <c r="AT309" s="91"/>
      <c r="AU309" s="55"/>
      <c r="AV309" s="92"/>
      <c r="AW309" s="92"/>
      <c r="AX309" s="62"/>
      <c r="AY309" s="90"/>
      <c r="AZ309" s="93"/>
      <c r="BA309" s="93"/>
      <c r="BB309" s="93"/>
      <c r="BC309" s="55"/>
      <c r="BD309" s="88"/>
      <c r="BE309" s="88"/>
      <c r="BF309" s="88"/>
      <c r="BG309" s="87"/>
      <c r="BH309" s="84"/>
      <c r="BI309" s="84"/>
      <c r="BJ309" s="90"/>
      <c r="BK309" s="94"/>
      <c r="BL309" s="62"/>
      <c r="BM309" s="84"/>
      <c r="BN309" s="95"/>
      <c r="BO309" s="84"/>
      <c r="BP309" s="84"/>
      <c r="BQ309" s="96"/>
    </row>
    <row r="310">
      <c r="A310" s="50"/>
      <c r="B310" s="83"/>
      <c r="C310" s="83"/>
      <c r="D310" s="84"/>
      <c r="E310" s="85"/>
      <c r="F310" s="85"/>
      <c r="G310" s="85"/>
      <c r="H310" s="86"/>
      <c r="I310" s="85"/>
      <c r="J310" s="87"/>
      <c r="K310" s="84"/>
      <c r="L310" s="84"/>
      <c r="M310" s="84"/>
      <c r="N310" s="55"/>
      <c r="O310" s="88"/>
      <c r="P310" s="88"/>
      <c r="Q310" s="88"/>
      <c r="R310" s="84"/>
      <c r="S310" s="84"/>
      <c r="T310" s="84"/>
      <c r="U310" s="84"/>
      <c r="V310" s="85"/>
      <c r="W310" s="84"/>
      <c r="X310" s="87"/>
      <c r="Y310" s="84"/>
      <c r="Z310" s="84"/>
      <c r="AA310" s="84"/>
      <c r="AB310" s="84"/>
      <c r="AC310" s="84"/>
      <c r="AD310" s="84"/>
      <c r="AE310" s="84"/>
      <c r="AF310" s="84"/>
      <c r="AG310" s="84"/>
      <c r="AH310" s="89"/>
      <c r="AI310" s="84"/>
      <c r="AJ310" s="84"/>
      <c r="AK310" s="84"/>
      <c r="AL310" s="89"/>
      <c r="AM310" s="89"/>
      <c r="AN310" s="55"/>
      <c r="AO310" s="84"/>
      <c r="AP310" s="60"/>
      <c r="AQ310" s="90"/>
      <c r="AR310" s="55"/>
      <c r="AS310" s="55"/>
      <c r="AT310" s="91"/>
      <c r="AU310" s="55"/>
      <c r="AV310" s="92"/>
      <c r="AW310" s="92"/>
      <c r="AX310" s="62"/>
      <c r="AY310" s="90"/>
      <c r="AZ310" s="93"/>
      <c r="BA310" s="93"/>
      <c r="BB310" s="93"/>
      <c r="BC310" s="55"/>
      <c r="BD310" s="88"/>
      <c r="BE310" s="88"/>
      <c r="BF310" s="88"/>
      <c r="BG310" s="87"/>
      <c r="BH310" s="84"/>
      <c r="BI310" s="84"/>
      <c r="BJ310" s="90"/>
      <c r="BK310" s="94"/>
      <c r="BL310" s="62"/>
      <c r="BM310" s="84"/>
      <c r="BN310" s="95"/>
      <c r="BO310" s="84"/>
      <c r="BP310" s="84"/>
      <c r="BQ310" s="96"/>
    </row>
    <row r="311">
      <c r="A311" s="50"/>
      <c r="B311" s="83"/>
      <c r="C311" s="83"/>
      <c r="D311" s="84"/>
      <c r="E311" s="85"/>
      <c r="F311" s="85"/>
      <c r="G311" s="85"/>
      <c r="H311" s="86"/>
      <c r="I311" s="85"/>
      <c r="J311" s="87"/>
      <c r="K311" s="84"/>
      <c r="L311" s="84"/>
      <c r="M311" s="84"/>
      <c r="N311" s="55"/>
      <c r="O311" s="88"/>
      <c r="P311" s="88"/>
      <c r="Q311" s="88"/>
      <c r="R311" s="84"/>
      <c r="S311" s="84"/>
      <c r="T311" s="84"/>
      <c r="U311" s="84"/>
      <c r="V311" s="85"/>
      <c r="W311" s="84"/>
      <c r="X311" s="87"/>
      <c r="Y311" s="84"/>
      <c r="Z311" s="84"/>
      <c r="AA311" s="84"/>
      <c r="AB311" s="84"/>
      <c r="AC311" s="84"/>
      <c r="AD311" s="84"/>
      <c r="AE311" s="84"/>
      <c r="AF311" s="84"/>
      <c r="AG311" s="84"/>
      <c r="AH311" s="89"/>
      <c r="AI311" s="84"/>
      <c r="AJ311" s="84"/>
      <c r="AK311" s="84"/>
      <c r="AL311" s="89"/>
      <c r="AM311" s="89"/>
      <c r="AN311" s="55"/>
      <c r="AO311" s="84"/>
      <c r="AP311" s="60"/>
      <c r="AQ311" s="90"/>
      <c r="AR311" s="55"/>
      <c r="AS311" s="55"/>
      <c r="AT311" s="91"/>
      <c r="AU311" s="55"/>
      <c r="AV311" s="92"/>
      <c r="AW311" s="92"/>
      <c r="AX311" s="62"/>
      <c r="AY311" s="90"/>
      <c r="AZ311" s="93"/>
      <c r="BA311" s="93"/>
      <c r="BB311" s="93"/>
      <c r="BC311" s="55"/>
      <c r="BD311" s="88"/>
      <c r="BE311" s="88"/>
      <c r="BF311" s="88"/>
      <c r="BG311" s="87"/>
      <c r="BH311" s="84"/>
      <c r="BI311" s="84"/>
      <c r="BJ311" s="90"/>
      <c r="BK311" s="94"/>
      <c r="BL311" s="62"/>
      <c r="BM311" s="84"/>
      <c r="BN311" s="95"/>
      <c r="BO311" s="84"/>
      <c r="BP311" s="84"/>
      <c r="BQ311" s="96"/>
    </row>
    <row r="312">
      <c r="A312" s="50"/>
      <c r="B312" s="83"/>
      <c r="C312" s="83"/>
      <c r="D312" s="84"/>
      <c r="E312" s="85"/>
      <c r="F312" s="85"/>
      <c r="G312" s="85"/>
      <c r="H312" s="86"/>
      <c r="I312" s="85"/>
      <c r="J312" s="87"/>
      <c r="K312" s="84"/>
      <c r="L312" s="84"/>
      <c r="M312" s="84"/>
      <c r="N312" s="55"/>
      <c r="O312" s="88"/>
      <c r="P312" s="88"/>
      <c r="Q312" s="88"/>
      <c r="R312" s="84"/>
      <c r="S312" s="84"/>
      <c r="T312" s="84"/>
      <c r="U312" s="84"/>
      <c r="V312" s="85"/>
      <c r="W312" s="84"/>
      <c r="X312" s="87"/>
      <c r="Y312" s="84"/>
      <c r="Z312" s="84"/>
      <c r="AA312" s="84"/>
      <c r="AB312" s="84"/>
      <c r="AC312" s="84"/>
      <c r="AD312" s="84"/>
      <c r="AE312" s="84"/>
      <c r="AF312" s="84"/>
      <c r="AG312" s="84"/>
      <c r="AH312" s="89"/>
      <c r="AI312" s="84"/>
      <c r="AJ312" s="84"/>
      <c r="AK312" s="84"/>
      <c r="AL312" s="89"/>
      <c r="AM312" s="89"/>
      <c r="AN312" s="55"/>
      <c r="AO312" s="84"/>
      <c r="AP312" s="60"/>
      <c r="AQ312" s="90"/>
      <c r="AR312" s="55"/>
      <c r="AS312" s="55"/>
      <c r="AT312" s="91"/>
      <c r="AU312" s="55"/>
      <c r="AV312" s="92"/>
      <c r="AW312" s="92"/>
      <c r="AX312" s="62"/>
      <c r="AY312" s="90"/>
      <c r="AZ312" s="93"/>
      <c r="BA312" s="93"/>
      <c r="BB312" s="93"/>
      <c r="BC312" s="55"/>
      <c r="BD312" s="88"/>
      <c r="BE312" s="88"/>
      <c r="BF312" s="88"/>
      <c r="BG312" s="87"/>
      <c r="BH312" s="84"/>
      <c r="BI312" s="84"/>
      <c r="BJ312" s="90"/>
      <c r="BK312" s="94"/>
      <c r="BL312" s="62"/>
      <c r="BM312" s="84"/>
      <c r="BN312" s="95"/>
      <c r="BO312" s="84"/>
      <c r="BP312" s="84"/>
      <c r="BQ312" s="96"/>
    </row>
    <row r="313">
      <c r="A313" s="50"/>
      <c r="B313" s="83"/>
      <c r="C313" s="83"/>
      <c r="D313" s="84"/>
      <c r="E313" s="85"/>
      <c r="F313" s="85"/>
      <c r="G313" s="85"/>
      <c r="H313" s="86"/>
      <c r="I313" s="85"/>
      <c r="J313" s="87"/>
      <c r="K313" s="84"/>
      <c r="L313" s="84"/>
      <c r="M313" s="84"/>
      <c r="N313" s="55"/>
      <c r="O313" s="88"/>
      <c r="P313" s="88"/>
      <c r="Q313" s="88"/>
      <c r="R313" s="84"/>
      <c r="S313" s="84"/>
      <c r="T313" s="84"/>
      <c r="U313" s="84"/>
      <c r="V313" s="85"/>
      <c r="W313" s="84"/>
      <c r="X313" s="87"/>
      <c r="Y313" s="84"/>
      <c r="Z313" s="84"/>
      <c r="AA313" s="84"/>
      <c r="AB313" s="84"/>
      <c r="AC313" s="84"/>
      <c r="AD313" s="84"/>
      <c r="AE313" s="84"/>
      <c r="AF313" s="84"/>
      <c r="AG313" s="84"/>
      <c r="AH313" s="89"/>
      <c r="AI313" s="84"/>
      <c r="AJ313" s="84"/>
      <c r="AK313" s="84"/>
      <c r="AL313" s="89"/>
      <c r="AM313" s="89"/>
      <c r="AN313" s="55"/>
      <c r="AO313" s="84"/>
      <c r="AP313" s="60"/>
      <c r="AQ313" s="90"/>
      <c r="AR313" s="55"/>
      <c r="AS313" s="55"/>
      <c r="AT313" s="91"/>
      <c r="AU313" s="55"/>
      <c r="AV313" s="92"/>
      <c r="AW313" s="92"/>
      <c r="AX313" s="62"/>
      <c r="AY313" s="90"/>
      <c r="AZ313" s="93"/>
      <c r="BA313" s="93"/>
      <c r="BB313" s="93"/>
      <c r="BC313" s="55"/>
      <c r="BD313" s="88"/>
      <c r="BE313" s="88"/>
      <c r="BF313" s="88"/>
      <c r="BG313" s="87"/>
      <c r="BH313" s="84"/>
      <c r="BI313" s="84"/>
      <c r="BJ313" s="90"/>
      <c r="BK313" s="94"/>
      <c r="BL313" s="62"/>
      <c r="BM313" s="84"/>
      <c r="BN313" s="95"/>
      <c r="BO313" s="84"/>
      <c r="BP313" s="84"/>
      <c r="BQ313" s="96"/>
    </row>
    <row r="314">
      <c r="A314" s="50"/>
      <c r="B314" s="83"/>
      <c r="C314" s="83"/>
      <c r="D314" s="84"/>
      <c r="E314" s="85"/>
      <c r="F314" s="85"/>
      <c r="G314" s="85"/>
      <c r="H314" s="86"/>
      <c r="I314" s="85"/>
      <c r="J314" s="87"/>
      <c r="K314" s="84"/>
      <c r="L314" s="84"/>
      <c r="M314" s="84"/>
      <c r="N314" s="55"/>
      <c r="O314" s="88"/>
      <c r="P314" s="88"/>
      <c r="Q314" s="88"/>
      <c r="R314" s="84"/>
      <c r="S314" s="84"/>
      <c r="T314" s="84"/>
      <c r="U314" s="84"/>
      <c r="V314" s="85"/>
      <c r="W314" s="84"/>
      <c r="X314" s="87"/>
      <c r="Y314" s="84"/>
      <c r="Z314" s="84"/>
      <c r="AA314" s="84"/>
      <c r="AB314" s="84"/>
      <c r="AC314" s="84"/>
      <c r="AD314" s="84"/>
      <c r="AE314" s="84"/>
      <c r="AF314" s="84"/>
      <c r="AG314" s="84"/>
      <c r="AH314" s="89"/>
      <c r="AI314" s="84"/>
      <c r="AJ314" s="84"/>
      <c r="AK314" s="84"/>
      <c r="AL314" s="89"/>
      <c r="AM314" s="89"/>
      <c r="AN314" s="55"/>
      <c r="AO314" s="84"/>
      <c r="AP314" s="60"/>
      <c r="AQ314" s="90"/>
      <c r="AR314" s="55"/>
      <c r="AS314" s="55"/>
      <c r="AT314" s="91"/>
      <c r="AU314" s="55"/>
      <c r="AV314" s="92"/>
      <c r="AW314" s="92"/>
      <c r="AX314" s="62"/>
      <c r="AY314" s="90"/>
      <c r="AZ314" s="93"/>
      <c r="BA314" s="93"/>
      <c r="BB314" s="93"/>
      <c r="BC314" s="55"/>
      <c r="BD314" s="88"/>
      <c r="BE314" s="88"/>
      <c r="BF314" s="88"/>
      <c r="BG314" s="87"/>
      <c r="BH314" s="84"/>
      <c r="BI314" s="84"/>
      <c r="BJ314" s="90"/>
      <c r="BK314" s="94"/>
      <c r="BL314" s="62"/>
      <c r="BM314" s="84"/>
      <c r="BN314" s="95"/>
      <c r="BO314" s="84"/>
      <c r="BP314" s="84"/>
      <c r="BQ314" s="96"/>
    </row>
    <row r="315">
      <c r="A315" s="50"/>
      <c r="B315" s="83"/>
      <c r="C315" s="83"/>
      <c r="D315" s="84"/>
      <c r="E315" s="85"/>
      <c r="F315" s="85"/>
      <c r="G315" s="85"/>
      <c r="H315" s="86"/>
      <c r="I315" s="85"/>
      <c r="J315" s="87"/>
      <c r="K315" s="84"/>
      <c r="L315" s="84"/>
      <c r="M315" s="84"/>
      <c r="N315" s="55"/>
      <c r="O315" s="88"/>
      <c r="P315" s="88"/>
      <c r="Q315" s="88"/>
      <c r="R315" s="84"/>
      <c r="S315" s="84"/>
      <c r="T315" s="84"/>
      <c r="U315" s="84"/>
      <c r="V315" s="85"/>
      <c r="W315" s="84"/>
      <c r="X315" s="87"/>
      <c r="Y315" s="84"/>
      <c r="Z315" s="84"/>
      <c r="AA315" s="84"/>
      <c r="AB315" s="84"/>
      <c r="AC315" s="84"/>
      <c r="AD315" s="84"/>
      <c r="AE315" s="84"/>
      <c r="AF315" s="84"/>
      <c r="AG315" s="84"/>
      <c r="AH315" s="89"/>
      <c r="AI315" s="84"/>
      <c r="AJ315" s="84"/>
      <c r="AK315" s="84"/>
      <c r="AL315" s="89"/>
      <c r="AM315" s="89"/>
      <c r="AN315" s="55"/>
      <c r="AO315" s="84"/>
      <c r="AP315" s="60"/>
      <c r="AQ315" s="90"/>
      <c r="AR315" s="55"/>
      <c r="AS315" s="55"/>
      <c r="AT315" s="91"/>
      <c r="AU315" s="55"/>
      <c r="AV315" s="92"/>
      <c r="AW315" s="92"/>
      <c r="AX315" s="62"/>
      <c r="AY315" s="90"/>
      <c r="AZ315" s="93"/>
      <c r="BA315" s="93"/>
      <c r="BB315" s="93"/>
      <c r="BC315" s="55"/>
      <c r="BD315" s="88"/>
      <c r="BE315" s="88"/>
      <c r="BF315" s="88"/>
      <c r="BG315" s="87"/>
      <c r="BH315" s="84"/>
      <c r="BI315" s="84"/>
      <c r="BJ315" s="90"/>
      <c r="BK315" s="94"/>
      <c r="BL315" s="62"/>
      <c r="BM315" s="84"/>
      <c r="BN315" s="95"/>
      <c r="BO315" s="84"/>
      <c r="BP315" s="84"/>
      <c r="BQ315" s="96"/>
    </row>
    <row r="316">
      <c r="A316" s="50"/>
      <c r="B316" s="83"/>
      <c r="C316" s="83"/>
      <c r="D316" s="84"/>
      <c r="E316" s="85"/>
      <c r="F316" s="85"/>
      <c r="G316" s="85"/>
      <c r="H316" s="86"/>
      <c r="I316" s="85"/>
      <c r="J316" s="87"/>
      <c r="K316" s="84"/>
      <c r="L316" s="84"/>
      <c r="M316" s="84"/>
      <c r="N316" s="55"/>
      <c r="O316" s="88"/>
      <c r="P316" s="88"/>
      <c r="Q316" s="88"/>
      <c r="R316" s="84"/>
      <c r="S316" s="84"/>
      <c r="T316" s="84"/>
      <c r="U316" s="84"/>
      <c r="V316" s="85"/>
      <c r="W316" s="84"/>
      <c r="X316" s="87"/>
      <c r="Y316" s="84"/>
      <c r="Z316" s="84"/>
      <c r="AA316" s="84"/>
      <c r="AB316" s="84"/>
      <c r="AC316" s="84"/>
      <c r="AD316" s="84"/>
      <c r="AE316" s="84"/>
      <c r="AF316" s="84"/>
      <c r="AG316" s="84"/>
      <c r="AH316" s="89"/>
      <c r="AI316" s="84"/>
      <c r="AJ316" s="84"/>
      <c r="AK316" s="84"/>
      <c r="AL316" s="89"/>
      <c r="AM316" s="89"/>
      <c r="AN316" s="55"/>
      <c r="AO316" s="84"/>
      <c r="AP316" s="60"/>
      <c r="AQ316" s="90"/>
      <c r="AR316" s="55"/>
      <c r="AS316" s="55"/>
      <c r="AT316" s="91"/>
      <c r="AU316" s="55"/>
      <c r="AV316" s="92"/>
      <c r="AW316" s="92"/>
      <c r="AX316" s="62"/>
      <c r="AY316" s="90"/>
      <c r="AZ316" s="93"/>
      <c r="BA316" s="93"/>
      <c r="BB316" s="93"/>
      <c r="BC316" s="55"/>
      <c r="BD316" s="88"/>
      <c r="BE316" s="88"/>
      <c r="BF316" s="88"/>
      <c r="BG316" s="87"/>
      <c r="BH316" s="84"/>
      <c r="BI316" s="84"/>
      <c r="BJ316" s="90"/>
      <c r="BK316" s="94"/>
      <c r="BL316" s="62"/>
      <c r="BM316" s="84"/>
      <c r="BN316" s="95"/>
      <c r="BO316" s="84"/>
      <c r="BP316" s="84"/>
      <c r="BQ316" s="96"/>
    </row>
    <row r="317">
      <c r="A317" s="50"/>
      <c r="B317" s="83"/>
      <c r="C317" s="83"/>
      <c r="D317" s="84"/>
      <c r="E317" s="85"/>
      <c r="F317" s="85"/>
      <c r="G317" s="85"/>
      <c r="H317" s="86"/>
      <c r="I317" s="85"/>
      <c r="J317" s="87"/>
      <c r="K317" s="84"/>
      <c r="L317" s="84"/>
      <c r="M317" s="84"/>
      <c r="N317" s="55"/>
      <c r="O317" s="88"/>
      <c r="P317" s="88"/>
      <c r="Q317" s="88"/>
      <c r="R317" s="84"/>
      <c r="S317" s="84"/>
      <c r="T317" s="84"/>
      <c r="U317" s="84"/>
      <c r="V317" s="85"/>
      <c r="W317" s="84"/>
      <c r="X317" s="87"/>
      <c r="Y317" s="84"/>
      <c r="Z317" s="84"/>
      <c r="AA317" s="84"/>
      <c r="AB317" s="84"/>
      <c r="AC317" s="84"/>
      <c r="AD317" s="84"/>
      <c r="AE317" s="84"/>
      <c r="AF317" s="84"/>
      <c r="AG317" s="84"/>
      <c r="AH317" s="89"/>
      <c r="AI317" s="84"/>
      <c r="AJ317" s="84"/>
      <c r="AK317" s="84"/>
      <c r="AL317" s="89"/>
      <c r="AM317" s="89"/>
      <c r="AN317" s="55"/>
      <c r="AO317" s="84"/>
      <c r="AP317" s="60"/>
      <c r="AQ317" s="90"/>
      <c r="AR317" s="55"/>
      <c r="AS317" s="55"/>
      <c r="AT317" s="91"/>
      <c r="AU317" s="55"/>
      <c r="AV317" s="92"/>
      <c r="AW317" s="92"/>
      <c r="AX317" s="62"/>
      <c r="AY317" s="90"/>
      <c r="AZ317" s="93"/>
      <c r="BA317" s="93"/>
      <c r="BB317" s="93"/>
      <c r="BC317" s="55"/>
      <c r="BD317" s="88"/>
      <c r="BE317" s="88"/>
      <c r="BF317" s="88"/>
      <c r="BG317" s="87"/>
      <c r="BH317" s="84"/>
      <c r="BI317" s="84"/>
      <c r="BJ317" s="90"/>
      <c r="BK317" s="94"/>
      <c r="BL317" s="62"/>
      <c r="BM317" s="84"/>
      <c r="BN317" s="95"/>
      <c r="BO317" s="84"/>
      <c r="BP317" s="84"/>
      <c r="BQ317" s="96"/>
    </row>
    <row r="318">
      <c r="A318" s="50"/>
      <c r="B318" s="83"/>
      <c r="C318" s="83"/>
      <c r="D318" s="84"/>
      <c r="E318" s="85"/>
      <c r="F318" s="85"/>
      <c r="G318" s="85"/>
      <c r="H318" s="86"/>
      <c r="I318" s="85"/>
      <c r="J318" s="87"/>
      <c r="K318" s="84"/>
      <c r="L318" s="84"/>
      <c r="M318" s="84"/>
      <c r="N318" s="55"/>
      <c r="O318" s="88"/>
      <c r="P318" s="88"/>
      <c r="Q318" s="88"/>
      <c r="R318" s="84"/>
      <c r="S318" s="84"/>
      <c r="T318" s="84"/>
      <c r="U318" s="84"/>
      <c r="V318" s="85"/>
      <c r="W318" s="84"/>
      <c r="X318" s="87"/>
      <c r="Y318" s="84"/>
      <c r="Z318" s="84"/>
      <c r="AA318" s="84"/>
      <c r="AB318" s="84"/>
      <c r="AC318" s="84"/>
      <c r="AD318" s="84"/>
      <c r="AE318" s="84"/>
      <c r="AF318" s="84"/>
      <c r="AG318" s="84"/>
      <c r="AH318" s="89"/>
      <c r="AI318" s="84"/>
      <c r="AJ318" s="84"/>
      <c r="AK318" s="84"/>
      <c r="AL318" s="89"/>
      <c r="AM318" s="89"/>
      <c r="AN318" s="55"/>
      <c r="AO318" s="84"/>
      <c r="AP318" s="60"/>
      <c r="AQ318" s="90"/>
      <c r="AR318" s="55"/>
      <c r="AS318" s="55"/>
      <c r="AT318" s="91"/>
      <c r="AU318" s="55"/>
      <c r="AV318" s="92"/>
      <c r="AW318" s="92"/>
      <c r="AX318" s="62"/>
      <c r="AY318" s="90"/>
      <c r="AZ318" s="93"/>
      <c r="BA318" s="93"/>
      <c r="BB318" s="93"/>
      <c r="BC318" s="55"/>
      <c r="BD318" s="88"/>
      <c r="BE318" s="88"/>
      <c r="BF318" s="88"/>
      <c r="BG318" s="87"/>
      <c r="BH318" s="84"/>
      <c r="BI318" s="84"/>
      <c r="BJ318" s="90"/>
      <c r="BK318" s="94"/>
      <c r="BL318" s="62"/>
      <c r="BM318" s="84"/>
      <c r="BN318" s="95"/>
      <c r="BO318" s="84"/>
      <c r="BP318" s="84"/>
      <c r="BQ318" s="96"/>
    </row>
    <row r="319">
      <c r="A319" s="50"/>
      <c r="B319" s="83"/>
      <c r="C319" s="83"/>
      <c r="D319" s="84"/>
      <c r="E319" s="85"/>
      <c r="F319" s="85"/>
      <c r="G319" s="85"/>
      <c r="H319" s="86"/>
      <c r="I319" s="85"/>
      <c r="J319" s="87"/>
      <c r="K319" s="84"/>
      <c r="L319" s="84"/>
      <c r="M319" s="84"/>
      <c r="N319" s="55"/>
      <c r="O319" s="88"/>
      <c r="P319" s="88"/>
      <c r="Q319" s="88"/>
      <c r="R319" s="84"/>
      <c r="S319" s="84"/>
      <c r="T319" s="84"/>
      <c r="U319" s="84"/>
      <c r="V319" s="85"/>
      <c r="W319" s="84"/>
      <c r="X319" s="87"/>
      <c r="Y319" s="84"/>
      <c r="Z319" s="84"/>
      <c r="AA319" s="84"/>
      <c r="AB319" s="84"/>
      <c r="AC319" s="84"/>
      <c r="AD319" s="84"/>
      <c r="AE319" s="84"/>
      <c r="AF319" s="84"/>
      <c r="AG319" s="84"/>
      <c r="AH319" s="89"/>
      <c r="AI319" s="84"/>
      <c r="AJ319" s="84"/>
      <c r="AK319" s="84"/>
      <c r="AL319" s="89"/>
      <c r="AM319" s="89"/>
      <c r="AN319" s="55"/>
      <c r="AO319" s="84"/>
      <c r="AP319" s="60"/>
      <c r="AQ319" s="90"/>
      <c r="AR319" s="55"/>
      <c r="AS319" s="55"/>
      <c r="AT319" s="91"/>
      <c r="AU319" s="55"/>
      <c r="AV319" s="92"/>
      <c r="AW319" s="92"/>
      <c r="AX319" s="62"/>
      <c r="AY319" s="90"/>
      <c r="AZ319" s="93"/>
      <c r="BA319" s="93"/>
      <c r="BB319" s="93"/>
      <c r="BC319" s="55"/>
      <c r="BD319" s="88"/>
      <c r="BE319" s="88"/>
      <c r="BF319" s="88"/>
      <c r="BG319" s="87"/>
      <c r="BH319" s="84"/>
      <c r="BI319" s="84"/>
      <c r="BJ319" s="90"/>
      <c r="BK319" s="94"/>
      <c r="BL319" s="62"/>
      <c r="BM319" s="84"/>
      <c r="BN319" s="95"/>
      <c r="BO319" s="84"/>
      <c r="BP319" s="84"/>
      <c r="BQ319" s="96"/>
    </row>
    <row r="320">
      <c r="A320" s="50"/>
      <c r="B320" s="83"/>
      <c r="C320" s="83"/>
      <c r="D320" s="84"/>
      <c r="E320" s="85"/>
      <c r="F320" s="85"/>
      <c r="G320" s="85"/>
      <c r="H320" s="86"/>
      <c r="I320" s="85"/>
      <c r="J320" s="87"/>
      <c r="K320" s="84"/>
      <c r="L320" s="84"/>
      <c r="M320" s="84"/>
      <c r="N320" s="55"/>
      <c r="O320" s="88"/>
      <c r="P320" s="88"/>
      <c r="Q320" s="88"/>
      <c r="R320" s="84"/>
      <c r="S320" s="84"/>
      <c r="T320" s="84"/>
      <c r="U320" s="84"/>
      <c r="V320" s="85"/>
      <c r="W320" s="84"/>
      <c r="X320" s="87"/>
      <c r="Y320" s="84"/>
      <c r="Z320" s="84"/>
      <c r="AA320" s="84"/>
      <c r="AB320" s="84"/>
      <c r="AC320" s="84"/>
      <c r="AD320" s="84"/>
      <c r="AE320" s="84"/>
      <c r="AF320" s="84"/>
      <c r="AG320" s="84"/>
      <c r="AH320" s="89"/>
      <c r="AI320" s="84"/>
      <c r="AJ320" s="84"/>
      <c r="AK320" s="84"/>
      <c r="AL320" s="89"/>
      <c r="AM320" s="89"/>
      <c r="AN320" s="55"/>
      <c r="AO320" s="84"/>
      <c r="AP320" s="60"/>
      <c r="AQ320" s="90"/>
      <c r="AR320" s="55"/>
      <c r="AS320" s="55"/>
      <c r="AT320" s="91"/>
      <c r="AU320" s="55"/>
      <c r="AV320" s="92"/>
      <c r="AW320" s="92"/>
      <c r="AX320" s="62"/>
      <c r="AY320" s="90"/>
      <c r="AZ320" s="93"/>
      <c r="BA320" s="93"/>
      <c r="BB320" s="93"/>
      <c r="BC320" s="55"/>
      <c r="BD320" s="88"/>
      <c r="BE320" s="88"/>
      <c r="BF320" s="88"/>
      <c r="BG320" s="87"/>
      <c r="BH320" s="84"/>
      <c r="BI320" s="84"/>
      <c r="BJ320" s="90"/>
      <c r="BK320" s="94"/>
      <c r="BL320" s="62"/>
      <c r="BM320" s="84"/>
      <c r="BN320" s="95"/>
      <c r="BO320" s="84"/>
      <c r="BP320" s="84"/>
      <c r="BQ320" s="96"/>
    </row>
    <row r="321">
      <c r="A321" s="50"/>
      <c r="B321" s="83"/>
      <c r="C321" s="83"/>
      <c r="D321" s="84"/>
      <c r="E321" s="85"/>
      <c r="F321" s="85"/>
      <c r="G321" s="85"/>
      <c r="H321" s="86"/>
      <c r="I321" s="85"/>
      <c r="J321" s="87"/>
      <c r="K321" s="84"/>
      <c r="L321" s="84"/>
      <c r="M321" s="84"/>
      <c r="N321" s="55"/>
      <c r="O321" s="88"/>
      <c r="P321" s="88"/>
      <c r="Q321" s="88"/>
      <c r="R321" s="84"/>
      <c r="S321" s="84"/>
      <c r="T321" s="84"/>
      <c r="U321" s="84"/>
      <c r="V321" s="85"/>
      <c r="W321" s="84"/>
      <c r="X321" s="87"/>
      <c r="Y321" s="84"/>
      <c r="Z321" s="84"/>
      <c r="AA321" s="84"/>
      <c r="AB321" s="84"/>
      <c r="AC321" s="84"/>
      <c r="AD321" s="84"/>
      <c r="AE321" s="84"/>
      <c r="AF321" s="84"/>
      <c r="AG321" s="84"/>
      <c r="AH321" s="89"/>
      <c r="AI321" s="84"/>
      <c r="AJ321" s="84"/>
      <c r="AK321" s="84"/>
      <c r="AL321" s="89"/>
      <c r="AM321" s="89"/>
      <c r="AN321" s="55"/>
      <c r="AO321" s="84"/>
      <c r="AP321" s="60"/>
      <c r="AQ321" s="90"/>
      <c r="AR321" s="55"/>
      <c r="AS321" s="55"/>
      <c r="AT321" s="91"/>
      <c r="AU321" s="55"/>
      <c r="AV321" s="92"/>
      <c r="AW321" s="92"/>
      <c r="AX321" s="62"/>
      <c r="AY321" s="90"/>
      <c r="AZ321" s="93"/>
      <c r="BA321" s="93"/>
      <c r="BB321" s="93"/>
      <c r="BC321" s="55"/>
      <c r="BD321" s="88"/>
      <c r="BE321" s="88"/>
      <c r="BF321" s="88"/>
      <c r="BG321" s="87"/>
      <c r="BH321" s="84"/>
      <c r="BI321" s="84"/>
      <c r="BJ321" s="90"/>
      <c r="BK321" s="94"/>
      <c r="BL321" s="62"/>
      <c r="BM321" s="84"/>
      <c r="BN321" s="95"/>
      <c r="BO321" s="84"/>
      <c r="BP321" s="84"/>
      <c r="BQ321" s="96"/>
    </row>
    <row r="322">
      <c r="A322" s="50"/>
      <c r="B322" s="83"/>
      <c r="C322" s="83"/>
      <c r="D322" s="84"/>
      <c r="E322" s="85"/>
      <c r="F322" s="85"/>
      <c r="G322" s="85"/>
      <c r="H322" s="86"/>
      <c r="I322" s="85"/>
      <c r="J322" s="87"/>
      <c r="K322" s="84"/>
      <c r="L322" s="84"/>
      <c r="M322" s="84"/>
      <c r="N322" s="55"/>
      <c r="O322" s="88"/>
      <c r="P322" s="88"/>
      <c r="Q322" s="88"/>
      <c r="R322" s="84"/>
      <c r="S322" s="84"/>
      <c r="T322" s="84"/>
      <c r="U322" s="84"/>
      <c r="V322" s="85"/>
      <c r="W322" s="84"/>
      <c r="X322" s="87"/>
      <c r="Y322" s="84"/>
      <c r="Z322" s="84"/>
      <c r="AA322" s="84"/>
      <c r="AB322" s="84"/>
      <c r="AC322" s="84"/>
      <c r="AD322" s="84"/>
      <c r="AE322" s="84"/>
      <c r="AF322" s="84"/>
      <c r="AG322" s="84"/>
      <c r="AH322" s="89"/>
      <c r="AI322" s="84"/>
      <c r="AJ322" s="84"/>
      <c r="AK322" s="84"/>
      <c r="AL322" s="89"/>
      <c r="AM322" s="89"/>
      <c r="AN322" s="55"/>
      <c r="AO322" s="84"/>
      <c r="AP322" s="60"/>
      <c r="AQ322" s="90"/>
      <c r="AR322" s="55"/>
      <c r="AS322" s="55"/>
      <c r="AT322" s="91"/>
      <c r="AU322" s="55"/>
      <c r="AV322" s="92"/>
      <c r="AW322" s="92"/>
      <c r="AX322" s="62"/>
      <c r="AY322" s="90"/>
      <c r="AZ322" s="93"/>
      <c r="BA322" s="93"/>
      <c r="BB322" s="93"/>
      <c r="BC322" s="55"/>
      <c r="BD322" s="88"/>
      <c r="BE322" s="88"/>
      <c r="BF322" s="88"/>
      <c r="BG322" s="87"/>
      <c r="BH322" s="84"/>
      <c r="BI322" s="84"/>
      <c r="BJ322" s="90"/>
      <c r="BK322" s="94"/>
      <c r="BL322" s="62"/>
      <c r="BM322" s="84"/>
      <c r="BN322" s="95"/>
      <c r="BO322" s="84"/>
      <c r="BP322" s="84"/>
      <c r="BQ322" s="96"/>
    </row>
    <row r="323">
      <c r="A323" s="50"/>
      <c r="B323" s="83"/>
      <c r="C323" s="83"/>
      <c r="D323" s="84"/>
      <c r="E323" s="85"/>
      <c r="F323" s="85"/>
      <c r="G323" s="85"/>
      <c r="H323" s="86"/>
      <c r="I323" s="85"/>
      <c r="J323" s="87"/>
      <c r="K323" s="84"/>
      <c r="L323" s="84"/>
      <c r="M323" s="84"/>
      <c r="N323" s="55"/>
      <c r="O323" s="88"/>
      <c r="P323" s="88"/>
      <c r="Q323" s="88"/>
      <c r="R323" s="84"/>
      <c r="S323" s="84"/>
      <c r="T323" s="84"/>
      <c r="U323" s="84"/>
      <c r="V323" s="85"/>
      <c r="W323" s="84"/>
      <c r="X323" s="87"/>
      <c r="Y323" s="84"/>
      <c r="Z323" s="84"/>
      <c r="AA323" s="84"/>
      <c r="AB323" s="84"/>
      <c r="AC323" s="84"/>
      <c r="AD323" s="84"/>
      <c r="AE323" s="84"/>
      <c r="AF323" s="84"/>
      <c r="AG323" s="84"/>
      <c r="AH323" s="89"/>
      <c r="AI323" s="84"/>
      <c r="AJ323" s="84"/>
      <c r="AK323" s="84"/>
      <c r="AL323" s="89"/>
      <c r="AM323" s="89"/>
      <c r="AN323" s="55"/>
      <c r="AO323" s="84"/>
      <c r="AP323" s="60"/>
      <c r="AQ323" s="90"/>
      <c r="AR323" s="55"/>
      <c r="AS323" s="55"/>
      <c r="AT323" s="91"/>
      <c r="AU323" s="55"/>
      <c r="AV323" s="92"/>
      <c r="AW323" s="92"/>
      <c r="AX323" s="62"/>
      <c r="AY323" s="90"/>
      <c r="AZ323" s="93"/>
      <c r="BA323" s="93"/>
      <c r="BB323" s="93"/>
      <c r="BC323" s="55"/>
      <c r="BD323" s="88"/>
      <c r="BE323" s="88"/>
      <c r="BF323" s="88"/>
      <c r="BG323" s="87"/>
      <c r="BH323" s="84"/>
      <c r="BI323" s="84"/>
      <c r="BJ323" s="90"/>
      <c r="BK323" s="94"/>
      <c r="BL323" s="62"/>
      <c r="BM323" s="84"/>
      <c r="BN323" s="95"/>
      <c r="BO323" s="84"/>
      <c r="BP323" s="84"/>
      <c r="BQ323" s="96"/>
    </row>
    <row r="324">
      <c r="A324" s="50"/>
      <c r="B324" s="83"/>
      <c r="C324" s="83"/>
      <c r="D324" s="84"/>
      <c r="E324" s="85"/>
      <c r="F324" s="85"/>
      <c r="G324" s="85"/>
      <c r="H324" s="86"/>
      <c r="I324" s="85"/>
      <c r="J324" s="87"/>
      <c r="K324" s="84"/>
      <c r="L324" s="84"/>
      <c r="M324" s="84"/>
      <c r="N324" s="55"/>
      <c r="O324" s="88"/>
      <c r="P324" s="88"/>
      <c r="Q324" s="88"/>
      <c r="R324" s="84"/>
      <c r="S324" s="84"/>
      <c r="T324" s="84"/>
      <c r="U324" s="84"/>
      <c r="V324" s="85"/>
      <c r="W324" s="84"/>
      <c r="X324" s="87"/>
      <c r="Y324" s="84"/>
      <c r="Z324" s="84"/>
      <c r="AA324" s="84"/>
      <c r="AB324" s="84"/>
      <c r="AC324" s="84"/>
      <c r="AD324" s="84"/>
      <c r="AE324" s="84"/>
      <c r="AF324" s="84"/>
      <c r="AG324" s="84"/>
      <c r="AH324" s="89"/>
      <c r="AI324" s="84"/>
      <c r="AJ324" s="84"/>
      <c r="AK324" s="84"/>
      <c r="AL324" s="89"/>
      <c r="AM324" s="89"/>
      <c r="AN324" s="55"/>
      <c r="AO324" s="84"/>
      <c r="AP324" s="60"/>
      <c r="AQ324" s="90"/>
      <c r="AR324" s="55"/>
      <c r="AS324" s="55"/>
      <c r="AT324" s="91"/>
      <c r="AU324" s="55"/>
      <c r="AV324" s="92"/>
      <c r="AW324" s="92"/>
      <c r="AX324" s="62"/>
      <c r="AY324" s="90"/>
      <c r="AZ324" s="93"/>
      <c r="BA324" s="93"/>
      <c r="BB324" s="93"/>
      <c r="BC324" s="55"/>
      <c r="BD324" s="88"/>
      <c r="BE324" s="88"/>
      <c r="BF324" s="88"/>
      <c r="BG324" s="87"/>
      <c r="BH324" s="84"/>
      <c r="BI324" s="84"/>
      <c r="BJ324" s="90"/>
      <c r="BK324" s="94"/>
      <c r="BL324" s="62"/>
      <c r="BM324" s="84"/>
      <c r="BN324" s="95"/>
      <c r="BO324" s="84"/>
      <c r="BP324" s="84"/>
      <c r="BQ324" s="96"/>
    </row>
    <row r="325">
      <c r="A325" s="50"/>
      <c r="B325" s="83"/>
      <c r="C325" s="83"/>
      <c r="D325" s="84"/>
      <c r="E325" s="85"/>
      <c r="F325" s="85"/>
      <c r="G325" s="85"/>
      <c r="H325" s="86"/>
      <c r="I325" s="85"/>
      <c r="J325" s="87"/>
      <c r="K325" s="84"/>
      <c r="L325" s="84"/>
      <c r="M325" s="84"/>
      <c r="N325" s="55"/>
      <c r="O325" s="88"/>
      <c r="P325" s="88"/>
      <c r="Q325" s="88"/>
      <c r="R325" s="84"/>
      <c r="S325" s="84"/>
      <c r="T325" s="84"/>
      <c r="U325" s="84"/>
      <c r="V325" s="85"/>
      <c r="W325" s="84"/>
      <c r="X325" s="87"/>
      <c r="Y325" s="84"/>
      <c r="Z325" s="84"/>
      <c r="AA325" s="84"/>
      <c r="AB325" s="84"/>
      <c r="AC325" s="84"/>
      <c r="AD325" s="84"/>
      <c r="AE325" s="84"/>
      <c r="AF325" s="84"/>
      <c r="AG325" s="84"/>
      <c r="AH325" s="89"/>
      <c r="AI325" s="84"/>
      <c r="AJ325" s="84"/>
      <c r="AK325" s="84"/>
      <c r="AL325" s="89"/>
      <c r="AM325" s="89"/>
      <c r="AN325" s="55"/>
      <c r="AO325" s="84"/>
      <c r="AP325" s="60"/>
      <c r="AQ325" s="90"/>
      <c r="AR325" s="55"/>
      <c r="AS325" s="55"/>
      <c r="AT325" s="91"/>
      <c r="AU325" s="55"/>
      <c r="AV325" s="92"/>
      <c r="AW325" s="92"/>
      <c r="AX325" s="62"/>
      <c r="AY325" s="90"/>
      <c r="AZ325" s="93"/>
      <c r="BA325" s="93"/>
      <c r="BB325" s="93"/>
      <c r="BC325" s="55"/>
      <c r="BD325" s="88"/>
      <c r="BE325" s="88"/>
      <c r="BF325" s="88"/>
      <c r="BG325" s="87"/>
      <c r="BH325" s="84"/>
      <c r="BI325" s="84"/>
      <c r="BJ325" s="90"/>
      <c r="BK325" s="94"/>
      <c r="BL325" s="62"/>
      <c r="BM325" s="84"/>
      <c r="BN325" s="95"/>
      <c r="BO325" s="84"/>
      <c r="BP325" s="84"/>
      <c r="BQ325" s="96"/>
    </row>
    <row r="326">
      <c r="A326" s="50"/>
      <c r="B326" s="83"/>
      <c r="C326" s="83"/>
      <c r="D326" s="84"/>
      <c r="E326" s="85"/>
      <c r="F326" s="85"/>
      <c r="G326" s="85"/>
      <c r="H326" s="86"/>
      <c r="I326" s="85"/>
      <c r="J326" s="87"/>
      <c r="K326" s="84"/>
      <c r="L326" s="84"/>
      <c r="M326" s="84"/>
      <c r="N326" s="55"/>
      <c r="O326" s="88"/>
      <c r="P326" s="88"/>
      <c r="Q326" s="88"/>
      <c r="R326" s="84"/>
      <c r="S326" s="84"/>
      <c r="T326" s="84"/>
      <c r="U326" s="84"/>
      <c r="V326" s="85"/>
      <c r="W326" s="84"/>
      <c r="X326" s="87"/>
      <c r="Y326" s="84"/>
      <c r="Z326" s="84"/>
      <c r="AA326" s="84"/>
      <c r="AB326" s="84"/>
      <c r="AC326" s="84"/>
      <c r="AD326" s="84"/>
      <c r="AE326" s="84"/>
      <c r="AF326" s="84"/>
      <c r="AG326" s="84"/>
      <c r="AH326" s="89"/>
      <c r="AI326" s="84"/>
      <c r="AJ326" s="84"/>
      <c r="AK326" s="84"/>
      <c r="AL326" s="89"/>
      <c r="AM326" s="89"/>
      <c r="AN326" s="55"/>
      <c r="AO326" s="84"/>
      <c r="AP326" s="60"/>
      <c r="AQ326" s="90"/>
      <c r="AR326" s="55"/>
      <c r="AS326" s="55"/>
      <c r="AT326" s="91"/>
      <c r="AU326" s="55"/>
      <c r="AV326" s="92"/>
      <c r="AW326" s="92"/>
      <c r="AX326" s="62"/>
      <c r="AY326" s="90"/>
      <c r="AZ326" s="93"/>
      <c r="BA326" s="93"/>
      <c r="BB326" s="93"/>
      <c r="BC326" s="55"/>
      <c r="BD326" s="88"/>
      <c r="BE326" s="88"/>
      <c r="BF326" s="88"/>
      <c r="BG326" s="87"/>
      <c r="BH326" s="84"/>
      <c r="BI326" s="84"/>
      <c r="BJ326" s="90"/>
      <c r="BK326" s="94"/>
      <c r="BL326" s="62"/>
      <c r="BM326" s="84"/>
      <c r="BN326" s="95"/>
      <c r="BO326" s="84"/>
      <c r="BP326" s="84"/>
      <c r="BQ326" s="96"/>
    </row>
    <row r="327">
      <c r="A327" s="50"/>
      <c r="B327" s="83"/>
      <c r="C327" s="83"/>
      <c r="D327" s="84"/>
      <c r="E327" s="85"/>
      <c r="F327" s="85"/>
      <c r="G327" s="85"/>
      <c r="H327" s="86"/>
      <c r="I327" s="85"/>
      <c r="J327" s="87"/>
      <c r="K327" s="84"/>
      <c r="L327" s="84"/>
      <c r="M327" s="84"/>
      <c r="N327" s="55"/>
      <c r="O327" s="88"/>
      <c r="P327" s="88"/>
      <c r="Q327" s="88"/>
      <c r="R327" s="84"/>
      <c r="S327" s="84"/>
      <c r="T327" s="84"/>
      <c r="U327" s="84"/>
      <c r="V327" s="85"/>
      <c r="W327" s="84"/>
      <c r="X327" s="87"/>
      <c r="Y327" s="84"/>
      <c r="Z327" s="84"/>
      <c r="AA327" s="84"/>
      <c r="AB327" s="84"/>
      <c r="AC327" s="84"/>
      <c r="AD327" s="84"/>
      <c r="AE327" s="84"/>
      <c r="AF327" s="84"/>
      <c r="AG327" s="84"/>
      <c r="AH327" s="89"/>
      <c r="AI327" s="84"/>
      <c r="AJ327" s="84"/>
      <c r="AK327" s="84"/>
      <c r="AL327" s="89"/>
      <c r="AM327" s="89"/>
      <c r="AN327" s="55"/>
      <c r="AO327" s="84"/>
      <c r="AP327" s="60"/>
      <c r="AQ327" s="90"/>
      <c r="AR327" s="55"/>
      <c r="AS327" s="55"/>
      <c r="AT327" s="91"/>
      <c r="AU327" s="55"/>
      <c r="AV327" s="92"/>
      <c r="AW327" s="92"/>
      <c r="AX327" s="62"/>
      <c r="AY327" s="90"/>
      <c r="AZ327" s="93"/>
      <c r="BA327" s="93"/>
      <c r="BB327" s="93"/>
      <c r="BC327" s="55"/>
      <c r="BD327" s="88"/>
      <c r="BE327" s="88"/>
      <c r="BF327" s="88"/>
      <c r="BG327" s="87"/>
      <c r="BH327" s="84"/>
      <c r="BI327" s="84"/>
      <c r="BJ327" s="90"/>
      <c r="BK327" s="94"/>
      <c r="BL327" s="62"/>
      <c r="BM327" s="84"/>
      <c r="BN327" s="95"/>
      <c r="BO327" s="84"/>
      <c r="BP327" s="84"/>
      <c r="BQ327" s="96"/>
    </row>
    <row r="328">
      <c r="A328" s="50"/>
      <c r="B328" s="83"/>
      <c r="C328" s="83"/>
      <c r="D328" s="84"/>
      <c r="E328" s="85"/>
      <c r="F328" s="85"/>
      <c r="G328" s="85"/>
      <c r="H328" s="86"/>
      <c r="I328" s="85"/>
      <c r="J328" s="87"/>
      <c r="K328" s="84"/>
      <c r="L328" s="84"/>
      <c r="M328" s="84"/>
      <c r="N328" s="55"/>
      <c r="O328" s="88"/>
      <c r="P328" s="88"/>
      <c r="Q328" s="88"/>
      <c r="R328" s="84"/>
      <c r="S328" s="84"/>
      <c r="T328" s="84"/>
      <c r="U328" s="84"/>
      <c r="V328" s="85"/>
      <c r="W328" s="84"/>
      <c r="X328" s="87"/>
      <c r="Y328" s="84"/>
      <c r="Z328" s="84"/>
      <c r="AA328" s="84"/>
      <c r="AB328" s="84"/>
      <c r="AC328" s="84"/>
      <c r="AD328" s="84"/>
      <c r="AE328" s="84"/>
      <c r="AF328" s="84"/>
      <c r="AG328" s="84"/>
      <c r="AH328" s="89"/>
      <c r="AI328" s="84"/>
      <c r="AJ328" s="84"/>
      <c r="AK328" s="84"/>
      <c r="AL328" s="89"/>
      <c r="AM328" s="89"/>
      <c r="AN328" s="55"/>
      <c r="AO328" s="84"/>
      <c r="AP328" s="60"/>
      <c r="AQ328" s="90"/>
      <c r="AR328" s="55"/>
      <c r="AS328" s="55"/>
      <c r="AT328" s="91"/>
      <c r="AU328" s="55"/>
      <c r="AV328" s="92"/>
      <c r="AW328" s="92"/>
      <c r="AX328" s="62"/>
      <c r="AY328" s="90"/>
      <c r="AZ328" s="93"/>
      <c r="BA328" s="93"/>
      <c r="BB328" s="93"/>
      <c r="BC328" s="55"/>
      <c r="BD328" s="88"/>
      <c r="BE328" s="88"/>
      <c r="BF328" s="88"/>
      <c r="BG328" s="87"/>
      <c r="BH328" s="84"/>
      <c r="BI328" s="84"/>
      <c r="BJ328" s="90"/>
      <c r="BK328" s="94"/>
      <c r="BL328" s="62"/>
      <c r="BM328" s="84"/>
      <c r="BN328" s="95"/>
      <c r="BO328" s="84"/>
      <c r="BP328" s="84"/>
      <c r="BQ328" s="96"/>
    </row>
    <row r="329">
      <c r="A329" s="50"/>
      <c r="B329" s="83"/>
      <c r="C329" s="83"/>
      <c r="D329" s="84"/>
      <c r="E329" s="85"/>
      <c r="F329" s="85"/>
      <c r="G329" s="85"/>
      <c r="H329" s="86"/>
      <c r="I329" s="85"/>
      <c r="J329" s="87"/>
      <c r="K329" s="84"/>
      <c r="L329" s="84"/>
      <c r="M329" s="84"/>
      <c r="N329" s="55"/>
      <c r="O329" s="88"/>
      <c r="P329" s="88"/>
      <c r="Q329" s="88"/>
      <c r="R329" s="84"/>
      <c r="S329" s="84"/>
      <c r="T329" s="84"/>
      <c r="U329" s="84"/>
      <c r="V329" s="85"/>
      <c r="W329" s="84"/>
      <c r="X329" s="87"/>
      <c r="Y329" s="84"/>
      <c r="Z329" s="84"/>
      <c r="AA329" s="84"/>
      <c r="AB329" s="84"/>
      <c r="AC329" s="84"/>
      <c r="AD329" s="84"/>
      <c r="AE329" s="84"/>
      <c r="AF329" s="84"/>
      <c r="AG329" s="84"/>
      <c r="AH329" s="89"/>
      <c r="AI329" s="84"/>
      <c r="AJ329" s="84"/>
      <c r="AK329" s="84"/>
      <c r="AL329" s="89"/>
      <c r="AM329" s="89"/>
      <c r="AN329" s="55"/>
      <c r="AO329" s="84"/>
      <c r="AP329" s="60"/>
      <c r="AQ329" s="90"/>
      <c r="AR329" s="55"/>
      <c r="AS329" s="55"/>
      <c r="AT329" s="91"/>
      <c r="AU329" s="55"/>
      <c r="AV329" s="92"/>
      <c r="AW329" s="92"/>
      <c r="AX329" s="62"/>
      <c r="AY329" s="90"/>
      <c r="AZ329" s="93"/>
      <c r="BA329" s="93"/>
      <c r="BB329" s="93"/>
      <c r="BC329" s="55"/>
      <c r="BD329" s="88"/>
      <c r="BE329" s="88"/>
      <c r="BF329" s="88"/>
      <c r="BG329" s="87"/>
      <c r="BH329" s="84"/>
      <c r="BI329" s="84"/>
      <c r="BJ329" s="90"/>
      <c r="BK329" s="94"/>
      <c r="BL329" s="62"/>
      <c r="BM329" s="84"/>
      <c r="BN329" s="95"/>
      <c r="BO329" s="84"/>
      <c r="BP329" s="84"/>
      <c r="BQ329" s="96"/>
    </row>
    <row r="330">
      <c r="A330" s="50"/>
      <c r="B330" s="83"/>
      <c r="C330" s="83"/>
      <c r="D330" s="84"/>
      <c r="E330" s="85"/>
      <c r="F330" s="85"/>
      <c r="G330" s="85"/>
      <c r="H330" s="86"/>
      <c r="I330" s="85"/>
      <c r="J330" s="87"/>
      <c r="K330" s="84"/>
      <c r="L330" s="84"/>
      <c r="M330" s="84"/>
      <c r="N330" s="55"/>
      <c r="O330" s="88"/>
      <c r="P330" s="88"/>
      <c r="Q330" s="88"/>
      <c r="R330" s="84"/>
      <c r="S330" s="84"/>
      <c r="T330" s="84"/>
      <c r="U330" s="84"/>
      <c r="V330" s="85"/>
      <c r="W330" s="84"/>
      <c r="X330" s="87"/>
      <c r="Y330" s="84"/>
      <c r="Z330" s="84"/>
      <c r="AA330" s="84"/>
      <c r="AB330" s="84"/>
      <c r="AC330" s="84"/>
      <c r="AD330" s="84"/>
      <c r="AE330" s="84"/>
      <c r="AF330" s="84"/>
      <c r="AG330" s="84"/>
      <c r="AH330" s="89"/>
      <c r="AI330" s="84"/>
      <c r="AJ330" s="84"/>
      <c r="AK330" s="84"/>
      <c r="AL330" s="89"/>
      <c r="AM330" s="89"/>
      <c r="AN330" s="55"/>
      <c r="AO330" s="84"/>
      <c r="AP330" s="60"/>
      <c r="AQ330" s="90"/>
      <c r="AR330" s="55"/>
      <c r="AS330" s="55"/>
      <c r="AT330" s="91"/>
      <c r="AU330" s="55"/>
      <c r="AV330" s="92"/>
      <c r="AW330" s="92"/>
      <c r="AX330" s="62"/>
      <c r="AY330" s="90"/>
      <c r="AZ330" s="93"/>
      <c r="BA330" s="93"/>
      <c r="BB330" s="93"/>
      <c r="BC330" s="55"/>
      <c r="BD330" s="88"/>
      <c r="BE330" s="88"/>
      <c r="BF330" s="88"/>
      <c r="BG330" s="87"/>
      <c r="BH330" s="84"/>
      <c r="BI330" s="84"/>
      <c r="BJ330" s="90"/>
      <c r="BK330" s="94"/>
      <c r="BL330" s="62"/>
      <c r="BM330" s="84"/>
      <c r="BN330" s="95"/>
      <c r="BO330" s="84"/>
      <c r="BP330" s="84"/>
      <c r="BQ330" s="96"/>
    </row>
    <row r="331">
      <c r="A331" s="50"/>
      <c r="B331" s="83"/>
      <c r="C331" s="83"/>
      <c r="D331" s="84"/>
      <c r="E331" s="85"/>
      <c r="F331" s="85"/>
      <c r="G331" s="85"/>
      <c r="H331" s="86"/>
      <c r="I331" s="85"/>
      <c r="J331" s="87"/>
      <c r="K331" s="84"/>
      <c r="L331" s="84"/>
      <c r="M331" s="84"/>
      <c r="N331" s="55"/>
      <c r="O331" s="88"/>
      <c r="P331" s="88"/>
      <c r="Q331" s="88"/>
      <c r="R331" s="84"/>
      <c r="S331" s="84"/>
      <c r="T331" s="84"/>
      <c r="U331" s="84"/>
      <c r="V331" s="85"/>
      <c r="W331" s="84"/>
      <c r="X331" s="87"/>
      <c r="Y331" s="84"/>
      <c r="Z331" s="84"/>
      <c r="AA331" s="84"/>
      <c r="AB331" s="84"/>
      <c r="AC331" s="84"/>
      <c r="AD331" s="84"/>
      <c r="AE331" s="84"/>
      <c r="AF331" s="84"/>
      <c r="AG331" s="84"/>
      <c r="AH331" s="89"/>
      <c r="AI331" s="84"/>
      <c r="AJ331" s="84"/>
      <c r="AK331" s="84"/>
      <c r="AL331" s="89"/>
      <c r="AM331" s="89"/>
      <c r="AN331" s="55"/>
      <c r="AO331" s="84"/>
      <c r="AP331" s="60"/>
      <c r="AQ331" s="90"/>
      <c r="AR331" s="55"/>
      <c r="AS331" s="55"/>
      <c r="AT331" s="91"/>
      <c r="AU331" s="55"/>
      <c r="AV331" s="92"/>
      <c r="AW331" s="92"/>
      <c r="AX331" s="62"/>
      <c r="AY331" s="90"/>
      <c r="AZ331" s="93"/>
      <c r="BA331" s="93"/>
      <c r="BB331" s="93"/>
      <c r="BC331" s="55"/>
      <c r="BD331" s="88"/>
      <c r="BE331" s="88"/>
      <c r="BF331" s="88"/>
      <c r="BG331" s="87"/>
      <c r="BH331" s="84"/>
      <c r="BI331" s="84"/>
      <c r="BJ331" s="90"/>
      <c r="BK331" s="94"/>
      <c r="BL331" s="62"/>
      <c r="BM331" s="84"/>
      <c r="BN331" s="95"/>
      <c r="BO331" s="84"/>
      <c r="BP331" s="84"/>
      <c r="BQ331" s="96"/>
    </row>
    <row r="332">
      <c r="A332" s="50"/>
      <c r="B332" s="83"/>
      <c r="C332" s="83"/>
      <c r="D332" s="84"/>
      <c r="E332" s="85"/>
      <c r="F332" s="85"/>
      <c r="G332" s="85"/>
      <c r="H332" s="86"/>
      <c r="I332" s="85"/>
      <c r="J332" s="87"/>
      <c r="K332" s="84"/>
      <c r="L332" s="84"/>
      <c r="M332" s="84"/>
      <c r="N332" s="55"/>
      <c r="O332" s="88"/>
      <c r="P332" s="88"/>
      <c r="Q332" s="88"/>
      <c r="R332" s="84"/>
      <c r="S332" s="84"/>
      <c r="T332" s="84"/>
      <c r="U332" s="84"/>
      <c r="V332" s="85"/>
      <c r="W332" s="84"/>
      <c r="X332" s="87"/>
      <c r="Y332" s="84"/>
      <c r="Z332" s="84"/>
      <c r="AA332" s="84"/>
      <c r="AB332" s="84"/>
      <c r="AC332" s="84"/>
      <c r="AD332" s="84"/>
      <c r="AE332" s="84"/>
      <c r="AF332" s="84"/>
      <c r="AG332" s="84"/>
      <c r="AH332" s="89"/>
      <c r="AI332" s="84"/>
      <c r="AJ332" s="84"/>
      <c r="AK332" s="84"/>
      <c r="AL332" s="89"/>
      <c r="AM332" s="89"/>
      <c r="AN332" s="55"/>
      <c r="AO332" s="84"/>
      <c r="AP332" s="60"/>
      <c r="AQ332" s="90"/>
      <c r="AR332" s="55"/>
      <c r="AS332" s="55"/>
      <c r="AT332" s="91"/>
      <c r="AU332" s="55"/>
      <c r="AV332" s="92"/>
      <c r="AW332" s="92"/>
      <c r="AX332" s="62"/>
      <c r="AY332" s="90"/>
      <c r="AZ332" s="93"/>
      <c r="BA332" s="93"/>
      <c r="BB332" s="93"/>
      <c r="BC332" s="55"/>
      <c r="BD332" s="88"/>
      <c r="BE332" s="88"/>
      <c r="BF332" s="88"/>
      <c r="BG332" s="87"/>
      <c r="BH332" s="84"/>
      <c r="BI332" s="84"/>
      <c r="BJ332" s="90"/>
      <c r="BK332" s="94"/>
      <c r="BL332" s="62"/>
      <c r="BM332" s="84"/>
      <c r="BN332" s="95"/>
      <c r="BO332" s="84"/>
      <c r="BP332" s="84"/>
      <c r="BQ332" s="96"/>
    </row>
    <row r="333">
      <c r="A333" s="50"/>
      <c r="B333" s="83"/>
      <c r="C333" s="83"/>
      <c r="D333" s="84"/>
      <c r="E333" s="85"/>
      <c r="F333" s="85"/>
      <c r="G333" s="85"/>
      <c r="H333" s="86"/>
      <c r="I333" s="85"/>
      <c r="J333" s="87"/>
      <c r="K333" s="84"/>
      <c r="L333" s="84"/>
      <c r="M333" s="84"/>
      <c r="N333" s="55"/>
      <c r="O333" s="88"/>
      <c r="P333" s="88"/>
      <c r="Q333" s="88"/>
      <c r="R333" s="84"/>
      <c r="S333" s="84"/>
      <c r="T333" s="84"/>
      <c r="U333" s="84"/>
      <c r="V333" s="85"/>
      <c r="W333" s="84"/>
      <c r="X333" s="87"/>
      <c r="Y333" s="84"/>
      <c r="Z333" s="84"/>
      <c r="AA333" s="84"/>
      <c r="AB333" s="84"/>
      <c r="AC333" s="84"/>
      <c r="AD333" s="84"/>
      <c r="AE333" s="84"/>
      <c r="AF333" s="84"/>
      <c r="AG333" s="84"/>
      <c r="AH333" s="89"/>
      <c r="AI333" s="84"/>
      <c r="AJ333" s="84"/>
      <c r="AK333" s="84"/>
      <c r="AL333" s="89"/>
      <c r="AM333" s="89"/>
      <c r="AN333" s="55"/>
      <c r="AO333" s="84"/>
      <c r="AP333" s="60"/>
      <c r="AQ333" s="90"/>
      <c r="AR333" s="55"/>
      <c r="AS333" s="55"/>
      <c r="AT333" s="91"/>
      <c r="AU333" s="55"/>
      <c r="AV333" s="92"/>
      <c r="AW333" s="92"/>
      <c r="AX333" s="62"/>
      <c r="AY333" s="90"/>
      <c r="AZ333" s="93"/>
      <c r="BA333" s="93"/>
      <c r="BB333" s="93"/>
      <c r="BC333" s="55"/>
      <c r="BD333" s="88"/>
      <c r="BE333" s="88"/>
      <c r="BF333" s="88"/>
      <c r="BG333" s="87"/>
      <c r="BH333" s="84"/>
      <c r="BI333" s="84"/>
      <c r="BJ333" s="90"/>
      <c r="BK333" s="94"/>
      <c r="BL333" s="62"/>
      <c r="BM333" s="84"/>
      <c r="BN333" s="95"/>
      <c r="BO333" s="84"/>
      <c r="BP333" s="84"/>
      <c r="BQ333" s="96"/>
    </row>
    <row r="334">
      <c r="A334" s="50"/>
      <c r="B334" s="83"/>
      <c r="C334" s="83"/>
      <c r="D334" s="84"/>
      <c r="E334" s="85"/>
      <c r="F334" s="85"/>
      <c r="G334" s="85"/>
      <c r="H334" s="86"/>
      <c r="I334" s="85"/>
      <c r="J334" s="87"/>
      <c r="K334" s="84"/>
      <c r="L334" s="84"/>
      <c r="M334" s="84"/>
      <c r="N334" s="55"/>
      <c r="O334" s="88"/>
      <c r="P334" s="88"/>
      <c r="Q334" s="88"/>
      <c r="R334" s="84"/>
      <c r="S334" s="84"/>
      <c r="T334" s="84"/>
      <c r="U334" s="84"/>
      <c r="V334" s="85"/>
      <c r="W334" s="84"/>
      <c r="X334" s="87"/>
      <c r="Y334" s="84"/>
      <c r="Z334" s="84"/>
      <c r="AA334" s="84"/>
      <c r="AB334" s="84"/>
      <c r="AC334" s="84"/>
      <c r="AD334" s="84"/>
      <c r="AE334" s="84"/>
      <c r="AF334" s="84"/>
      <c r="AG334" s="84"/>
      <c r="AH334" s="89"/>
      <c r="AI334" s="84"/>
      <c r="AJ334" s="84"/>
      <c r="AK334" s="84"/>
      <c r="AL334" s="89"/>
      <c r="AM334" s="89"/>
      <c r="AN334" s="55"/>
      <c r="AO334" s="84"/>
      <c r="AP334" s="60"/>
      <c r="AQ334" s="90"/>
      <c r="AR334" s="55"/>
      <c r="AS334" s="55"/>
      <c r="AT334" s="91"/>
      <c r="AU334" s="55"/>
      <c r="AV334" s="92"/>
      <c r="AW334" s="92"/>
      <c r="AX334" s="62"/>
      <c r="AY334" s="90"/>
      <c r="AZ334" s="93"/>
      <c r="BA334" s="93"/>
      <c r="BB334" s="93"/>
      <c r="BC334" s="55"/>
      <c r="BD334" s="88"/>
      <c r="BE334" s="88"/>
      <c r="BF334" s="88"/>
      <c r="BG334" s="87"/>
      <c r="BH334" s="84"/>
      <c r="BI334" s="84"/>
      <c r="BJ334" s="90"/>
      <c r="BK334" s="94"/>
      <c r="BL334" s="62"/>
      <c r="BM334" s="84"/>
      <c r="BN334" s="95"/>
      <c r="BO334" s="84"/>
      <c r="BP334" s="84"/>
      <c r="BQ334" s="96"/>
    </row>
    <row r="335">
      <c r="A335" s="50"/>
      <c r="B335" s="83"/>
      <c r="C335" s="83"/>
      <c r="D335" s="84"/>
      <c r="E335" s="85"/>
      <c r="F335" s="85"/>
      <c r="G335" s="85"/>
      <c r="H335" s="86"/>
      <c r="I335" s="85"/>
      <c r="J335" s="87"/>
      <c r="K335" s="84"/>
      <c r="L335" s="84"/>
      <c r="M335" s="84"/>
      <c r="N335" s="55"/>
      <c r="O335" s="88"/>
      <c r="P335" s="88"/>
      <c r="Q335" s="88"/>
      <c r="R335" s="84"/>
      <c r="S335" s="84"/>
      <c r="T335" s="84"/>
      <c r="U335" s="84"/>
      <c r="V335" s="85"/>
      <c r="W335" s="84"/>
      <c r="X335" s="87"/>
      <c r="Y335" s="84"/>
      <c r="Z335" s="84"/>
      <c r="AA335" s="84"/>
      <c r="AB335" s="84"/>
      <c r="AC335" s="84"/>
      <c r="AD335" s="84"/>
      <c r="AE335" s="84"/>
      <c r="AF335" s="84"/>
      <c r="AG335" s="84"/>
      <c r="AH335" s="89"/>
      <c r="AI335" s="84"/>
      <c r="AJ335" s="84"/>
      <c r="AK335" s="84"/>
      <c r="AL335" s="89"/>
      <c r="AM335" s="89"/>
      <c r="AN335" s="55"/>
      <c r="AO335" s="84"/>
      <c r="AP335" s="60"/>
      <c r="AQ335" s="90"/>
      <c r="AR335" s="55"/>
      <c r="AS335" s="55"/>
      <c r="AT335" s="91"/>
      <c r="AU335" s="55"/>
      <c r="AV335" s="92"/>
      <c r="AW335" s="92"/>
      <c r="AX335" s="62"/>
      <c r="AY335" s="90"/>
      <c r="AZ335" s="93"/>
      <c r="BA335" s="93"/>
      <c r="BB335" s="93"/>
      <c r="BC335" s="55"/>
      <c r="BD335" s="88"/>
      <c r="BE335" s="88"/>
      <c r="BF335" s="88"/>
      <c r="BG335" s="87"/>
      <c r="BH335" s="84"/>
      <c r="BI335" s="84"/>
      <c r="BJ335" s="90"/>
      <c r="BK335" s="94"/>
      <c r="BL335" s="62"/>
      <c r="BM335" s="84"/>
      <c r="BN335" s="95"/>
      <c r="BO335" s="84"/>
      <c r="BP335" s="84"/>
      <c r="BQ335" s="96"/>
    </row>
    <row r="336">
      <c r="A336" s="50"/>
      <c r="B336" s="83"/>
      <c r="C336" s="83"/>
      <c r="D336" s="84"/>
      <c r="E336" s="85"/>
      <c r="F336" s="85"/>
      <c r="G336" s="85"/>
      <c r="H336" s="86"/>
      <c r="I336" s="85"/>
      <c r="J336" s="87"/>
      <c r="K336" s="84"/>
      <c r="L336" s="84"/>
      <c r="M336" s="84"/>
      <c r="N336" s="55"/>
      <c r="O336" s="88"/>
      <c r="P336" s="88"/>
      <c r="Q336" s="88"/>
      <c r="R336" s="84"/>
      <c r="S336" s="84"/>
      <c r="T336" s="84"/>
      <c r="U336" s="84"/>
      <c r="V336" s="85"/>
      <c r="W336" s="84"/>
      <c r="X336" s="87"/>
      <c r="Y336" s="84"/>
      <c r="Z336" s="84"/>
      <c r="AA336" s="84"/>
      <c r="AB336" s="84"/>
      <c r="AC336" s="84"/>
      <c r="AD336" s="84"/>
      <c r="AE336" s="84"/>
      <c r="AF336" s="84"/>
      <c r="AG336" s="84"/>
      <c r="AH336" s="89"/>
      <c r="AI336" s="84"/>
      <c r="AJ336" s="84"/>
      <c r="AK336" s="84"/>
      <c r="AL336" s="89"/>
      <c r="AM336" s="89"/>
      <c r="AN336" s="55"/>
      <c r="AO336" s="84"/>
      <c r="AP336" s="60"/>
      <c r="AQ336" s="90"/>
      <c r="AR336" s="55"/>
      <c r="AS336" s="55"/>
      <c r="AT336" s="91"/>
      <c r="AU336" s="55"/>
      <c r="AV336" s="92"/>
      <c r="AW336" s="92"/>
      <c r="AX336" s="62"/>
      <c r="AY336" s="90"/>
      <c r="AZ336" s="93"/>
      <c r="BA336" s="93"/>
      <c r="BB336" s="93"/>
      <c r="BC336" s="55"/>
      <c r="BD336" s="88"/>
      <c r="BE336" s="88"/>
      <c r="BF336" s="88"/>
      <c r="BG336" s="87"/>
      <c r="BH336" s="84"/>
      <c r="BI336" s="84"/>
      <c r="BJ336" s="90"/>
      <c r="BK336" s="94"/>
      <c r="BL336" s="62"/>
      <c r="BM336" s="84"/>
      <c r="BN336" s="95"/>
      <c r="BO336" s="84"/>
      <c r="BP336" s="84"/>
      <c r="BQ336" s="96"/>
    </row>
    <row r="337">
      <c r="A337" s="50"/>
      <c r="B337" s="83"/>
      <c r="C337" s="83"/>
      <c r="D337" s="84"/>
      <c r="E337" s="85"/>
      <c r="F337" s="85"/>
      <c r="G337" s="85"/>
      <c r="H337" s="86"/>
      <c r="I337" s="85"/>
      <c r="J337" s="87"/>
      <c r="K337" s="84"/>
      <c r="L337" s="84"/>
      <c r="M337" s="84"/>
      <c r="N337" s="55"/>
      <c r="O337" s="88"/>
      <c r="P337" s="88"/>
      <c r="Q337" s="88"/>
      <c r="R337" s="84"/>
      <c r="S337" s="84"/>
      <c r="T337" s="84"/>
      <c r="U337" s="84"/>
      <c r="V337" s="85"/>
      <c r="W337" s="84"/>
      <c r="X337" s="87"/>
      <c r="Y337" s="84"/>
      <c r="Z337" s="84"/>
      <c r="AA337" s="84"/>
      <c r="AB337" s="84"/>
      <c r="AC337" s="84"/>
      <c r="AD337" s="84"/>
      <c r="AE337" s="84"/>
      <c r="AF337" s="84"/>
      <c r="AG337" s="84"/>
      <c r="AH337" s="89"/>
      <c r="AI337" s="84"/>
      <c r="AJ337" s="84"/>
      <c r="AK337" s="84"/>
      <c r="AL337" s="89"/>
      <c r="AM337" s="89"/>
      <c r="AN337" s="55"/>
      <c r="AO337" s="84"/>
      <c r="AP337" s="60"/>
      <c r="AQ337" s="90"/>
      <c r="AR337" s="55"/>
      <c r="AS337" s="55"/>
      <c r="AT337" s="91"/>
      <c r="AU337" s="55"/>
      <c r="AV337" s="92"/>
      <c r="AW337" s="92"/>
      <c r="AX337" s="62"/>
      <c r="AY337" s="90"/>
      <c r="AZ337" s="93"/>
      <c r="BA337" s="93"/>
      <c r="BB337" s="93"/>
      <c r="BC337" s="55"/>
      <c r="BD337" s="88"/>
      <c r="BE337" s="88"/>
      <c r="BF337" s="88"/>
      <c r="BG337" s="87"/>
      <c r="BH337" s="84"/>
      <c r="BI337" s="84"/>
      <c r="BJ337" s="90"/>
      <c r="BK337" s="94"/>
      <c r="BL337" s="62"/>
      <c r="BM337" s="84"/>
      <c r="BN337" s="95"/>
      <c r="BO337" s="84"/>
      <c r="BP337" s="84"/>
      <c r="BQ337" s="96"/>
    </row>
    <row r="338">
      <c r="A338" s="50"/>
      <c r="B338" s="83"/>
      <c r="C338" s="83"/>
      <c r="D338" s="84"/>
      <c r="E338" s="85"/>
      <c r="F338" s="85"/>
      <c r="G338" s="85"/>
      <c r="H338" s="86"/>
      <c r="I338" s="85"/>
      <c r="J338" s="87"/>
      <c r="K338" s="84"/>
      <c r="L338" s="84"/>
      <c r="M338" s="84"/>
      <c r="N338" s="55"/>
      <c r="O338" s="88"/>
      <c r="P338" s="88"/>
      <c r="Q338" s="88"/>
      <c r="R338" s="84"/>
      <c r="S338" s="84"/>
      <c r="T338" s="84"/>
      <c r="U338" s="84"/>
      <c r="V338" s="85"/>
      <c r="W338" s="84"/>
      <c r="X338" s="87"/>
      <c r="Y338" s="84"/>
      <c r="Z338" s="84"/>
      <c r="AA338" s="84"/>
      <c r="AB338" s="84"/>
      <c r="AC338" s="84"/>
      <c r="AD338" s="84"/>
      <c r="AE338" s="84"/>
      <c r="AF338" s="84"/>
      <c r="AG338" s="84"/>
      <c r="AH338" s="89"/>
      <c r="AI338" s="84"/>
      <c r="AJ338" s="84"/>
      <c r="AK338" s="84"/>
      <c r="AL338" s="89"/>
      <c r="AM338" s="89"/>
      <c r="AN338" s="55"/>
      <c r="AO338" s="84"/>
      <c r="AP338" s="60"/>
      <c r="AQ338" s="90"/>
      <c r="AR338" s="55"/>
      <c r="AS338" s="55"/>
      <c r="AT338" s="91"/>
      <c r="AU338" s="55"/>
      <c r="AV338" s="92"/>
      <c r="AW338" s="92"/>
      <c r="AX338" s="62"/>
      <c r="AY338" s="90"/>
      <c r="AZ338" s="93"/>
      <c r="BA338" s="93"/>
      <c r="BB338" s="93"/>
      <c r="BC338" s="55"/>
      <c r="BD338" s="88"/>
      <c r="BE338" s="88"/>
      <c r="BF338" s="88"/>
      <c r="BG338" s="87"/>
      <c r="BH338" s="84"/>
      <c r="BI338" s="84"/>
      <c r="BJ338" s="90"/>
      <c r="BK338" s="94"/>
      <c r="BL338" s="62"/>
      <c r="BM338" s="84"/>
      <c r="BN338" s="95"/>
      <c r="BO338" s="84"/>
      <c r="BP338" s="84"/>
      <c r="BQ338" s="96"/>
    </row>
    <row r="339">
      <c r="A339" s="50"/>
      <c r="B339" s="83"/>
      <c r="C339" s="83"/>
      <c r="D339" s="84"/>
      <c r="E339" s="85"/>
      <c r="F339" s="85"/>
      <c r="G339" s="85"/>
      <c r="H339" s="86"/>
      <c r="I339" s="85"/>
      <c r="J339" s="87"/>
      <c r="K339" s="84"/>
      <c r="L339" s="84"/>
      <c r="M339" s="84"/>
      <c r="N339" s="55"/>
      <c r="O339" s="88"/>
      <c r="P339" s="88"/>
      <c r="Q339" s="88"/>
      <c r="R339" s="84"/>
      <c r="S339" s="84"/>
      <c r="T339" s="84"/>
      <c r="U339" s="84"/>
      <c r="V339" s="85"/>
      <c r="W339" s="84"/>
      <c r="X339" s="87"/>
      <c r="Y339" s="84"/>
      <c r="Z339" s="84"/>
      <c r="AA339" s="84"/>
      <c r="AB339" s="84"/>
      <c r="AC339" s="84"/>
      <c r="AD339" s="84"/>
      <c r="AE339" s="84"/>
      <c r="AF339" s="84"/>
      <c r="AG339" s="84"/>
      <c r="AH339" s="89"/>
      <c r="AI339" s="84"/>
      <c r="AJ339" s="84"/>
      <c r="AK339" s="84"/>
      <c r="AL339" s="89"/>
      <c r="AM339" s="89"/>
      <c r="AN339" s="55"/>
      <c r="AO339" s="84"/>
      <c r="AP339" s="60"/>
      <c r="AQ339" s="90"/>
      <c r="AR339" s="55"/>
      <c r="AS339" s="55"/>
      <c r="AT339" s="91"/>
      <c r="AU339" s="55"/>
      <c r="AV339" s="92"/>
      <c r="AW339" s="92"/>
      <c r="AX339" s="62"/>
      <c r="AY339" s="90"/>
      <c r="AZ339" s="93"/>
      <c r="BA339" s="93"/>
      <c r="BB339" s="93"/>
      <c r="BC339" s="55"/>
      <c r="BD339" s="88"/>
      <c r="BE339" s="88"/>
      <c r="BF339" s="88"/>
      <c r="BG339" s="87"/>
      <c r="BH339" s="84"/>
      <c r="BI339" s="84"/>
      <c r="BJ339" s="90"/>
      <c r="BK339" s="94"/>
      <c r="BL339" s="62"/>
      <c r="BM339" s="84"/>
      <c r="BN339" s="95"/>
      <c r="BO339" s="84"/>
      <c r="BP339" s="84"/>
      <c r="BQ339" s="96"/>
    </row>
    <row r="340">
      <c r="A340" s="50"/>
      <c r="B340" s="83"/>
      <c r="C340" s="83"/>
      <c r="D340" s="84"/>
      <c r="E340" s="85"/>
      <c r="F340" s="85"/>
      <c r="G340" s="85"/>
      <c r="H340" s="86"/>
      <c r="I340" s="85"/>
      <c r="J340" s="87"/>
      <c r="K340" s="84"/>
      <c r="L340" s="84"/>
      <c r="M340" s="84"/>
      <c r="N340" s="55"/>
      <c r="O340" s="88"/>
      <c r="P340" s="88"/>
      <c r="Q340" s="88"/>
      <c r="R340" s="84"/>
      <c r="S340" s="84"/>
      <c r="T340" s="84"/>
      <c r="U340" s="84"/>
      <c r="V340" s="85"/>
      <c r="W340" s="84"/>
      <c r="X340" s="87"/>
      <c r="Y340" s="84"/>
      <c r="Z340" s="84"/>
      <c r="AA340" s="84"/>
      <c r="AB340" s="84"/>
      <c r="AC340" s="84"/>
      <c r="AD340" s="84"/>
      <c r="AE340" s="84"/>
      <c r="AF340" s="84"/>
      <c r="AG340" s="84"/>
      <c r="AH340" s="89"/>
      <c r="AI340" s="84"/>
      <c r="AJ340" s="84"/>
      <c r="AK340" s="84"/>
      <c r="AL340" s="89"/>
      <c r="AM340" s="89"/>
      <c r="AN340" s="55"/>
      <c r="AO340" s="84"/>
      <c r="AP340" s="60"/>
      <c r="AQ340" s="90"/>
      <c r="AR340" s="55"/>
      <c r="AS340" s="55"/>
      <c r="AT340" s="91"/>
      <c r="AU340" s="55"/>
      <c r="AV340" s="92"/>
      <c r="AW340" s="92"/>
      <c r="AX340" s="62"/>
      <c r="AY340" s="90"/>
      <c r="AZ340" s="93"/>
      <c r="BA340" s="93"/>
      <c r="BB340" s="93"/>
      <c r="BC340" s="55"/>
      <c r="BD340" s="88"/>
      <c r="BE340" s="88"/>
      <c r="BF340" s="88"/>
      <c r="BG340" s="87"/>
      <c r="BH340" s="84"/>
      <c r="BI340" s="84"/>
      <c r="BJ340" s="90"/>
      <c r="BK340" s="94"/>
      <c r="BL340" s="62"/>
      <c r="BM340" s="84"/>
      <c r="BN340" s="95"/>
      <c r="BO340" s="84"/>
      <c r="BP340" s="84"/>
      <c r="BQ340" s="96"/>
    </row>
    <row r="341">
      <c r="A341" s="50"/>
      <c r="B341" s="83"/>
      <c r="C341" s="83"/>
      <c r="D341" s="84"/>
      <c r="E341" s="85"/>
      <c r="F341" s="85"/>
      <c r="G341" s="85"/>
      <c r="H341" s="86"/>
      <c r="I341" s="85"/>
      <c r="J341" s="87"/>
      <c r="K341" s="84"/>
      <c r="L341" s="84"/>
      <c r="M341" s="84"/>
      <c r="N341" s="55"/>
      <c r="O341" s="88"/>
      <c r="P341" s="88"/>
      <c r="Q341" s="88"/>
      <c r="R341" s="84"/>
      <c r="S341" s="84"/>
      <c r="T341" s="84"/>
      <c r="U341" s="84"/>
      <c r="V341" s="85"/>
      <c r="W341" s="84"/>
      <c r="X341" s="87"/>
      <c r="Y341" s="84"/>
      <c r="Z341" s="84"/>
      <c r="AA341" s="84"/>
      <c r="AB341" s="84"/>
      <c r="AC341" s="84"/>
      <c r="AD341" s="84"/>
      <c r="AE341" s="84"/>
      <c r="AF341" s="84"/>
      <c r="AG341" s="84"/>
      <c r="AH341" s="89"/>
      <c r="AI341" s="84"/>
      <c r="AJ341" s="84"/>
      <c r="AK341" s="84"/>
      <c r="AL341" s="89"/>
      <c r="AM341" s="89"/>
      <c r="AN341" s="55"/>
      <c r="AO341" s="84"/>
      <c r="AP341" s="60"/>
      <c r="AQ341" s="90"/>
      <c r="AR341" s="55"/>
      <c r="AS341" s="55"/>
      <c r="AT341" s="91"/>
      <c r="AU341" s="55"/>
      <c r="AV341" s="92"/>
      <c r="AW341" s="92"/>
      <c r="AX341" s="62"/>
      <c r="AY341" s="90"/>
      <c r="AZ341" s="93"/>
      <c r="BA341" s="93"/>
      <c r="BB341" s="93"/>
      <c r="BC341" s="55"/>
      <c r="BD341" s="88"/>
      <c r="BE341" s="88"/>
      <c r="BF341" s="88"/>
      <c r="BG341" s="87"/>
      <c r="BH341" s="84"/>
      <c r="BI341" s="84"/>
      <c r="BJ341" s="90"/>
      <c r="BK341" s="94"/>
      <c r="BL341" s="62"/>
      <c r="BM341" s="84"/>
      <c r="BN341" s="95"/>
      <c r="BO341" s="84"/>
      <c r="BP341" s="84"/>
      <c r="BQ341" s="96"/>
    </row>
    <row r="342">
      <c r="A342" s="50"/>
      <c r="B342" s="83"/>
      <c r="C342" s="83"/>
      <c r="D342" s="84"/>
      <c r="E342" s="85"/>
      <c r="F342" s="85"/>
      <c r="G342" s="85"/>
      <c r="H342" s="86"/>
      <c r="I342" s="85"/>
      <c r="J342" s="87"/>
      <c r="K342" s="84"/>
      <c r="L342" s="84"/>
      <c r="M342" s="84"/>
      <c r="N342" s="55"/>
      <c r="O342" s="88"/>
      <c r="P342" s="88"/>
      <c r="Q342" s="88"/>
      <c r="R342" s="84"/>
      <c r="S342" s="84"/>
      <c r="T342" s="84"/>
      <c r="U342" s="84"/>
      <c r="V342" s="85"/>
      <c r="W342" s="84"/>
      <c r="X342" s="87"/>
      <c r="Y342" s="84"/>
      <c r="Z342" s="84"/>
      <c r="AA342" s="84"/>
      <c r="AB342" s="84"/>
      <c r="AC342" s="84"/>
      <c r="AD342" s="84"/>
      <c r="AE342" s="84"/>
      <c r="AF342" s="84"/>
      <c r="AG342" s="84"/>
      <c r="AH342" s="89"/>
      <c r="AI342" s="84"/>
      <c r="AJ342" s="84"/>
      <c r="AK342" s="84"/>
      <c r="AL342" s="89"/>
      <c r="AM342" s="89"/>
      <c r="AN342" s="55"/>
      <c r="AO342" s="84"/>
      <c r="AP342" s="60"/>
      <c r="AQ342" s="90"/>
      <c r="AR342" s="55"/>
      <c r="AS342" s="55"/>
      <c r="AT342" s="91"/>
      <c r="AU342" s="55"/>
      <c r="AV342" s="92"/>
      <c r="AW342" s="92"/>
      <c r="AX342" s="62"/>
      <c r="AY342" s="90"/>
      <c r="AZ342" s="93"/>
      <c r="BA342" s="93"/>
      <c r="BB342" s="93"/>
      <c r="BC342" s="55"/>
      <c r="BD342" s="88"/>
      <c r="BE342" s="88"/>
      <c r="BF342" s="88"/>
      <c r="BG342" s="87"/>
      <c r="BH342" s="84"/>
      <c r="BI342" s="84"/>
      <c r="BJ342" s="90"/>
      <c r="BK342" s="94"/>
      <c r="BL342" s="62"/>
      <c r="BM342" s="84"/>
      <c r="BN342" s="95"/>
      <c r="BO342" s="84"/>
      <c r="BP342" s="84"/>
      <c r="BQ342" s="96"/>
    </row>
    <row r="343">
      <c r="A343" s="50"/>
      <c r="B343" s="83"/>
      <c r="C343" s="83"/>
      <c r="D343" s="84"/>
      <c r="E343" s="85"/>
      <c r="F343" s="85"/>
      <c r="G343" s="85"/>
      <c r="H343" s="86"/>
      <c r="I343" s="85"/>
      <c r="J343" s="87"/>
      <c r="K343" s="84"/>
      <c r="L343" s="84"/>
      <c r="M343" s="84"/>
      <c r="N343" s="55"/>
      <c r="O343" s="88"/>
      <c r="P343" s="88"/>
      <c r="Q343" s="88"/>
      <c r="R343" s="84"/>
      <c r="S343" s="84"/>
      <c r="T343" s="84"/>
      <c r="U343" s="84"/>
      <c r="V343" s="85"/>
      <c r="W343" s="84"/>
      <c r="X343" s="87"/>
      <c r="Y343" s="84"/>
      <c r="Z343" s="84"/>
      <c r="AA343" s="84"/>
      <c r="AB343" s="84"/>
      <c r="AC343" s="84"/>
      <c r="AD343" s="84"/>
      <c r="AE343" s="84"/>
      <c r="AF343" s="84"/>
      <c r="AG343" s="84"/>
      <c r="AH343" s="89"/>
      <c r="AI343" s="84"/>
      <c r="AJ343" s="84"/>
      <c r="AK343" s="84"/>
      <c r="AL343" s="89"/>
      <c r="AM343" s="89"/>
      <c r="AN343" s="55"/>
      <c r="AO343" s="84"/>
      <c r="AP343" s="60"/>
      <c r="AQ343" s="90"/>
      <c r="AR343" s="55"/>
      <c r="AS343" s="55"/>
      <c r="AT343" s="91"/>
      <c r="AU343" s="55"/>
      <c r="AV343" s="92"/>
      <c r="AW343" s="92"/>
      <c r="AX343" s="62"/>
      <c r="AY343" s="90"/>
      <c r="AZ343" s="93"/>
      <c r="BA343" s="93"/>
      <c r="BB343" s="93"/>
      <c r="BC343" s="55"/>
      <c r="BD343" s="88"/>
      <c r="BE343" s="88"/>
      <c r="BF343" s="88"/>
      <c r="BG343" s="87"/>
      <c r="BH343" s="84"/>
      <c r="BI343" s="84"/>
      <c r="BJ343" s="90"/>
      <c r="BK343" s="94"/>
      <c r="BL343" s="62"/>
      <c r="BM343" s="84"/>
      <c r="BN343" s="95"/>
      <c r="BO343" s="84"/>
      <c r="BP343" s="84"/>
      <c r="BQ343" s="96"/>
    </row>
    <row r="344">
      <c r="A344" s="50"/>
      <c r="B344" s="83"/>
      <c r="C344" s="83"/>
      <c r="D344" s="84"/>
      <c r="E344" s="85"/>
      <c r="F344" s="85"/>
      <c r="G344" s="85"/>
      <c r="H344" s="86"/>
      <c r="I344" s="85"/>
      <c r="J344" s="87"/>
      <c r="K344" s="84"/>
      <c r="L344" s="84"/>
      <c r="M344" s="84"/>
      <c r="N344" s="55"/>
      <c r="O344" s="88"/>
      <c r="P344" s="88"/>
      <c r="Q344" s="88"/>
      <c r="R344" s="84"/>
      <c r="S344" s="84"/>
      <c r="T344" s="84"/>
      <c r="U344" s="84"/>
      <c r="V344" s="85"/>
      <c r="W344" s="84"/>
      <c r="X344" s="87"/>
      <c r="Y344" s="84"/>
      <c r="Z344" s="84"/>
      <c r="AA344" s="84"/>
      <c r="AB344" s="84"/>
      <c r="AC344" s="84"/>
      <c r="AD344" s="84"/>
      <c r="AE344" s="84"/>
      <c r="AF344" s="84"/>
      <c r="AG344" s="84"/>
      <c r="AH344" s="89"/>
      <c r="AI344" s="84"/>
      <c r="AJ344" s="84"/>
      <c r="AK344" s="84"/>
      <c r="AL344" s="89"/>
      <c r="AM344" s="89"/>
      <c r="AN344" s="55"/>
      <c r="AO344" s="84"/>
      <c r="AP344" s="60"/>
      <c r="AQ344" s="90"/>
      <c r="AR344" s="55"/>
      <c r="AS344" s="55"/>
      <c r="AT344" s="91"/>
      <c r="AU344" s="55"/>
      <c r="AV344" s="92"/>
      <c r="AW344" s="92"/>
      <c r="AX344" s="62"/>
      <c r="AY344" s="90"/>
      <c r="AZ344" s="93"/>
      <c r="BA344" s="93"/>
      <c r="BB344" s="93"/>
      <c r="BC344" s="55"/>
      <c r="BD344" s="88"/>
      <c r="BE344" s="88"/>
      <c r="BF344" s="88"/>
      <c r="BG344" s="87"/>
      <c r="BH344" s="84"/>
      <c r="BI344" s="84"/>
      <c r="BJ344" s="90"/>
      <c r="BK344" s="94"/>
      <c r="BL344" s="62"/>
      <c r="BM344" s="84"/>
      <c r="BN344" s="95"/>
      <c r="BO344" s="84"/>
      <c r="BP344" s="84"/>
      <c r="BQ344" s="96"/>
    </row>
    <row r="345">
      <c r="A345" s="50"/>
      <c r="B345" s="83"/>
      <c r="C345" s="83"/>
      <c r="D345" s="84"/>
      <c r="E345" s="85"/>
      <c r="F345" s="85"/>
      <c r="G345" s="85"/>
      <c r="H345" s="86"/>
      <c r="I345" s="85"/>
      <c r="J345" s="87"/>
      <c r="K345" s="84"/>
      <c r="L345" s="84"/>
      <c r="M345" s="84"/>
      <c r="N345" s="55"/>
      <c r="O345" s="88"/>
      <c r="P345" s="88"/>
      <c r="Q345" s="88"/>
      <c r="R345" s="84"/>
      <c r="S345" s="84"/>
      <c r="T345" s="84"/>
      <c r="U345" s="84"/>
      <c r="V345" s="85"/>
      <c r="W345" s="84"/>
      <c r="X345" s="87"/>
      <c r="Y345" s="84"/>
      <c r="Z345" s="84"/>
      <c r="AA345" s="84"/>
      <c r="AB345" s="84"/>
      <c r="AC345" s="84"/>
      <c r="AD345" s="84"/>
      <c r="AE345" s="84"/>
      <c r="AF345" s="84"/>
      <c r="AG345" s="84"/>
      <c r="AH345" s="89"/>
      <c r="AI345" s="84"/>
      <c r="AJ345" s="84"/>
      <c r="AK345" s="84"/>
      <c r="AL345" s="89"/>
      <c r="AM345" s="89"/>
      <c r="AN345" s="55"/>
      <c r="AO345" s="84"/>
      <c r="AP345" s="60"/>
      <c r="AQ345" s="90"/>
      <c r="AR345" s="55"/>
      <c r="AS345" s="55"/>
      <c r="AT345" s="91"/>
      <c r="AU345" s="55"/>
      <c r="AV345" s="92"/>
      <c r="AW345" s="92"/>
      <c r="AX345" s="62"/>
      <c r="AY345" s="90"/>
      <c r="AZ345" s="93"/>
      <c r="BA345" s="93"/>
      <c r="BB345" s="93"/>
      <c r="BC345" s="55"/>
      <c r="BD345" s="88"/>
      <c r="BE345" s="88"/>
      <c r="BF345" s="88"/>
      <c r="BG345" s="87"/>
      <c r="BH345" s="84"/>
      <c r="BI345" s="84"/>
      <c r="BJ345" s="90"/>
      <c r="BK345" s="94"/>
      <c r="BL345" s="62"/>
      <c r="BM345" s="84"/>
      <c r="BN345" s="95"/>
      <c r="BO345" s="84"/>
      <c r="BP345" s="84"/>
      <c r="BQ345" s="96"/>
    </row>
    <row r="346">
      <c r="A346" s="50"/>
      <c r="B346" s="83"/>
      <c r="C346" s="83"/>
      <c r="D346" s="84"/>
      <c r="E346" s="85"/>
      <c r="F346" s="85"/>
      <c r="G346" s="85"/>
      <c r="H346" s="86"/>
      <c r="I346" s="85"/>
      <c r="J346" s="87"/>
      <c r="K346" s="84"/>
      <c r="L346" s="84"/>
      <c r="M346" s="84"/>
      <c r="N346" s="55"/>
      <c r="O346" s="88"/>
      <c r="P346" s="88"/>
      <c r="Q346" s="88"/>
      <c r="R346" s="84"/>
      <c r="S346" s="84"/>
      <c r="T346" s="84"/>
      <c r="U346" s="84"/>
      <c r="V346" s="85"/>
      <c r="W346" s="84"/>
      <c r="X346" s="87"/>
      <c r="Y346" s="84"/>
      <c r="Z346" s="84"/>
      <c r="AA346" s="84"/>
      <c r="AB346" s="84"/>
      <c r="AC346" s="84"/>
      <c r="AD346" s="84"/>
      <c r="AE346" s="84"/>
      <c r="AF346" s="84"/>
      <c r="AG346" s="84"/>
      <c r="AH346" s="89"/>
      <c r="AI346" s="84"/>
      <c r="AJ346" s="84"/>
      <c r="AK346" s="84"/>
      <c r="AL346" s="89"/>
      <c r="AM346" s="89"/>
      <c r="AN346" s="55"/>
      <c r="AO346" s="84"/>
      <c r="AP346" s="60"/>
      <c r="AQ346" s="90"/>
      <c r="AR346" s="55"/>
      <c r="AS346" s="55"/>
      <c r="AT346" s="91"/>
      <c r="AU346" s="55"/>
      <c r="AV346" s="92"/>
      <c r="AW346" s="92"/>
      <c r="AX346" s="62"/>
      <c r="AY346" s="90"/>
      <c r="AZ346" s="93"/>
      <c r="BA346" s="93"/>
      <c r="BB346" s="93"/>
      <c r="BC346" s="55"/>
      <c r="BD346" s="88"/>
      <c r="BE346" s="88"/>
      <c r="BF346" s="88"/>
      <c r="BG346" s="87"/>
      <c r="BH346" s="84"/>
      <c r="BI346" s="84"/>
      <c r="BJ346" s="90"/>
      <c r="BK346" s="94"/>
      <c r="BL346" s="62"/>
      <c r="BM346" s="84"/>
      <c r="BN346" s="95"/>
      <c r="BO346" s="84"/>
      <c r="BP346" s="84"/>
      <c r="BQ346" s="96"/>
    </row>
    <row r="347">
      <c r="A347" s="50"/>
      <c r="B347" s="83"/>
      <c r="C347" s="83"/>
      <c r="D347" s="84"/>
      <c r="E347" s="85"/>
      <c r="F347" s="85"/>
      <c r="G347" s="85"/>
      <c r="H347" s="86"/>
      <c r="I347" s="85"/>
      <c r="J347" s="87"/>
      <c r="K347" s="84"/>
      <c r="L347" s="84"/>
      <c r="M347" s="84"/>
      <c r="N347" s="55"/>
      <c r="O347" s="88"/>
      <c r="P347" s="88"/>
      <c r="Q347" s="88"/>
      <c r="R347" s="84"/>
      <c r="S347" s="84"/>
      <c r="T347" s="84"/>
      <c r="U347" s="84"/>
      <c r="V347" s="85"/>
      <c r="W347" s="84"/>
      <c r="X347" s="87"/>
      <c r="Y347" s="84"/>
      <c r="Z347" s="84"/>
      <c r="AA347" s="84"/>
      <c r="AB347" s="84"/>
      <c r="AC347" s="84"/>
      <c r="AD347" s="84"/>
      <c r="AE347" s="84"/>
      <c r="AF347" s="84"/>
      <c r="AG347" s="84"/>
      <c r="AH347" s="89"/>
      <c r="AI347" s="84"/>
      <c r="AJ347" s="84"/>
      <c r="AK347" s="84"/>
      <c r="AL347" s="89"/>
      <c r="AM347" s="89"/>
      <c r="AN347" s="55"/>
      <c r="AO347" s="84"/>
      <c r="AP347" s="60"/>
      <c r="AQ347" s="90"/>
      <c r="AR347" s="55"/>
      <c r="AS347" s="55"/>
      <c r="AT347" s="91"/>
      <c r="AU347" s="55"/>
      <c r="AV347" s="92"/>
      <c r="AW347" s="92"/>
      <c r="AX347" s="62"/>
      <c r="AY347" s="90"/>
      <c r="AZ347" s="93"/>
      <c r="BA347" s="93"/>
      <c r="BB347" s="93"/>
      <c r="BC347" s="55"/>
      <c r="BD347" s="88"/>
      <c r="BE347" s="88"/>
      <c r="BF347" s="88"/>
      <c r="BG347" s="87"/>
      <c r="BH347" s="84"/>
      <c r="BI347" s="84"/>
      <c r="BJ347" s="90"/>
      <c r="BK347" s="94"/>
      <c r="BL347" s="62"/>
      <c r="BM347" s="84"/>
      <c r="BN347" s="95"/>
      <c r="BO347" s="84"/>
      <c r="BP347" s="84"/>
      <c r="BQ347" s="96"/>
    </row>
    <row r="348">
      <c r="A348" s="50"/>
      <c r="B348" s="83"/>
      <c r="C348" s="83"/>
      <c r="D348" s="84"/>
      <c r="E348" s="85"/>
      <c r="F348" s="85"/>
      <c r="G348" s="85"/>
      <c r="H348" s="86"/>
      <c r="I348" s="85"/>
      <c r="J348" s="87"/>
      <c r="K348" s="84"/>
      <c r="L348" s="84"/>
      <c r="M348" s="84"/>
      <c r="N348" s="55"/>
      <c r="O348" s="88"/>
      <c r="P348" s="88"/>
      <c r="Q348" s="88"/>
      <c r="R348" s="84"/>
      <c r="S348" s="84"/>
      <c r="T348" s="84"/>
      <c r="U348" s="84"/>
      <c r="V348" s="85"/>
      <c r="W348" s="84"/>
      <c r="X348" s="87"/>
      <c r="Y348" s="84"/>
      <c r="Z348" s="84"/>
      <c r="AA348" s="84"/>
      <c r="AB348" s="84"/>
      <c r="AC348" s="84"/>
      <c r="AD348" s="84"/>
      <c r="AE348" s="84"/>
      <c r="AF348" s="84"/>
      <c r="AG348" s="84"/>
      <c r="AH348" s="89"/>
      <c r="AI348" s="84"/>
      <c r="AJ348" s="84"/>
      <c r="AK348" s="84"/>
      <c r="AL348" s="89"/>
      <c r="AM348" s="89"/>
      <c r="AN348" s="55"/>
      <c r="AO348" s="84"/>
      <c r="AP348" s="60"/>
      <c r="AQ348" s="90"/>
      <c r="AR348" s="55"/>
      <c r="AS348" s="55"/>
      <c r="AT348" s="91"/>
      <c r="AU348" s="55"/>
      <c r="AV348" s="92"/>
      <c r="AW348" s="92"/>
      <c r="AX348" s="62"/>
      <c r="AY348" s="90"/>
      <c r="AZ348" s="93"/>
      <c r="BA348" s="93"/>
      <c r="BB348" s="93"/>
      <c r="BC348" s="55"/>
      <c r="BD348" s="88"/>
      <c r="BE348" s="88"/>
      <c r="BF348" s="88"/>
      <c r="BG348" s="87"/>
      <c r="BH348" s="84"/>
      <c r="BI348" s="84"/>
      <c r="BJ348" s="90"/>
      <c r="BK348" s="94"/>
      <c r="BL348" s="62"/>
      <c r="BM348" s="84"/>
      <c r="BN348" s="95"/>
      <c r="BO348" s="84"/>
      <c r="BP348" s="84"/>
      <c r="BQ348" s="96"/>
    </row>
    <row r="349">
      <c r="A349" s="50"/>
      <c r="B349" s="83"/>
      <c r="C349" s="83"/>
      <c r="D349" s="84"/>
      <c r="E349" s="85"/>
      <c r="F349" s="85"/>
      <c r="G349" s="85"/>
      <c r="H349" s="86"/>
      <c r="I349" s="85"/>
      <c r="J349" s="87"/>
      <c r="K349" s="84"/>
      <c r="L349" s="84"/>
      <c r="M349" s="84"/>
      <c r="N349" s="55"/>
      <c r="O349" s="88"/>
      <c r="P349" s="88"/>
      <c r="Q349" s="88"/>
      <c r="R349" s="84"/>
      <c r="S349" s="84"/>
      <c r="T349" s="84"/>
      <c r="U349" s="84"/>
      <c r="V349" s="85"/>
      <c r="W349" s="84"/>
      <c r="X349" s="87"/>
      <c r="Y349" s="84"/>
      <c r="Z349" s="84"/>
      <c r="AA349" s="84"/>
      <c r="AB349" s="84"/>
      <c r="AC349" s="84"/>
      <c r="AD349" s="84"/>
      <c r="AE349" s="84"/>
      <c r="AF349" s="84"/>
      <c r="AG349" s="84"/>
      <c r="AH349" s="89"/>
      <c r="AI349" s="84"/>
      <c r="AJ349" s="84"/>
      <c r="AK349" s="84"/>
      <c r="AL349" s="89"/>
      <c r="AM349" s="89"/>
      <c r="AN349" s="55"/>
      <c r="AO349" s="84"/>
      <c r="AP349" s="60"/>
      <c r="AQ349" s="90"/>
      <c r="AR349" s="55"/>
      <c r="AS349" s="55"/>
      <c r="AT349" s="91"/>
      <c r="AU349" s="55"/>
      <c r="AV349" s="92"/>
      <c r="AW349" s="92"/>
      <c r="AX349" s="62"/>
      <c r="AY349" s="90"/>
      <c r="AZ349" s="93"/>
      <c r="BA349" s="93"/>
      <c r="BB349" s="93"/>
      <c r="BC349" s="55"/>
      <c r="BD349" s="88"/>
      <c r="BE349" s="88"/>
      <c r="BF349" s="88"/>
      <c r="BG349" s="87"/>
      <c r="BH349" s="84"/>
      <c r="BI349" s="84"/>
      <c r="BJ349" s="90"/>
      <c r="BK349" s="94"/>
      <c r="BL349" s="62"/>
      <c r="BM349" s="84"/>
      <c r="BN349" s="95"/>
      <c r="BO349" s="84"/>
      <c r="BP349" s="84"/>
      <c r="BQ349" s="96"/>
    </row>
    <row r="350">
      <c r="A350" s="50"/>
      <c r="B350" s="83"/>
      <c r="C350" s="83"/>
      <c r="D350" s="84"/>
      <c r="E350" s="85"/>
      <c r="F350" s="85"/>
      <c r="G350" s="85"/>
      <c r="H350" s="86"/>
      <c r="I350" s="85"/>
      <c r="J350" s="87"/>
      <c r="K350" s="84"/>
      <c r="L350" s="84"/>
      <c r="M350" s="84"/>
      <c r="N350" s="55"/>
      <c r="O350" s="88"/>
      <c r="P350" s="88"/>
      <c r="Q350" s="88"/>
      <c r="R350" s="84"/>
      <c r="S350" s="84"/>
      <c r="T350" s="84"/>
      <c r="U350" s="84"/>
      <c r="V350" s="85"/>
      <c r="W350" s="84"/>
      <c r="X350" s="87"/>
      <c r="Y350" s="84"/>
      <c r="Z350" s="84"/>
      <c r="AA350" s="84"/>
      <c r="AB350" s="84"/>
      <c r="AC350" s="84"/>
      <c r="AD350" s="84"/>
      <c r="AE350" s="84"/>
      <c r="AF350" s="84"/>
      <c r="AG350" s="84"/>
      <c r="AH350" s="89"/>
      <c r="AI350" s="84"/>
      <c r="AJ350" s="84"/>
      <c r="AK350" s="84"/>
      <c r="AL350" s="89"/>
      <c r="AM350" s="89"/>
      <c r="AN350" s="55"/>
      <c r="AO350" s="84"/>
      <c r="AP350" s="60"/>
      <c r="AQ350" s="90"/>
      <c r="AR350" s="55"/>
      <c r="AS350" s="55"/>
      <c r="AT350" s="91"/>
      <c r="AU350" s="55"/>
      <c r="AV350" s="92"/>
      <c r="AW350" s="92"/>
      <c r="AX350" s="62"/>
      <c r="AY350" s="90"/>
      <c r="AZ350" s="93"/>
      <c r="BA350" s="93"/>
      <c r="BB350" s="93"/>
      <c r="BC350" s="55"/>
      <c r="BD350" s="88"/>
      <c r="BE350" s="88"/>
      <c r="BF350" s="88"/>
      <c r="BG350" s="87"/>
      <c r="BH350" s="84"/>
      <c r="BI350" s="84"/>
      <c r="BJ350" s="90"/>
      <c r="BK350" s="94"/>
      <c r="BL350" s="62"/>
      <c r="BM350" s="84"/>
      <c r="BN350" s="95"/>
      <c r="BO350" s="84"/>
      <c r="BP350" s="84"/>
      <c r="BQ350" s="96"/>
    </row>
    <row r="351">
      <c r="A351" s="50"/>
      <c r="B351" s="83"/>
      <c r="C351" s="83"/>
      <c r="D351" s="84"/>
      <c r="E351" s="85"/>
      <c r="F351" s="85"/>
      <c r="G351" s="85"/>
      <c r="H351" s="86"/>
      <c r="I351" s="85"/>
      <c r="J351" s="87"/>
      <c r="K351" s="84"/>
      <c r="L351" s="84"/>
      <c r="M351" s="84"/>
      <c r="N351" s="55"/>
      <c r="O351" s="88"/>
      <c r="P351" s="88"/>
      <c r="Q351" s="88"/>
      <c r="R351" s="84"/>
      <c r="S351" s="84"/>
      <c r="T351" s="84"/>
      <c r="U351" s="84"/>
      <c r="V351" s="85"/>
      <c r="W351" s="84"/>
      <c r="X351" s="87"/>
      <c r="Y351" s="84"/>
      <c r="Z351" s="84"/>
      <c r="AA351" s="84"/>
      <c r="AB351" s="84"/>
      <c r="AC351" s="84"/>
      <c r="AD351" s="84"/>
      <c r="AE351" s="84"/>
      <c r="AF351" s="84"/>
      <c r="AG351" s="84"/>
      <c r="AH351" s="89"/>
      <c r="AI351" s="84"/>
      <c r="AJ351" s="84"/>
      <c r="AK351" s="84"/>
      <c r="AL351" s="89"/>
      <c r="AM351" s="89"/>
      <c r="AN351" s="55"/>
      <c r="AO351" s="84"/>
      <c r="AP351" s="60"/>
      <c r="AQ351" s="90"/>
      <c r="AR351" s="55"/>
      <c r="AS351" s="55"/>
      <c r="AT351" s="91"/>
      <c r="AU351" s="55"/>
      <c r="AV351" s="92"/>
      <c r="AW351" s="92"/>
      <c r="AX351" s="62"/>
      <c r="AY351" s="90"/>
      <c r="AZ351" s="93"/>
      <c r="BA351" s="93"/>
      <c r="BB351" s="93"/>
      <c r="BC351" s="55"/>
      <c r="BD351" s="88"/>
      <c r="BE351" s="88"/>
      <c r="BF351" s="88"/>
      <c r="BG351" s="87"/>
      <c r="BH351" s="84"/>
      <c r="BI351" s="84"/>
      <c r="BJ351" s="90"/>
      <c r="BK351" s="94"/>
      <c r="BL351" s="62"/>
      <c r="BM351" s="84"/>
      <c r="BN351" s="95"/>
      <c r="BO351" s="84"/>
      <c r="BP351" s="84"/>
      <c r="BQ351" s="96"/>
    </row>
    <row r="352">
      <c r="A352" s="50"/>
      <c r="B352" s="83"/>
      <c r="C352" s="83"/>
      <c r="D352" s="84"/>
      <c r="E352" s="85"/>
      <c r="F352" s="85"/>
      <c r="G352" s="85"/>
      <c r="H352" s="86"/>
      <c r="I352" s="85"/>
      <c r="J352" s="87"/>
      <c r="K352" s="84"/>
      <c r="L352" s="84"/>
      <c r="M352" s="84"/>
      <c r="N352" s="55"/>
      <c r="O352" s="88"/>
      <c r="P352" s="88"/>
      <c r="Q352" s="88"/>
      <c r="R352" s="84"/>
      <c r="S352" s="84"/>
      <c r="T352" s="84"/>
      <c r="U352" s="84"/>
      <c r="V352" s="85"/>
      <c r="W352" s="84"/>
      <c r="X352" s="87"/>
      <c r="Y352" s="84"/>
      <c r="Z352" s="84"/>
      <c r="AA352" s="84"/>
      <c r="AB352" s="84"/>
      <c r="AC352" s="84"/>
      <c r="AD352" s="84"/>
      <c r="AE352" s="84"/>
      <c r="AF352" s="84"/>
      <c r="AG352" s="84"/>
      <c r="AH352" s="89"/>
      <c r="AI352" s="84"/>
      <c r="AJ352" s="84"/>
      <c r="AK352" s="84"/>
      <c r="AL352" s="89"/>
      <c r="AM352" s="89"/>
      <c r="AN352" s="55"/>
      <c r="AO352" s="84"/>
      <c r="AP352" s="60"/>
      <c r="AQ352" s="90"/>
      <c r="AR352" s="55"/>
      <c r="AS352" s="55"/>
      <c r="AT352" s="91"/>
      <c r="AU352" s="55"/>
      <c r="AV352" s="92"/>
      <c r="AW352" s="92"/>
      <c r="AX352" s="62"/>
      <c r="AY352" s="90"/>
      <c r="AZ352" s="93"/>
      <c r="BA352" s="93"/>
      <c r="BB352" s="93"/>
      <c r="BC352" s="55"/>
      <c r="BD352" s="88"/>
      <c r="BE352" s="88"/>
      <c r="BF352" s="88"/>
      <c r="BG352" s="87"/>
      <c r="BH352" s="84"/>
      <c r="BI352" s="84"/>
      <c r="BJ352" s="90"/>
      <c r="BK352" s="94"/>
      <c r="BL352" s="62"/>
      <c r="BM352" s="84"/>
      <c r="BN352" s="95"/>
      <c r="BO352" s="84"/>
      <c r="BP352" s="84"/>
      <c r="BQ352" s="96"/>
    </row>
    <row r="353">
      <c r="A353" s="50"/>
      <c r="B353" s="83"/>
      <c r="C353" s="83"/>
      <c r="D353" s="84"/>
      <c r="E353" s="85"/>
      <c r="F353" s="85"/>
      <c r="G353" s="85"/>
      <c r="H353" s="86"/>
      <c r="I353" s="85"/>
      <c r="J353" s="87"/>
      <c r="K353" s="84"/>
      <c r="L353" s="84"/>
      <c r="M353" s="84"/>
      <c r="N353" s="55"/>
      <c r="O353" s="88"/>
      <c r="P353" s="88"/>
      <c r="Q353" s="88"/>
      <c r="R353" s="84"/>
      <c r="S353" s="84"/>
      <c r="T353" s="84"/>
      <c r="U353" s="84"/>
      <c r="V353" s="85"/>
      <c r="W353" s="84"/>
      <c r="X353" s="87"/>
      <c r="Y353" s="84"/>
      <c r="Z353" s="84"/>
      <c r="AA353" s="84"/>
      <c r="AB353" s="84"/>
      <c r="AC353" s="84"/>
      <c r="AD353" s="84"/>
      <c r="AE353" s="84"/>
      <c r="AF353" s="84"/>
      <c r="AG353" s="84"/>
      <c r="AH353" s="89"/>
      <c r="AI353" s="84"/>
      <c r="AJ353" s="84"/>
      <c r="AK353" s="84"/>
      <c r="AL353" s="89"/>
      <c r="AM353" s="89"/>
      <c r="AN353" s="55"/>
      <c r="AO353" s="84"/>
      <c r="AP353" s="60"/>
      <c r="AQ353" s="90"/>
      <c r="AR353" s="55"/>
      <c r="AS353" s="55"/>
      <c r="AT353" s="91"/>
      <c r="AU353" s="55"/>
      <c r="AV353" s="92"/>
      <c r="AW353" s="92"/>
      <c r="AX353" s="62"/>
      <c r="AY353" s="90"/>
      <c r="AZ353" s="93"/>
      <c r="BA353" s="93"/>
      <c r="BB353" s="93"/>
      <c r="BC353" s="55"/>
      <c r="BD353" s="88"/>
      <c r="BE353" s="88"/>
      <c r="BF353" s="88"/>
      <c r="BG353" s="87"/>
      <c r="BH353" s="84"/>
      <c r="BI353" s="84"/>
      <c r="BJ353" s="90"/>
      <c r="BK353" s="94"/>
      <c r="BL353" s="62"/>
      <c r="BM353" s="84"/>
      <c r="BN353" s="95"/>
      <c r="BO353" s="84"/>
      <c r="BP353" s="84"/>
      <c r="BQ353" s="96"/>
    </row>
    <row r="354">
      <c r="A354" s="50"/>
      <c r="B354" s="83"/>
      <c r="C354" s="83"/>
      <c r="D354" s="84"/>
      <c r="E354" s="85"/>
      <c r="F354" s="85"/>
      <c r="G354" s="85"/>
      <c r="H354" s="86"/>
      <c r="I354" s="85"/>
      <c r="J354" s="87"/>
      <c r="K354" s="84"/>
      <c r="L354" s="84"/>
      <c r="M354" s="84"/>
      <c r="N354" s="55"/>
      <c r="O354" s="88"/>
      <c r="P354" s="88"/>
      <c r="Q354" s="88"/>
      <c r="R354" s="84"/>
      <c r="S354" s="84"/>
      <c r="T354" s="84"/>
      <c r="U354" s="84"/>
      <c r="V354" s="85"/>
      <c r="W354" s="84"/>
      <c r="X354" s="87"/>
      <c r="Y354" s="84"/>
      <c r="Z354" s="84"/>
      <c r="AA354" s="84"/>
      <c r="AB354" s="84"/>
      <c r="AC354" s="84"/>
      <c r="AD354" s="84"/>
      <c r="AE354" s="84"/>
      <c r="AF354" s="84"/>
      <c r="AG354" s="84"/>
      <c r="AH354" s="89"/>
      <c r="AI354" s="84"/>
      <c r="AJ354" s="84"/>
      <c r="AK354" s="84"/>
      <c r="AL354" s="89"/>
      <c r="AM354" s="89"/>
      <c r="AN354" s="55"/>
      <c r="AO354" s="84"/>
      <c r="AP354" s="60"/>
      <c r="AQ354" s="90"/>
      <c r="AR354" s="55"/>
      <c r="AS354" s="55"/>
      <c r="AT354" s="91"/>
      <c r="AU354" s="55"/>
      <c r="AV354" s="92"/>
      <c r="AW354" s="92"/>
      <c r="AX354" s="62"/>
      <c r="AY354" s="90"/>
      <c r="AZ354" s="93"/>
      <c r="BA354" s="93"/>
      <c r="BB354" s="93"/>
      <c r="BC354" s="55"/>
      <c r="BD354" s="88"/>
      <c r="BE354" s="88"/>
      <c r="BF354" s="88"/>
      <c r="BG354" s="87"/>
      <c r="BH354" s="84"/>
      <c r="BI354" s="84"/>
      <c r="BJ354" s="90"/>
      <c r="BK354" s="94"/>
      <c r="BL354" s="62"/>
      <c r="BM354" s="84"/>
      <c r="BN354" s="95"/>
      <c r="BO354" s="84"/>
      <c r="BP354" s="84"/>
      <c r="BQ354" s="96"/>
    </row>
    <row r="355">
      <c r="A355" s="50"/>
      <c r="B355" s="83"/>
      <c r="C355" s="83"/>
      <c r="D355" s="84"/>
      <c r="E355" s="85"/>
      <c r="F355" s="85"/>
      <c r="G355" s="85"/>
      <c r="H355" s="86"/>
      <c r="I355" s="85"/>
      <c r="J355" s="87"/>
      <c r="K355" s="84"/>
      <c r="L355" s="84"/>
      <c r="M355" s="84"/>
      <c r="N355" s="55"/>
      <c r="O355" s="88"/>
      <c r="P355" s="88"/>
      <c r="Q355" s="88"/>
      <c r="R355" s="84"/>
      <c r="S355" s="84"/>
      <c r="T355" s="84"/>
      <c r="U355" s="84"/>
      <c r="V355" s="85"/>
      <c r="W355" s="84"/>
      <c r="X355" s="87"/>
      <c r="Y355" s="84"/>
      <c r="Z355" s="84"/>
      <c r="AA355" s="84"/>
      <c r="AB355" s="84"/>
      <c r="AC355" s="84"/>
      <c r="AD355" s="84"/>
      <c r="AE355" s="84"/>
      <c r="AF355" s="84"/>
      <c r="AG355" s="84"/>
      <c r="AH355" s="89"/>
      <c r="AI355" s="84"/>
      <c r="AJ355" s="84"/>
      <c r="AK355" s="84"/>
      <c r="AL355" s="89"/>
      <c r="AM355" s="89"/>
      <c r="AN355" s="55"/>
      <c r="AO355" s="84"/>
      <c r="AP355" s="60"/>
      <c r="AQ355" s="90"/>
      <c r="AR355" s="55"/>
      <c r="AS355" s="55"/>
      <c r="AT355" s="91"/>
      <c r="AU355" s="55"/>
      <c r="AV355" s="92"/>
      <c r="AW355" s="92"/>
      <c r="AX355" s="62"/>
      <c r="AY355" s="90"/>
      <c r="AZ355" s="93"/>
      <c r="BA355" s="93"/>
      <c r="BB355" s="93"/>
      <c r="BC355" s="55"/>
      <c r="BD355" s="88"/>
      <c r="BE355" s="88"/>
      <c r="BF355" s="88"/>
      <c r="BG355" s="87"/>
      <c r="BH355" s="84"/>
      <c r="BI355" s="84"/>
      <c r="BJ355" s="90"/>
      <c r="BK355" s="94"/>
      <c r="BL355" s="62"/>
      <c r="BM355" s="84"/>
      <c r="BN355" s="95"/>
      <c r="BO355" s="84"/>
      <c r="BP355" s="84"/>
      <c r="BQ355" s="96"/>
    </row>
    <row r="356">
      <c r="A356" s="50"/>
      <c r="B356" s="83"/>
      <c r="C356" s="83"/>
      <c r="D356" s="84"/>
      <c r="E356" s="85"/>
      <c r="F356" s="85"/>
      <c r="G356" s="85"/>
      <c r="H356" s="86"/>
      <c r="I356" s="85"/>
      <c r="J356" s="87"/>
      <c r="K356" s="84"/>
      <c r="L356" s="84"/>
      <c r="M356" s="84"/>
      <c r="N356" s="55"/>
      <c r="O356" s="88"/>
      <c r="P356" s="88"/>
      <c r="Q356" s="88"/>
      <c r="R356" s="84"/>
      <c r="S356" s="84"/>
      <c r="T356" s="84"/>
      <c r="U356" s="84"/>
      <c r="V356" s="85"/>
      <c r="W356" s="84"/>
      <c r="X356" s="87"/>
      <c r="Y356" s="84"/>
      <c r="Z356" s="84"/>
      <c r="AA356" s="84"/>
      <c r="AB356" s="84"/>
      <c r="AC356" s="84"/>
      <c r="AD356" s="84"/>
      <c r="AE356" s="84"/>
      <c r="AF356" s="84"/>
      <c r="AG356" s="84"/>
      <c r="AH356" s="89"/>
      <c r="AI356" s="84"/>
      <c r="AJ356" s="84"/>
      <c r="AK356" s="84"/>
      <c r="AL356" s="89"/>
      <c r="AM356" s="89"/>
      <c r="AN356" s="55"/>
      <c r="AO356" s="84"/>
      <c r="AP356" s="60"/>
      <c r="AQ356" s="90"/>
      <c r="AR356" s="55"/>
      <c r="AS356" s="55"/>
      <c r="AT356" s="91"/>
      <c r="AU356" s="55"/>
      <c r="AV356" s="92"/>
      <c r="AW356" s="92"/>
      <c r="AX356" s="62"/>
      <c r="AY356" s="90"/>
      <c r="AZ356" s="93"/>
      <c r="BA356" s="93"/>
      <c r="BB356" s="93"/>
      <c r="BC356" s="55"/>
      <c r="BD356" s="88"/>
      <c r="BE356" s="88"/>
      <c r="BF356" s="88"/>
      <c r="BG356" s="87"/>
      <c r="BH356" s="84"/>
      <c r="BI356" s="84"/>
      <c r="BJ356" s="90"/>
      <c r="BK356" s="94"/>
      <c r="BL356" s="62"/>
      <c r="BM356" s="84"/>
      <c r="BN356" s="95"/>
      <c r="BO356" s="84"/>
      <c r="BP356" s="84"/>
      <c r="BQ356" s="96"/>
    </row>
    <row r="357">
      <c r="A357" s="50"/>
      <c r="B357" s="83"/>
      <c r="C357" s="83"/>
      <c r="D357" s="84"/>
      <c r="E357" s="85"/>
      <c r="F357" s="85"/>
      <c r="G357" s="85"/>
      <c r="H357" s="86"/>
      <c r="I357" s="85"/>
      <c r="J357" s="87"/>
      <c r="K357" s="84"/>
      <c r="L357" s="84"/>
      <c r="M357" s="84"/>
      <c r="N357" s="55"/>
      <c r="O357" s="88"/>
      <c r="P357" s="88"/>
      <c r="Q357" s="88"/>
      <c r="R357" s="84"/>
      <c r="S357" s="84"/>
      <c r="T357" s="84"/>
      <c r="U357" s="84"/>
      <c r="V357" s="85"/>
      <c r="W357" s="84"/>
      <c r="X357" s="87"/>
      <c r="Y357" s="84"/>
      <c r="Z357" s="84"/>
      <c r="AA357" s="84"/>
      <c r="AB357" s="84"/>
      <c r="AC357" s="84"/>
      <c r="AD357" s="84"/>
      <c r="AE357" s="84"/>
      <c r="AF357" s="84"/>
      <c r="AG357" s="84"/>
      <c r="AH357" s="89"/>
      <c r="AI357" s="84"/>
      <c r="AJ357" s="84"/>
      <c r="AK357" s="84"/>
      <c r="AL357" s="89"/>
      <c r="AM357" s="89"/>
      <c r="AN357" s="55"/>
      <c r="AO357" s="84"/>
      <c r="AP357" s="60"/>
      <c r="AQ357" s="90"/>
      <c r="AR357" s="55"/>
      <c r="AS357" s="55"/>
      <c r="AT357" s="91"/>
      <c r="AU357" s="55"/>
      <c r="AV357" s="92"/>
      <c r="AW357" s="92"/>
      <c r="AX357" s="62"/>
      <c r="AY357" s="90"/>
      <c r="AZ357" s="93"/>
      <c r="BA357" s="93"/>
      <c r="BB357" s="93"/>
      <c r="BC357" s="55"/>
      <c r="BD357" s="88"/>
      <c r="BE357" s="88"/>
      <c r="BF357" s="88"/>
      <c r="BG357" s="87"/>
      <c r="BH357" s="84"/>
      <c r="BI357" s="84"/>
      <c r="BJ357" s="90"/>
      <c r="BK357" s="94"/>
      <c r="BL357" s="62"/>
      <c r="BM357" s="84"/>
      <c r="BN357" s="95"/>
      <c r="BO357" s="84"/>
      <c r="BP357" s="84"/>
      <c r="BQ357" s="96"/>
    </row>
    <row r="358">
      <c r="A358" s="50"/>
      <c r="B358" s="83"/>
      <c r="C358" s="83"/>
      <c r="D358" s="84"/>
      <c r="E358" s="85"/>
      <c r="F358" s="85"/>
      <c r="G358" s="85"/>
      <c r="H358" s="86"/>
      <c r="I358" s="85"/>
      <c r="J358" s="87"/>
      <c r="K358" s="84"/>
      <c r="L358" s="84"/>
      <c r="M358" s="84"/>
      <c r="N358" s="55"/>
      <c r="O358" s="88"/>
      <c r="P358" s="88"/>
      <c r="Q358" s="88"/>
      <c r="R358" s="84"/>
      <c r="S358" s="84"/>
      <c r="T358" s="84"/>
      <c r="U358" s="84"/>
      <c r="V358" s="85"/>
      <c r="W358" s="84"/>
      <c r="X358" s="87"/>
      <c r="Y358" s="84"/>
      <c r="Z358" s="84"/>
      <c r="AA358" s="84"/>
      <c r="AB358" s="84"/>
      <c r="AC358" s="84"/>
      <c r="AD358" s="84"/>
      <c r="AE358" s="84"/>
      <c r="AF358" s="84"/>
      <c r="AG358" s="84"/>
      <c r="AH358" s="89"/>
      <c r="AI358" s="84"/>
      <c r="AJ358" s="84"/>
      <c r="AK358" s="84"/>
      <c r="AL358" s="89"/>
      <c r="AM358" s="89"/>
      <c r="AN358" s="55"/>
      <c r="AO358" s="84"/>
      <c r="AP358" s="60"/>
      <c r="AQ358" s="90"/>
      <c r="AR358" s="55"/>
      <c r="AS358" s="55"/>
      <c r="AT358" s="91"/>
      <c r="AU358" s="55"/>
      <c r="AV358" s="92"/>
      <c r="AW358" s="92"/>
      <c r="AX358" s="62"/>
      <c r="AY358" s="90"/>
      <c r="AZ358" s="93"/>
      <c r="BA358" s="93"/>
      <c r="BB358" s="93"/>
      <c r="BC358" s="55"/>
      <c r="BD358" s="88"/>
      <c r="BE358" s="88"/>
      <c r="BF358" s="88"/>
      <c r="BG358" s="87"/>
      <c r="BH358" s="84"/>
      <c r="BI358" s="84"/>
      <c r="BJ358" s="90"/>
      <c r="BK358" s="94"/>
      <c r="BL358" s="62"/>
      <c r="BM358" s="84"/>
      <c r="BN358" s="95"/>
      <c r="BO358" s="84"/>
      <c r="BP358" s="84"/>
      <c r="BQ358" s="96"/>
    </row>
    <row r="359">
      <c r="A359" s="50"/>
      <c r="B359" s="83"/>
      <c r="C359" s="83"/>
      <c r="D359" s="84"/>
      <c r="E359" s="85"/>
      <c r="F359" s="85"/>
      <c r="G359" s="85"/>
      <c r="H359" s="86"/>
      <c r="I359" s="85"/>
      <c r="J359" s="87"/>
      <c r="K359" s="84"/>
      <c r="L359" s="84"/>
      <c r="M359" s="84"/>
      <c r="N359" s="55"/>
      <c r="O359" s="88"/>
      <c r="P359" s="88"/>
      <c r="Q359" s="88"/>
      <c r="R359" s="84"/>
      <c r="S359" s="84"/>
      <c r="T359" s="84"/>
      <c r="U359" s="84"/>
      <c r="V359" s="85"/>
      <c r="W359" s="84"/>
      <c r="X359" s="87"/>
      <c r="Y359" s="84"/>
      <c r="Z359" s="84"/>
      <c r="AA359" s="84"/>
      <c r="AB359" s="84"/>
      <c r="AC359" s="84"/>
      <c r="AD359" s="84"/>
      <c r="AE359" s="84"/>
      <c r="AF359" s="84"/>
      <c r="AG359" s="84"/>
      <c r="AH359" s="89"/>
      <c r="AI359" s="84"/>
      <c r="AJ359" s="84"/>
      <c r="AK359" s="84"/>
      <c r="AL359" s="89"/>
      <c r="AM359" s="89"/>
      <c r="AN359" s="55"/>
      <c r="AO359" s="84"/>
      <c r="AP359" s="60"/>
      <c r="AQ359" s="90"/>
      <c r="AR359" s="55"/>
      <c r="AS359" s="55"/>
      <c r="AT359" s="91"/>
      <c r="AU359" s="55"/>
      <c r="AV359" s="92"/>
      <c r="AW359" s="92"/>
      <c r="AX359" s="62"/>
      <c r="AY359" s="90"/>
      <c r="AZ359" s="93"/>
      <c r="BA359" s="93"/>
      <c r="BB359" s="93"/>
      <c r="BC359" s="55"/>
      <c r="BD359" s="88"/>
      <c r="BE359" s="88"/>
      <c r="BF359" s="88"/>
      <c r="BG359" s="87"/>
      <c r="BH359" s="84"/>
      <c r="BI359" s="84"/>
      <c r="BJ359" s="90"/>
      <c r="BK359" s="94"/>
      <c r="BL359" s="62"/>
      <c r="BM359" s="84"/>
      <c r="BN359" s="95"/>
      <c r="BO359" s="84"/>
      <c r="BP359" s="84"/>
      <c r="BQ359" s="96"/>
    </row>
    <row r="360">
      <c r="A360" s="50"/>
      <c r="B360" s="83"/>
      <c r="C360" s="83"/>
      <c r="D360" s="84"/>
      <c r="E360" s="85"/>
      <c r="F360" s="85"/>
      <c r="G360" s="85"/>
      <c r="H360" s="86"/>
      <c r="I360" s="85"/>
      <c r="J360" s="87"/>
      <c r="K360" s="84"/>
      <c r="L360" s="84"/>
      <c r="M360" s="84"/>
      <c r="N360" s="55"/>
      <c r="O360" s="88"/>
      <c r="P360" s="88"/>
      <c r="Q360" s="88"/>
      <c r="R360" s="84"/>
      <c r="S360" s="84"/>
      <c r="T360" s="84"/>
      <c r="U360" s="84"/>
      <c r="V360" s="85"/>
      <c r="W360" s="84"/>
      <c r="X360" s="87"/>
      <c r="Y360" s="84"/>
      <c r="Z360" s="84"/>
      <c r="AA360" s="84"/>
      <c r="AB360" s="84"/>
      <c r="AC360" s="84"/>
      <c r="AD360" s="84"/>
      <c r="AE360" s="84"/>
      <c r="AF360" s="84"/>
      <c r="AG360" s="84"/>
      <c r="AH360" s="89"/>
      <c r="AI360" s="84"/>
      <c r="AJ360" s="84"/>
      <c r="AK360" s="84"/>
      <c r="AL360" s="89"/>
      <c r="AM360" s="89"/>
      <c r="AN360" s="55"/>
      <c r="AO360" s="84"/>
      <c r="AP360" s="60"/>
      <c r="AQ360" s="90"/>
      <c r="AR360" s="55"/>
      <c r="AS360" s="55"/>
      <c r="AT360" s="91"/>
      <c r="AU360" s="55"/>
      <c r="AV360" s="92"/>
      <c r="AW360" s="92"/>
      <c r="AX360" s="62"/>
      <c r="AY360" s="90"/>
      <c r="AZ360" s="93"/>
      <c r="BA360" s="93"/>
      <c r="BB360" s="93"/>
      <c r="BC360" s="55"/>
      <c r="BD360" s="88"/>
      <c r="BE360" s="88"/>
      <c r="BF360" s="88"/>
      <c r="BG360" s="87"/>
      <c r="BH360" s="84"/>
      <c r="BI360" s="84"/>
      <c r="BJ360" s="90"/>
      <c r="BK360" s="94"/>
      <c r="BL360" s="62"/>
      <c r="BM360" s="84"/>
      <c r="BN360" s="95"/>
      <c r="BO360" s="84"/>
      <c r="BP360" s="84"/>
      <c r="BQ360" s="96"/>
    </row>
    <row r="361">
      <c r="A361" s="50"/>
      <c r="B361" s="83"/>
      <c r="C361" s="83"/>
      <c r="D361" s="84"/>
      <c r="E361" s="85"/>
      <c r="F361" s="85"/>
      <c r="G361" s="85"/>
      <c r="H361" s="86"/>
      <c r="I361" s="85"/>
      <c r="J361" s="87"/>
      <c r="K361" s="84"/>
      <c r="L361" s="84"/>
      <c r="M361" s="84"/>
      <c r="N361" s="55"/>
      <c r="O361" s="88"/>
      <c r="P361" s="88"/>
      <c r="Q361" s="88"/>
      <c r="R361" s="84"/>
      <c r="S361" s="84"/>
      <c r="T361" s="84"/>
      <c r="U361" s="84"/>
      <c r="V361" s="85"/>
      <c r="W361" s="84"/>
      <c r="X361" s="87"/>
      <c r="Y361" s="84"/>
      <c r="Z361" s="84"/>
      <c r="AA361" s="84"/>
      <c r="AB361" s="84"/>
      <c r="AC361" s="84"/>
      <c r="AD361" s="84"/>
      <c r="AE361" s="84"/>
      <c r="AF361" s="84"/>
      <c r="AG361" s="84"/>
      <c r="AH361" s="89"/>
      <c r="AI361" s="84"/>
      <c r="AJ361" s="84"/>
      <c r="AK361" s="84"/>
      <c r="AL361" s="89"/>
      <c r="AM361" s="89"/>
      <c r="AN361" s="55"/>
      <c r="AO361" s="84"/>
      <c r="AP361" s="60"/>
      <c r="AQ361" s="90"/>
      <c r="AR361" s="55"/>
      <c r="AS361" s="55"/>
      <c r="AT361" s="91"/>
      <c r="AU361" s="55"/>
      <c r="AV361" s="92"/>
      <c r="AW361" s="92"/>
      <c r="AX361" s="62"/>
      <c r="AY361" s="90"/>
      <c r="AZ361" s="93"/>
      <c r="BA361" s="93"/>
      <c r="BB361" s="93"/>
      <c r="BC361" s="55"/>
      <c r="BD361" s="88"/>
      <c r="BE361" s="88"/>
      <c r="BF361" s="88"/>
      <c r="BG361" s="87"/>
      <c r="BH361" s="84"/>
      <c r="BI361" s="84"/>
      <c r="BJ361" s="90"/>
      <c r="BK361" s="94"/>
      <c r="BL361" s="62"/>
      <c r="BM361" s="84"/>
      <c r="BN361" s="95"/>
      <c r="BO361" s="84"/>
      <c r="BP361" s="84"/>
      <c r="BQ361" s="96"/>
    </row>
    <row r="362">
      <c r="A362" s="50"/>
      <c r="B362" s="83"/>
      <c r="C362" s="83"/>
      <c r="D362" s="84"/>
      <c r="E362" s="85"/>
      <c r="F362" s="85"/>
      <c r="G362" s="85"/>
      <c r="H362" s="86"/>
      <c r="I362" s="85"/>
      <c r="J362" s="87"/>
      <c r="K362" s="84"/>
      <c r="L362" s="84"/>
      <c r="M362" s="84"/>
      <c r="N362" s="55"/>
      <c r="O362" s="88"/>
      <c r="P362" s="88"/>
      <c r="Q362" s="88"/>
      <c r="R362" s="84"/>
      <c r="S362" s="84"/>
      <c r="T362" s="84"/>
      <c r="U362" s="84"/>
      <c r="V362" s="85"/>
      <c r="W362" s="84"/>
      <c r="X362" s="87"/>
      <c r="Y362" s="84"/>
      <c r="Z362" s="84"/>
      <c r="AA362" s="84"/>
      <c r="AB362" s="84"/>
      <c r="AC362" s="84"/>
      <c r="AD362" s="84"/>
      <c r="AE362" s="84"/>
      <c r="AF362" s="84"/>
      <c r="AG362" s="84"/>
      <c r="AH362" s="89"/>
      <c r="AI362" s="84"/>
      <c r="AJ362" s="84"/>
      <c r="AK362" s="84"/>
      <c r="AL362" s="89"/>
      <c r="AM362" s="89"/>
      <c r="AN362" s="55"/>
      <c r="AO362" s="84"/>
      <c r="AP362" s="60"/>
      <c r="AQ362" s="90"/>
      <c r="AR362" s="55"/>
      <c r="AS362" s="55"/>
      <c r="AT362" s="91"/>
      <c r="AU362" s="55"/>
      <c r="AV362" s="92"/>
      <c r="AW362" s="92"/>
      <c r="AX362" s="62"/>
      <c r="AY362" s="90"/>
      <c r="AZ362" s="93"/>
      <c r="BA362" s="93"/>
      <c r="BB362" s="93"/>
      <c r="BC362" s="55"/>
      <c r="BD362" s="88"/>
      <c r="BE362" s="88"/>
      <c r="BF362" s="88"/>
      <c r="BG362" s="87"/>
      <c r="BH362" s="84"/>
      <c r="BI362" s="84"/>
      <c r="BJ362" s="90"/>
      <c r="BK362" s="94"/>
      <c r="BL362" s="62"/>
      <c r="BM362" s="84"/>
      <c r="BN362" s="95"/>
      <c r="BO362" s="84"/>
      <c r="BP362" s="84"/>
      <c r="BQ362" s="96"/>
    </row>
  </sheetData>
  <mergeCells>
    <mergeCell ref="Y1:AE1"/>
    <mergeCell ref="AL1:AW1"/>
    <mergeCell ref="AZ1:BF1"/>
    <mergeCell ref="BG1:BL1"/>
    <mergeCell ref="BM1:B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3"/>
    <mergeCell ref="S1:S3"/>
    <mergeCell ref="T1:T2"/>
    <mergeCell ref="U1:U2"/>
    <mergeCell ref="V1:V2"/>
    <mergeCell ref="W1:W2"/>
    <mergeCell ref="X1:X2"/>
    <mergeCell ref="AG1:AG2"/>
    <mergeCell ref="AH1:AH2"/>
    <mergeCell ref="AI1:AI2"/>
    <mergeCell ref="AJ1:AJ2"/>
    <mergeCell ref="AK1:AK2"/>
  </mergeCells>
  <conditionalFormatting sqref="S1:S2">
    <cfRule priority="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{FF8CC02C-E756-4348-8F1C-57E7ACE828E9}</x14:id>
        </ext>
      </extLst>
    </cfRule>
  </conditionalFormatting>
  <conditionalFormatting sqref="S1:S2">
    <cfRule priority="2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{EA917922-28D9-428A-BBCA-55D597E20F21}</x14:id>
        </ext>
      </extLst>
    </cfRule>
  </conditionalFormatting>
  <conditionalFormatting sqref="AR2:AR2">
    <cfRule priority="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{75392367-FAE6-4C87-A70E-9C6CF73A605D}</x14:id>
        </ext>
      </extLst>
    </cfRule>
  </conditionalFormatting>
  <conditionalFormatting sqref="BI3:BI3">
    <cfRule priority="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{AF4DA9BE-AA72-4C7A-81BF-64BCB345DED0}</x14:id>
        </ext>
      </extLst>
    </cfRule>
  </conditionalFormatting>
  <conditionalFormatting sqref="AR2:AR2">
    <cfRule priority="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{D4437809-1328-449C-971F-9FDF8EBA7BB7}</x14:id>
        </ext>
      </extLst>
    </cfRule>
  </conditionalFormatting>
  <conditionalFormatting sqref="BJ73:BJ73">
    <cfRule priority="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{5A07B902-BE35-4A65-81B7-81DB26E09A4B}</x14:id>
        </ext>
      </extLst>
    </cfRule>
  </conditionalFormatting>
  <conditionalFormatting sqref="BI71:BI71">
    <cfRule priority="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{A6F79652-7476-4183-B7FB-BD2D16792AD8}</x14:id>
        </ext>
      </extLst>
    </cfRule>
  </conditionalFormatting>
  <conditionalFormatting sqref="BI72:BI72">
    <cfRule priority="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{F4890918-478E-4163-B064-002778FA5598}</x14:id>
        </ext>
      </extLst>
    </cfRule>
  </conditionalFormatting>
  <conditionalFormatting sqref="AL3:AL69">
    <cfRule priority="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{45E3437A-16E8-4E97-942F-1FB10AB76AEA}</x14:id>
        </ext>
      </extLst>
    </cfRule>
  </conditionalFormatting>
  <conditionalFormatting sqref="AM2:AM2">
    <cfRule priority="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{B4612CCA-A75B-4294-8849-D2B4836674F3}</x14:id>
        </ext>
      </extLst>
    </cfRule>
  </conditionalFormatting>
  <conditionalFormatting sqref="AR2:AR2">
    <cfRule priority="11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{328996C7-8638-453A-B4D3-8BD550450CC3}</x14:id>
        </ext>
      </extLst>
    </cfRule>
  </conditionalFormatting>
  <conditionalFormatting sqref="AN2:AN2">
    <cfRule priority="1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{F81C42A9-08C8-4789-89A6-855AC3B3CE63}</x14:id>
        </ext>
      </extLst>
    </cfRule>
  </conditionalFormatting>
  <conditionalFormatting sqref="BI9:BI9">
    <cfRule priority="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{69041320-49F8-4D02-AB82-2E89ED079404}</x14:id>
        </ext>
      </extLst>
    </cfRule>
  </conditionalFormatting>
  <conditionalFormatting sqref="N70:N70">
    <cfRule priority="1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{6F5939EC-1B00-4F2F-A2FE-2B2946E44EED}</x14:id>
        </ext>
      </extLst>
    </cfRule>
  </conditionalFormatting>
  <conditionalFormatting sqref="BI73:BI73">
    <cfRule priority="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{F8DAA9CF-6043-40F1-BD75-DD4D948D7C93}</x14:id>
        </ext>
      </extLst>
    </cfRule>
  </conditionalFormatting>
  <conditionalFormatting sqref="AM3:AM69">
    <cfRule priority="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{A2422DE8-B646-41F1-91A4-C68CD82DDE32}</x14:id>
        </ext>
      </extLst>
    </cfRule>
  </conditionalFormatting>
  <conditionalFormatting sqref="BJ6:BJ6">
    <cfRule priority="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{6C965980-DFDD-4B84-A98D-42905AF4B984}</x14:id>
        </ext>
      </extLst>
    </cfRule>
  </conditionalFormatting>
  <conditionalFormatting sqref="AL72:AL72">
    <cfRule priority="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{2FFDA471-2DAF-4A9B-8529-E834D2DCD07E}</x14:id>
        </ext>
      </extLst>
    </cfRule>
  </conditionalFormatting>
  <conditionalFormatting sqref="N71:N71">
    <cfRule priority="1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{59A4D4AA-C01B-4778-BBC4-CE52666A6572}</x14:id>
        </ext>
      </extLst>
    </cfRule>
  </conditionalFormatting>
  <conditionalFormatting sqref="N93:N362">
    <cfRule priority="2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{B3AA48EC-4F3E-43E7-BDC3-F4E69BCC7CB6}</x14:id>
        </ext>
      </extLst>
    </cfRule>
  </conditionalFormatting>
  <conditionalFormatting sqref="BJ12:BJ12">
    <cfRule priority="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{4A080E40-840E-47A9-97CD-E6A523855736}</x14:id>
        </ext>
      </extLst>
    </cfRule>
  </conditionalFormatting>
  <conditionalFormatting sqref="Q1:R2 T1:T1">
    <cfRule priority="2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{C92D0021-427B-4645-BEDE-CC7F61CA8C00}</x14:id>
        </ext>
      </extLst>
    </cfRule>
  </conditionalFormatting>
  <conditionalFormatting sqref="N73:N73">
    <cfRule priority="2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{71BC3FB8-6B5D-4F11-967D-7F73CD449DC2}</x14:id>
        </ext>
      </extLst>
    </cfRule>
  </conditionalFormatting>
  <conditionalFormatting sqref="BI12:BI12">
    <cfRule priority="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{DA64DE80-110B-4F80-A2E2-CD750A92A735}</x14:id>
        </ext>
      </extLst>
    </cfRule>
  </conditionalFormatting>
  <conditionalFormatting sqref="M71:M71">
    <cfRule priority="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{579C0047-6730-4107-AF0F-2C32196485FA}</x14:id>
        </ext>
      </extLst>
    </cfRule>
  </conditionalFormatting>
  <conditionalFormatting sqref="M93:M362">
    <cfRule priority="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{0F2912A4-CD7D-4C9F-89EC-E4A4089F4CC8}</x14:id>
        </ext>
      </extLst>
    </cfRule>
  </conditionalFormatting>
  <conditionalFormatting sqref="BI10:BI10">
    <cfRule priority="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{988FE94E-74B4-4365-B53F-8DC8D561BB47}</x14:id>
        </ext>
      </extLst>
    </cfRule>
  </conditionalFormatting>
  <conditionalFormatting sqref="AM70:AM70">
    <cfRule priority="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{57534CFB-CB82-4E7A-8724-D13214E028D9}</x14:id>
        </ext>
      </extLst>
    </cfRule>
  </conditionalFormatting>
  <conditionalFormatting sqref="AL70:AL70">
    <cfRule priority="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{EFC2BAE8-2197-46E2-ABEC-2F63E730E16A}</x14:id>
        </ext>
      </extLst>
    </cfRule>
  </conditionalFormatting>
  <conditionalFormatting sqref="M74:M74">
    <cfRule priority="3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{69DCC05E-F20D-4822-9B8A-3E2B009CFA16}</x14:id>
        </ext>
      </extLst>
    </cfRule>
  </conditionalFormatting>
  <conditionalFormatting sqref="N72:N72">
    <cfRule priority="3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{0F20C984-DCA5-4B98-B7E2-0FC539437003}</x14:id>
        </ext>
      </extLst>
    </cfRule>
  </conditionalFormatting>
  <conditionalFormatting sqref="BI13:BI69">
    <cfRule priority="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{C4C48D39-A160-441C-A03E-4D32CB18A5CB}</x14:id>
        </ext>
      </extLst>
    </cfRule>
  </conditionalFormatting>
  <conditionalFormatting sqref="AL71:AL71">
    <cfRule priority="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{AA45AE7F-D268-48A5-BDFF-F52AF99F3279}</x14:id>
        </ext>
      </extLst>
    </cfRule>
  </conditionalFormatting>
  <conditionalFormatting sqref="N1:N2">
    <cfRule priority="3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{F3E89316-EDED-4D9A-A824-E61C499AF94E}</x14:id>
        </ext>
      </extLst>
    </cfRule>
  </conditionalFormatting>
  <conditionalFormatting sqref="AR2:AR2">
    <cfRule priority="3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{A2C1ADC8-4989-475B-8C30-43528380F25A}</x14:id>
        </ext>
      </extLst>
    </cfRule>
  </conditionalFormatting>
  <conditionalFormatting sqref="BJ93:BJ362">
    <cfRule priority="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{A108BF4C-10AD-4373-A381-5A391CFDDD3A}</x14:id>
        </ext>
      </extLst>
    </cfRule>
  </conditionalFormatting>
  <conditionalFormatting sqref="BJ9:BJ9">
    <cfRule priority="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{B56FBE85-3B29-4466-8EAC-63CAC3E897C0}</x14:id>
        </ext>
      </extLst>
    </cfRule>
  </conditionalFormatting>
  <conditionalFormatting sqref="BI70:BI70">
    <cfRule priority="3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{0BDAD211-08A3-4EED-BC24-4DECF680C4A9}</x14:id>
        </ext>
      </extLst>
    </cfRule>
  </conditionalFormatting>
  <conditionalFormatting sqref="BJ1:BJ362">
    <cfRule priority="3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{78AB42A8-6F5B-4980-AAED-9D8A014A75D0}</x14:id>
        </ext>
      </extLst>
    </cfRule>
  </conditionalFormatting>
  <conditionalFormatting sqref="BI4:BI4">
    <cfRule priority="4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{6A143C35-95A1-4792-9CBD-AE83CF72A3E8}</x14:id>
        </ext>
      </extLst>
    </cfRule>
  </conditionalFormatting>
  <conditionalFormatting sqref="AS2:AS2">
    <cfRule priority="41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{09B9258F-24C1-4EAC-A070-B6E6D9990B8A}</x14:id>
        </ext>
      </extLst>
    </cfRule>
  </conditionalFormatting>
  <conditionalFormatting sqref="BI8:BI8">
    <cfRule priority="4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{7D4F01D2-52C8-4E78-B7A1-3CA5F9B9C469}</x14:id>
        </ext>
      </extLst>
    </cfRule>
  </conditionalFormatting>
  <conditionalFormatting sqref="AL71:AL71">
    <cfRule priority="4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{369DB11A-778C-4F91-A39E-0915A9F98D4B}</x14:id>
        </ext>
      </extLst>
    </cfRule>
  </conditionalFormatting>
  <conditionalFormatting sqref="BI93:BI362">
    <cfRule priority="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{7340C08A-9FD4-4FF2-B15F-48BBD376AE70}</x14:id>
        </ext>
      </extLst>
    </cfRule>
  </conditionalFormatting>
  <conditionalFormatting sqref="O1:O1">
    <cfRule priority="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{EDFDA6DC-56E7-45B0-8D78-2B703124CB64}</x14:id>
        </ext>
      </extLst>
    </cfRule>
  </conditionalFormatting>
  <conditionalFormatting sqref="BJ10:BJ10">
    <cfRule priority="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{0534E90C-6A9A-4812-9A5B-3DFCB5C841FD}</x14:id>
        </ext>
      </extLst>
    </cfRule>
  </conditionalFormatting>
  <conditionalFormatting sqref="AL73:AL73">
    <cfRule priority="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{2793E0C6-19A8-457F-8AF3-5E16D7F39BDA}</x14:id>
        </ext>
      </extLst>
    </cfRule>
  </conditionalFormatting>
  <conditionalFormatting sqref="BJ70:BJ70">
    <cfRule priority="4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{19A08A62-3311-434E-AA73-34AC5244E488}</x14:id>
        </ext>
      </extLst>
    </cfRule>
  </conditionalFormatting>
  <conditionalFormatting sqref="N1:N2 P1:P1">
    <cfRule priority="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{0849A31B-5F46-462D-8CD8-82AF9DB6F32C}</x14:id>
        </ext>
      </extLst>
    </cfRule>
  </conditionalFormatting>
  <conditionalFormatting sqref="BJ75:BJ92">
    <cfRule priority="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{6300DCEF-F578-4C9C-9E0D-9EA15973F018}</x14:id>
        </ext>
      </extLst>
    </cfRule>
  </conditionalFormatting>
  <conditionalFormatting sqref="N3:N69">
    <cfRule priority="5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{A5A54470-AD2A-4D02-A26D-FE0872C18E18}</x14:id>
        </ext>
      </extLst>
    </cfRule>
  </conditionalFormatting>
  <conditionalFormatting sqref="BI7:BI7">
    <cfRule priority="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{21EB173C-B1F3-4A80-BFB9-A71A15E42BA8}</x14:id>
        </ext>
      </extLst>
    </cfRule>
  </conditionalFormatting>
  <conditionalFormatting sqref="AL3:AL69">
    <cfRule priority="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{B13F6BC1-B924-43E0-910D-1327DBC6177D}</x14:id>
        </ext>
      </extLst>
    </cfRule>
  </conditionalFormatting>
  <conditionalFormatting sqref="AM74:AM74">
    <cfRule priority="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{4D3936D3-D57E-4387-B587-6DBEA2E0A53F}</x14:id>
        </ext>
      </extLst>
    </cfRule>
  </conditionalFormatting>
  <conditionalFormatting sqref="AM93:AM161">
    <cfRule priority="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{3BA0A4F9-80D2-4E2B-899A-F13E0C723260}</x14:id>
        </ext>
      </extLst>
    </cfRule>
  </conditionalFormatting>
  <conditionalFormatting sqref="BJ72:BJ72">
    <cfRule priority="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{CE836B36-2F8F-4EC8-A106-38460E4A1DE4}</x14:id>
        </ext>
      </extLst>
    </cfRule>
  </conditionalFormatting>
  <conditionalFormatting sqref="M73:M73">
    <cfRule priority="5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{F35CC859-9FCE-4049-9E35-52E09FB5823A}</x14:id>
        </ext>
      </extLst>
    </cfRule>
  </conditionalFormatting>
  <conditionalFormatting sqref="O1:O1">
    <cfRule priority="5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{373770C6-B773-4AFE-86A5-FEA4F63C66CB}</x14:id>
        </ext>
      </extLst>
    </cfRule>
  </conditionalFormatting>
  <conditionalFormatting sqref="M3:M69">
    <cfRule priority="5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{2678419B-5C18-4CD7-8A41-80A681289BD5}</x14:id>
        </ext>
      </extLst>
    </cfRule>
  </conditionalFormatting>
  <conditionalFormatting sqref="AL75:AL92">
    <cfRule priority="6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{1E60BA30-8891-4648-9FDA-21C6481C9BF3}</x14:id>
        </ext>
      </extLst>
    </cfRule>
  </conditionalFormatting>
  <conditionalFormatting sqref="BI74:BI74">
    <cfRule priority="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{728E724B-7EF4-40A6-B80F-1023FA2DFE80}</x14:id>
        </ext>
      </extLst>
    </cfRule>
  </conditionalFormatting>
  <conditionalFormatting sqref="M1:M2">
    <cfRule priority="6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{73900378-116C-4507-94A1-1979593C119E}</x14:id>
        </ext>
      </extLst>
    </cfRule>
  </conditionalFormatting>
  <conditionalFormatting sqref="BJ3:BJ3">
    <cfRule priority="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{ADC6B3D8-3248-4C54-8AC4-891B0EADA299}</x14:id>
        </ext>
      </extLst>
    </cfRule>
  </conditionalFormatting>
  <conditionalFormatting sqref="AS2:AS2">
    <cfRule priority="64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{1FA043F1-1868-482B-8962-F5FF81865CD4}</x14:id>
        </ext>
      </extLst>
    </cfRule>
  </conditionalFormatting>
  <conditionalFormatting sqref="BJ8:BJ8">
    <cfRule priority="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{1F27C49E-8C51-4648-8B93-A7B1293FE8FF}</x14:id>
        </ext>
      </extLst>
    </cfRule>
  </conditionalFormatting>
  <conditionalFormatting sqref="Q1:R2 T1:T1">
    <cfRule priority="66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{F65F8326-8C1C-4D62-BC89-8AAE90B6DD86}</x14:id>
        </ext>
      </extLst>
    </cfRule>
  </conditionalFormatting>
  <conditionalFormatting sqref="AS2:AS2">
    <cfRule priority="67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{C6D321B7-0162-4394-B7EC-1B8BC54BC524}</x14:id>
        </ext>
      </extLst>
    </cfRule>
  </conditionalFormatting>
  <conditionalFormatting sqref="M75:M92">
    <cfRule priority="6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{472DA58A-D14F-4348-B676-CD45BF060837}</x14:id>
        </ext>
      </extLst>
    </cfRule>
  </conditionalFormatting>
  <conditionalFormatting sqref="BI75:BI92">
    <cfRule priority="6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{052ECC95-E75F-4526-8FAC-9422B9C1AA63}</x14:id>
        </ext>
      </extLst>
    </cfRule>
  </conditionalFormatting>
  <conditionalFormatting sqref="N74:N74">
    <cfRule priority="7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{621029DC-9C67-415F-8482-BD70F12941B1}</x14:id>
        </ext>
      </extLst>
    </cfRule>
  </conditionalFormatting>
  <conditionalFormatting sqref="BI6:BI6">
    <cfRule priority="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{1E25F131-FD67-4755-BC86-1EEBEF1E23E4}</x14:id>
        </ext>
      </extLst>
    </cfRule>
  </conditionalFormatting>
  <conditionalFormatting sqref="AL74:AL74">
    <cfRule priority="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{A604C938-6D22-4C98-9244-B22B3AB8D0D9}</x14:id>
        </ext>
      </extLst>
    </cfRule>
  </conditionalFormatting>
  <conditionalFormatting sqref="M72:M72">
    <cfRule priority="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{051FF083-5BB1-4F75-99AE-6C630A97CE17}</x14:id>
        </ext>
      </extLst>
    </cfRule>
  </conditionalFormatting>
  <conditionalFormatting sqref="BJ71:BJ71">
    <cfRule priority="7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{386CE5C6-9D6C-4249-9672-F0BDA5180144}</x14:id>
        </ext>
      </extLst>
    </cfRule>
  </conditionalFormatting>
  <conditionalFormatting sqref="BJ13:BJ69">
    <cfRule priority="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{230DEEDC-5642-4DBB-AD3A-65A2C800528B}</x14:id>
        </ext>
      </extLst>
    </cfRule>
  </conditionalFormatting>
  <conditionalFormatting sqref="AR2:AR2">
    <cfRule priority="7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{3D954C5B-DED4-4083-B456-DC741A5854F1}</x14:id>
        </ext>
      </extLst>
    </cfRule>
  </conditionalFormatting>
  <conditionalFormatting sqref="AM71:AM71">
    <cfRule priority="7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{343BD7BF-A7D6-49EA-9796-A78E1F9EE8AB}</x14:id>
        </ext>
      </extLst>
    </cfRule>
  </conditionalFormatting>
  <conditionalFormatting sqref="BI11:BI11">
    <cfRule priority="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{0A7F80E5-347F-4D0F-93EC-E6FA67A99F46}</x14:id>
        </ext>
      </extLst>
    </cfRule>
  </conditionalFormatting>
  <conditionalFormatting sqref="AM75:AM92">
    <cfRule priority="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{038B1014-469C-43B5-BE2A-595A3E76772B}</x14:id>
        </ext>
      </extLst>
    </cfRule>
  </conditionalFormatting>
  <conditionalFormatting sqref="BI1:BI362">
    <cfRule priority="8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{C4C72580-2B4A-4C1A-BF75-C1D449A26650}</x14:id>
        </ext>
      </extLst>
    </cfRule>
  </conditionalFormatting>
  <conditionalFormatting sqref="AN2:AN2">
    <cfRule priority="8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{8E8A86E2-83D5-4D68-ABC3-7ED70832937F}</x14:id>
        </ext>
      </extLst>
    </cfRule>
  </conditionalFormatting>
  <conditionalFormatting sqref="BJ5:BJ5">
    <cfRule priority="8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{88B378E6-0D0D-46EE-BA80-16733EE25507}</x14:id>
        </ext>
      </extLst>
    </cfRule>
  </conditionalFormatting>
  <conditionalFormatting sqref="AL93:AL362 AM162:AM362">
    <cfRule priority="8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{12059573-E1DA-44BA-BFB0-6B50ACA07B1A}</x14:id>
        </ext>
      </extLst>
    </cfRule>
  </conditionalFormatting>
  <conditionalFormatting sqref="BJ74:BJ74">
    <cfRule priority="8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{5BD62456-3369-49A5-8088-955C7BF9606F}</x14:id>
        </ext>
      </extLst>
    </cfRule>
  </conditionalFormatting>
  <conditionalFormatting sqref="BJ11:BJ11">
    <cfRule priority="8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{B392CD8F-AAB9-4123-A86E-EC5D3FD1B7FA}</x14:id>
        </ext>
      </extLst>
    </cfRule>
  </conditionalFormatting>
  <conditionalFormatting sqref="AM72:AM72">
    <cfRule priority="8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{79D978DF-869E-4C59-BD63-BA8E75317F5A}</x14:id>
        </ext>
      </extLst>
    </cfRule>
  </conditionalFormatting>
  <conditionalFormatting sqref="AL75:AL92">
    <cfRule priority="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{7C69B5C7-A7E8-441D-81D5-929240B22B8E}</x14:id>
        </ext>
      </extLst>
    </cfRule>
  </conditionalFormatting>
  <conditionalFormatting sqref="AS2:AS2">
    <cfRule priority="88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{BE81D172-9D78-496D-A0BE-0CC2B3A5828A}</x14:id>
        </ext>
      </extLst>
    </cfRule>
  </conditionalFormatting>
  <conditionalFormatting sqref="AL73:AL73">
    <cfRule priority="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{02E21B91-A288-447A-BC56-FC8EC71BAD41}</x14:id>
        </ext>
      </extLst>
    </cfRule>
  </conditionalFormatting>
  <conditionalFormatting sqref="AN2:AN2">
    <cfRule priority="9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{7A8E7216-684C-4300-B99B-79DF3D444DDF}</x14:id>
        </ext>
      </extLst>
    </cfRule>
  </conditionalFormatting>
  <conditionalFormatting sqref="N75:N92">
    <cfRule priority="9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{9DFDF994-4EFC-4326-B320-67BC0FE4F4F0}</x14:id>
        </ext>
      </extLst>
    </cfRule>
  </conditionalFormatting>
  <conditionalFormatting sqref="BJ4:BJ4">
    <cfRule priority="9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{21B2F402-6330-436D-84FF-4D741039FCC1}</x14:id>
        </ext>
      </extLst>
    </cfRule>
  </conditionalFormatting>
  <conditionalFormatting sqref="AL70:AL70">
    <cfRule priority="9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{6B9006E9-A937-41F6-AE37-F5F76180B09A}</x14:id>
        </ext>
      </extLst>
    </cfRule>
  </conditionalFormatting>
  <conditionalFormatting sqref="AL93:AL362 AM162:AM362">
    <cfRule priority="9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{CD8FD92D-FC54-443A-83E7-4097DD489262}</x14:id>
        </ext>
      </extLst>
    </cfRule>
  </conditionalFormatting>
  <conditionalFormatting sqref="AL72:AL72">
    <cfRule priority="9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{D17233D0-DD51-4C30-884F-88339D58D578}</x14:id>
        </ext>
      </extLst>
    </cfRule>
  </conditionalFormatting>
  <conditionalFormatting sqref="BJ7:BJ7">
    <cfRule priority="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{7AAC130B-0522-4938-80BE-0A08EAFCE68D}</x14:id>
        </ext>
      </extLst>
    </cfRule>
  </conditionalFormatting>
  <conditionalFormatting sqref="M70:M70">
    <cfRule priority="9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{4D88164E-FD65-465E-A49B-7FFC2C72509B}</x14:id>
        </ext>
      </extLst>
    </cfRule>
  </conditionalFormatting>
  <conditionalFormatting sqref="BI5:BI5">
    <cfRule priority="9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{7E24EE6B-69A9-4C73-90AF-000FC09A69AF}</x14:id>
        </ext>
      </extLst>
    </cfRule>
  </conditionalFormatting>
  <conditionalFormatting sqref="AR2:AR2">
    <cfRule priority="9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{391212FB-9C0B-46A9-B5F6-F6433BA4EDB4}</x14:id>
        </ext>
      </extLst>
    </cfRule>
  </conditionalFormatting>
  <conditionalFormatting sqref="N1:N2 P1:P1">
    <cfRule priority="10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{6DB4B7F1-A181-4DE6-8586-34517D8F23C8}</x14:id>
        </ext>
      </extLst>
    </cfRule>
  </conditionalFormatting>
  <conditionalFormatting sqref="AL74:AL74">
    <cfRule priority="10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{99816D3D-6B11-484E-854A-8E14135FF31E}</x14:id>
        </ext>
      </extLst>
    </cfRule>
  </conditionalFormatting>
  <conditionalFormatting sqref="AS2:AS2">
    <cfRule priority="102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{2D733ECB-7098-4E0E-BEAE-CE7719834386}</x14:id>
        </ext>
      </extLst>
    </cfRule>
  </conditionalFormatting>
  <conditionalFormatting sqref="AM73:AM73">
    <cfRule priority="10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{FC8A5FA8-59DE-4188-9A50-AAB1E7BE53F4}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8CC02C-E756-4348-8F1C-57E7ACE828E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S1:S2</xm:sqref>
        </x14:conditionalFormatting>
        <x14:conditionalFormatting xmlns:xm="http://schemas.microsoft.com/office/excel/2006/main">
          <x14:cfRule type="dataBar" id="{EA917922-28D9-428A-BBCA-55D597E20F2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S1:S2</xm:sqref>
        </x14:conditionalFormatting>
        <x14:conditionalFormatting xmlns:xm="http://schemas.microsoft.com/office/excel/2006/main">
          <x14:cfRule type="dataBar" id="{75392367-FAE6-4C87-A70E-9C6CF73A605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AR2:AR2</xm:sqref>
        </x14:conditionalFormatting>
        <x14:conditionalFormatting xmlns:xm="http://schemas.microsoft.com/office/excel/2006/main">
          <x14:cfRule type="dataBar" id="{AF4DA9BE-AA72-4C7A-81BF-64BCB345DED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BI3:BI3</xm:sqref>
        </x14:conditionalFormatting>
        <x14:conditionalFormatting xmlns:xm="http://schemas.microsoft.com/office/excel/2006/main">
          <x14:cfRule type="dataBar" id="{D4437809-1328-449C-971F-9FDF8EBA7BB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AR2:AR2</xm:sqref>
        </x14:conditionalFormatting>
        <x14:conditionalFormatting xmlns:xm="http://schemas.microsoft.com/office/excel/2006/main">
          <x14:cfRule type="dataBar" id="{5A07B902-BE35-4A65-81B7-81DB26E09A4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BJ73:BJ73</xm:sqref>
        </x14:conditionalFormatting>
        <x14:conditionalFormatting xmlns:xm="http://schemas.microsoft.com/office/excel/2006/main">
          <x14:cfRule type="dataBar" id="{A6F79652-7476-4183-B7FB-BD2D16792AD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BI71:BI71</xm:sqref>
        </x14:conditionalFormatting>
        <x14:conditionalFormatting xmlns:xm="http://schemas.microsoft.com/office/excel/2006/main">
          <x14:cfRule type="dataBar" id="{F4890918-478E-4163-B064-002778FA559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BI72:BI72</xm:sqref>
        </x14:conditionalFormatting>
        <x14:conditionalFormatting xmlns:xm="http://schemas.microsoft.com/office/excel/2006/main">
          <x14:cfRule type="dataBar" id="{45E3437A-16E8-4E97-942F-1FB10AB76AE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AL3:AL69</xm:sqref>
        </x14:conditionalFormatting>
        <x14:conditionalFormatting xmlns:xm="http://schemas.microsoft.com/office/excel/2006/main">
          <x14:cfRule type="dataBar" id="{B4612CCA-A75B-4294-8849-D2B4836674F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AM2:AM2</xm:sqref>
        </x14:conditionalFormatting>
        <x14:conditionalFormatting xmlns:xm="http://schemas.microsoft.com/office/excel/2006/main">
          <x14:cfRule type="dataBar" id="{328996C7-8638-453A-B4D3-8BD550450CC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AR2:AR2</xm:sqref>
        </x14:conditionalFormatting>
        <x14:conditionalFormatting xmlns:xm="http://schemas.microsoft.com/office/excel/2006/main">
          <x14:cfRule type="dataBar" id="{F81C42A9-08C8-4789-89A6-855AC3B3CE6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69041320-49F8-4D02-AB82-2E89ED07940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BI9:BI9</xm:sqref>
        </x14:conditionalFormatting>
        <x14:conditionalFormatting xmlns:xm="http://schemas.microsoft.com/office/excel/2006/main">
          <x14:cfRule type="dataBar" id="{6F5939EC-1B00-4F2F-A2FE-2B2946E44EE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N70:N70</xm:sqref>
        </x14:conditionalFormatting>
        <x14:conditionalFormatting xmlns:xm="http://schemas.microsoft.com/office/excel/2006/main">
          <x14:cfRule type="dataBar" id="{F8DAA9CF-6043-40F1-BD75-DD4D948D7C9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BI73:BI73</xm:sqref>
        </x14:conditionalFormatting>
        <x14:conditionalFormatting xmlns:xm="http://schemas.microsoft.com/office/excel/2006/main">
          <x14:cfRule type="dataBar" id="{A2422DE8-B646-41F1-91A4-C68CD82DDE3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AM3:AM69</xm:sqref>
        </x14:conditionalFormatting>
        <x14:conditionalFormatting xmlns:xm="http://schemas.microsoft.com/office/excel/2006/main">
          <x14:cfRule type="dataBar" id="{6C965980-DFDD-4B84-A98D-42905AF4B98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BJ6:BJ6</xm:sqref>
        </x14:conditionalFormatting>
        <x14:conditionalFormatting xmlns:xm="http://schemas.microsoft.com/office/excel/2006/main">
          <x14:cfRule type="dataBar" id="{2FFDA471-2DAF-4A9B-8529-E834D2DCD07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AL72:AL72</xm:sqref>
        </x14:conditionalFormatting>
        <x14:conditionalFormatting xmlns:xm="http://schemas.microsoft.com/office/excel/2006/main">
          <x14:cfRule type="dataBar" id="{59A4D4AA-C01B-4778-BBC4-CE52666A657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N71:N71</xm:sqref>
        </x14:conditionalFormatting>
        <x14:conditionalFormatting xmlns:xm="http://schemas.microsoft.com/office/excel/2006/main">
          <x14:cfRule type="dataBar" id="{B3AA48EC-4F3E-43E7-BDC3-F4E69BCC7CB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N93:N362</xm:sqref>
        </x14:conditionalFormatting>
        <x14:conditionalFormatting xmlns:xm="http://schemas.microsoft.com/office/excel/2006/main">
          <x14:cfRule type="dataBar" id="{4A080E40-840E-47A9-97CD-E6A52385573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BJ12:BJ12</xm:sqref>
        </x14:conditionalFormatting>
        <x14:conditionalFormatting xmlns:xm="http://schemas.microsoft.com/office/excel/2006/main">
          <x14:cfRule type="dataBar" id="{C92D0021-427B-4645-BEDE-CC7F61CA8C0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Q1:R2 T1:T1</xm:sqref>
        </x14:conditionalFormatting>
        <x14:conditionalFormatting xmlns:xm="http://schemas.microsoft.com/office/excel/2006/main">
          <x14:cfRule type="dataBar" id="{71BC3FB8-6B5D-4F11-967D-7F73CD449DC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N73:N73</xm:sqref>
        </x14:conditionalFormatting>
        <x14:conditionalFormatting xmlns:xm="http://schemas.microsoft.com/office/excel/2006/main">
          <x14:cfRule type="dataBar" id="{DA64DE80-110B-4F80-A2E2-CD750A92A73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BI12:BI12</xm:sqref>
        </x14:conditionalFormatting>
        <x14:conditionalFormatting xmlns:xm="http://schemas.microsoft.com/office/excel/2006/main">
          <x14:cfRule type="dataBar" id="{579C0047-6730-4107-AF0F-2C32196485F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M71:M71</xm:sqref>
        </x14:conditionalFormatting>
        <x14:conditionalFormatting xmlns:xm="http://schemas.microsoft.com/office/excel/2006/main">
          <x14:cfRule type="dataBar" id="{0F2912A4-CD7D-4C9F-89EC-E4A4089F4C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M93:M362</xm:sqref>
        </x14:conditionalFormatting>
        <x14:conditionalFormatting xmlns:xm="http://schemas.microsoft.com/office/excel/2006/main">
          <x14:cfRule type="dataBar" id="{988FE94E-74B4-4365-B53F-8DC8D561BB4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BI10:BI10</xm:sqref>
        </x14:conditionalFormatting>
        <x14:conditionalFormatting xmlns:xm="http://schemas.microsoft.com/office/excel/2006/main">
          <x14:cfRule type="dataBar" id="{57534CFB-CB82-4E7A-8724-D13214E028D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AM70:AM70</xm:sqref>
        </x14:conditionalFormatting>
        <x14:conditionalFormatting xmlns:xm="http://schemas.microsoft.com/office/excel/2006/main">
          <x14:cfRule type="dataBar" id="{EFC2BAE8-2197-46E2-ABEC-2F63E730E16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AL70:AL70</xm:sqref>
        </x14:conditionalFormatting>
        <x14:conditionalFormatting xmlns:xm="http://schemas.microsoft.com/office/excel/2006/main">
          <x14:cfRule type="dataBar" id="{69DCC05E-F20D-4822-9B8A-3E2B009CFA1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M74:M74</xm:sqref>
        </x14:conditionalFormatting>
        <x14:conditionalFormatting xmlns:xm="http://schemas.microsoft.com/office/excel/2006/main">
          <x14:cfRule type="dataBar" id="{0F20C984-DCA5-4B98-B7E2-0FC53943700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N72:N72</xm:sqref>
        </x14:conditionalFormatting>
        <x14:conditionalFormatting xmlns:xm="http://schemas.microsoft.com/office/excel/2006/main">
          <x14:cfRule type="dataBar" id="{C4C48D39-A160-441C-A03E-4D32CB18A5C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BI13:BI69</xm:sqref>
        </x14:conditionalFormatting>
        <x14:conditionalFormatting xmlns:xm="http://schemas.microsoft.com/office/excel/2006/main">
          <x14:cfRule type="dataBar" id="{AA45AE7F-D268-48A5-BDFF-F52AF99F327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AL71:AL71</xm:sqref>
        </x14:conditionalFormatting>
        <x14:conditionalFormatting xmlns:xm="http://schemas.microsoft.com/office/excel/2006/main">
          <x14:cfRule type="dataBar" id="{F3E89316-EDED-4D9A-A824-E61C499AF94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N1:N2</xm:sqref>
        </x14:conditionalFormatting>
        <x14:conditionalFormatting xmlns:xm="http://schemas.microsoft.com/office/excel/2006/main">
          <x14:cfRule type="dataBar" id="{A2C1ADC8-4989-475B-8C30-43528380F25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AR2:AR2</xm:sqref>
        </x14:conditionalFormatting>
        <x14:conditionalFormatting xmlns:xm="http://schemas.microsoft.com/office/excel/2006/main">
          <x14:cfRule type="dataBar" id="{A108BF4C-10AD-4373-A381-5A391CFDDD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BJ93:BJ362</xm:sqref>
        </x14:conditionalFormatting>
        <x14:conditionalFormatting xmlns:xm="http://schemas.microsoft.com/office/excel/2006/main">
          <x14:cfRule type="dataBar" id="{B56FBE85-3B29-4466-8EAC-63CAC3E897C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BJ9:BJ9</xm:sqref>
        </x14:conditionalFormatting>
        <x14:conditionalFormatting xmlns:xm="http://schemas.microsoft.com/office/excel/2006/main">
          <x14:cfRule type="dataBar" id="{0BDAD211-08A3-4EED-BC24-4DECF680C4A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BI70:BI70</xm:sqref>
        </x14:conditionalFormatting>
        <x14:conditionalFormatting xmlns:xm="http://schemas.microsoft.com/office/excel/2006/main">
          <x14:cfRule type="dataBar" id="{78AB42A8-6F5B-4980-AAED-9D8A014A75D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BJ1:BJ362</xm:sqref>
        </x14:conditionalFormatting>
        <x14:conditionalFormatting xmlns:xm="http://schemas.microsoft.com/office/excel/2006/main">
          <x14:cfRule type="dataBar" id="{6A143C35-95A1-4792-9CBD-AE83CF72A3E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BI4:BI4</xm:sqref>
        </x14:conditionalFormatting>
        <x14:conditionalFormatting xmlns:xm="http://schemas.microsoft.com/office/excel/2006/main">
          <x14:cfRule type="dataBar" id="{09B9258F-24C1-4EAC-A070-B6E6D9990B8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AS2:AS2</xm:sqref>
        </x14:conditionalFormatting>
        <x14:conditionalFormatting xmlns:xm="http://schemas.microsoft.com/office/excel/2006/main">
          <x14:cfRule type="dataBar" id="{7D4F01D2-52C8-4E78-B7A1-3CA5F9B9C46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BI8:BI8</xm:sqref>
        </x14:conditionalFormatting>
        <x14:conditionalFormatting xmlns:xm="http://schemas.microsoft.com/office/excel/2006/main">
          <x14:cfRule type="dataBar" id="{369DB11A-778C-4F91-A39E-0915A9F98D4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AL71:AL71</xm:sqref>
        </x14:conditionalFormatting>
        <x14:conditionalFormatting xmlns:xm="http://schemas.microsoft.com/office/excel/2006/main">
          <x14:cfRule type="dataBar" id="{7340C08A-9FD4-4FF2-B15F-48BBD376AE7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BI93:BI362</xm:sqref>
        </x14:conditionalFormatting>
        <x14:conditionalFormatting xmlns:xm="http://schemas.microsoft.com/office/excel/2006/main">
          <x14:cfRule type="dataBar" id="{EDFDA6DC-56E7-45B0-8D78-2B703124CB6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0534E90C-6A9A-4812-9A5B-3DFCB5C841F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BJ10:BJ10</xm:sqref>
        </x14:conditionalFormatting>
        <x14:conditionalFormatting xmlns:xm="http://schemas.microsoft.com/office/excel/2006/main">
          <x14:cfRule type="dataBar" id="{2793E0C6-19A8-457F-8AF3-5E16D7F39BD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AL73:AL73</xm:sqref>
        </x14:conditionalFormatting>
        <x14:conditionalFormatting xmlns:xm="http://schemas.microsoft.com/office/excel/2006/main">
          <x14:cfRule type="dataBar" id="{19A08A62-3311-434E-AA73-34AC5244E48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BJ70:BJ70</xm:sqref>
        </x14:conditionalFormatting>
        <x14:conditionalFormatting xmlns:xm="http://schemas.microsoft.com/office/excel/2006/main">
          <x14:cfRule type="dataBar" id="{0849A31B-5F46-462D-8CD8-82AF9DB6F32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6300DCEF-F578-4C9C-9E0D-9EA15973F01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BJ75:BJ92</xm:sqref>
        </x14:conditionalFormatting>
        <x14:conditionalFormatting xmlns:xm="http://schemas.microsoft.com/office/excel/2006/main">
          <x14:cfRule type="dataBar" id="{A5A54470-AD2A-4D02-A26D-FE0872C18E1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N3:N69</xm:sqref>
        </x14:conditionalFormatting>
        <x14:conditionalFormatting xmlns:xm="http://schemas.microsoft.com/office/excel/2006/main">
          <x14:cfRule type="dataBar" id="{21EB173C-B1F3-4A80-BFB9-A71A15E42BA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BI7:BI7</xm:sqref>
        </x14:conditionalFormatting>
        <x14:conditionalFormatting xmlns:xm="http://schemas.microsoft.com/office/excel/2006/main">
          <x14:cfRule type="dataBar" id="{B13F6BC1-B924-43E0-910D-1327DBC6177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AL3:AL69</xm:sqref>
        </x14:conditionalFormatting>
        <x14:conditionalFormatting xmlns:xm="http://schemas.microsoft.com/office/excel/2006/main">
          <x14:cfRule type="dataBar" id="{4D3936D3-D57E-4387-B587-6DBEA2E0A53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AM74:AM74</xm:sqref>
        </x14:conditionalFormatting>
        <x14:conditionalFormatting xmlns:xm="http://schemas.microsoft.com/office/excel/2006/main">
          <x14:cfRule type="dataBar" id="{3BA0A4F9-80D2-4E2B-899A-F13E0C72326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AM93:AM161</xm:sqref>
        </x14:conditionalFormatting>
        <x14:conditionalFormatting xmlns:xm="http://schemas.microsoft.com/office/excel/2006/main">
          <x14:cfRule type="dataBar" id="{CE836B36-2F8F-4EC8-A106-38460E4A1DE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BJ72:BJ72</xm:sqref>
        </x14:conditionalFormatting>
        <x14:conditionalFormatting xmlns:xm="http://schemas.microsoft.com/office/excel/2006/main">
          <x14:cfRule type="dataBar" id="{F35CC859-9FCE-4049-9E35-52E09FB582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M73:M73</xm:sqref>
        </x14:conditionalFormatting>
        <x14:conditionalFormatting xmlns:xm="http://schemas.microsoft.com/office/excel/2006/main">
          <x14:cfRule type="dataBar" id="{373770C6-B773-4AFE-86A5-FEA4F63C66C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2678419B-5C18-4CD7-8A41-80A681289BD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M3:M69</xm:sqref>
        </x14:conditionalFormatting>
        <x14:conditionalFormatting xmlns:xm="http://schemas.microsoft.com/office/excel/2006/main">
          <x14:cfRule type="dataBar" id="{1E60BA30-8891-4648-9FDA-21C6481C9BF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AL75:AL92</xm:sqref>
        </x14:conditionalFormatting>
        <x14:conditionalFormatting xmlns:xm="http://schemas.microsoft.com/office/excel/2006/main">
          <x14:cfRule type="dataBar" id="{728E724B-7EF4-40A6-B80F-1023FA2DFE8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BI74:BI74</xm:sqref>
        </x14:conditionalFormatting>
        <x14:conditionalFormatting xmlns:xm="http://schemas.microsoft.com/office/excel/2006/main">
          <x14:cfRule type="dataBar" id="{73900378-116C-4507-94A1-1979593C119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M1:M2</xm:sqref>
        </x14:conditionalFormatting>
        <x14:conditionalFormatting xmlns:xm="http://schemas.microsoft.com/office/excel/2006/main">
          <x14:cfRule type="dataBar" id="{ADC6B3D8-3248-4C54-8AC4-891B0EADA29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BJ3:BJ3</xm:sqref>
        </x14:conditionalFormatting>
        <x14:conditionalFormatting xmlns:xm="http://schemas.microsoft.com/office/excel/2006/main">
          <x14:cfRule type="dataBar" id="{1FA043F1-1868-482B-8962-F5FF81865CD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AS2:AS2</xm:sqref>
        </x14:conditionalFormatting>
        <x14:conditionalFormatting xmlns:xm="http://schemas.microsoft.com/office/excel/2006/main">
          <x14:cfRule type="dataBar" id="{1F27C49E-8C51-4648-8B93-A7B1293FE8F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BJ8:BJ8</xm:sqref>
        </x14:conditionalFormatting>
        <x14:conditionalFormatting xmlns:xm="http://schemas.microsoft.com/office/excel/2006/main">
          <x14:cfRule type="dataBar" id="{F65F8326-8C1C-4D62-BC89-8AAE90B6DD8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Q1:R2 T1:T1</xm:sqref>
        </x14:conditionalFormatting>
        <x14:conditionalFormatting xmlns:xm="http://schemas.microsoft.com/office/excel/2006/main">
          <x14:cfRule type="dataBar" id="{C6D321B7-0162-4394-B7EC-1B8BC54BC52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AS2:AS2</xm:sqref>
        </x14:conditionalFormatting>
        <x14:conditionalFormatting xmlns:xm="http://schemas.microsoft.com/office/excel/2006/main">
          <x14:cfRule type="dataBar" id="{472DA58A-D14F-4348-B676-CD45BF06083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M75:M92</xm:sqref>
        </x14:conditionalFormatting>
        <x14:conditionalFormatting xmlns:xm="http://schemas.microsoft.com/office/excel/2006/main">
          <x14:cfRule type="dataBar" id="{052ECC95-E75F-4526-8FAC-9422B9C1AA6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BI75:BI92</xm:sqref>
        </x14:conditionalFormatting>
        <x14:conditionalFormatting xmlns:xm="http://schemas.microsoft.com/office/excel/2006/main">
          <x14:cfRule type="dataBar" id="{621029DC-9C67-415F-8482-BD70F12941B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N74:N74</xm:sqref>
        </x14:conditionalFormatting>
        <x14:conditionalFormatting xmlns:xm="http://schemas.microsoft.com/office/excel/2006/main">
          <x14:cfRule type="dataBar" id="{1E25F131-FD67-4755-BC86-1EEBEF1E23E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BI6:BI6</xm:sqref>
        </x14:conditionalFormatting>
        <x14:conditionalFormatting xmlns:xm="http://schemas.microsoft.com/office/excel/2006/main">
          <x14:cfRule type="dataBar" id="{A604C938-6D22-4C98-9244-B22B3AB8D0D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AL74:AL74</xm:sqref>
        </x14:conditionalFormatting>
        <x14:conditionalFormatting xmlns:xm="http://schemas.microsoft.com/office/excel/2006/main">
          <x14:cfRule type="dataBar" id="{051FF083-5BB1-4F75-99AE-6C630A97CE1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M72:M72</xm:sqref>
        </x14:conditionalFormatting>
        <x14:conditionalFormatting xmlns:xm="http://schemas.microsoft.com/office/excel/2006/main">
          <x14:cfRule type="dataBar" id="{386CE5C6-9D6C-4249-9672-F0BDA518014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BJ71:BJ71</xm:sqref>
        </x14:conditionalFormatting>
        <x14:conditionalFormatting xmlns:xm="http://schemas.microsoft.com/office/excel/2006/main">
          <x14:cfRule type="dataBar" id="{230DEEDC-5642-4DBB-AD3A-65A2C800528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BJ13:BJ69</xm:sqref>
        </x14:conditionalFormatting>
        <x14:conditionalFormatting xmlns:xm="http://schemas.microsoft.com/office/excel/2006/main">
          <x14:cfRule type="dataBar" id="{3D954C5B-DED4-4083-B456-DC741A5854F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AR2:AR2</xm:sqref>
        </x14:conditionalFormatting>
        <x14:conditionalFormatting xmlns:xm="http://schemas.microsoft.com/office/excel/2006/main">
          <x14:cfRule type="dataBar" id="{343BD7BF-A7D6-49EA-9796-A78E1F9EE8A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AM71:AM71</xm:sqref>
        </x14:conditionalFormatting>
        <x14:conditionalFormatting xmlns:xm="http://schemas.microsoft.com/office/excel/2006/main">
          <x14:cfRule type="dataBar" id="{0A7F80E5-347F-4D0F-93EC-E6FA67A99F4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BI11:BI11</xm:sqref>
        </x14:conditionalFormatting>
        <x14:conditionalFormatting xmlns:xm="http://schemas.microsoft.com/office/excel/2006/main">
          <x14:cfRule type="dataBar" id="{038B1014-469C-43B5-BE2A-595A3E76772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AM75:AM92</xm:sqref>
        </x14:conditionalFormatting>
        <x14:conditionalFormatting xmlns:xm="http://schemas.microsoft.com/office/excel/2006/main">
          <x14:cfRule type="dataBar" id="{C4C72580-2B4A-4C1A-BF75-C1D449A2665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BI1:BI362</xm:sqref>
        </x14:conditionalFormatting>
        <x14:conditionalFormatting xmlns:xm="http://schemas.microsoft.com/office/excel/2006/main">
          <x14:cfRule type="dataBar" id="{8E8A86E2-83D5-4D68-ABC3-7ED70832937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88B378E6-0D0D-46EE-BA80-16733EE2550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BJ5:BJ5</xm:sqref>
        </x14:conditionalFormatting>
        <x14:conditionalFormatting xmlns:xm="http://schemas.microsoft.com/office/excel/2006/main">
          <x14:cfRule type="dataBar" id="{12059573-E1DA-44BA-BFB0-6B50ACA07B1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AL93:AL362 AM162:AM362</xm:sqref>
        </x14:conditionalFormatting>
        <x14:conditionalFormatting xmlns:xm="http://schemas.microsoft.com/office/excel/2006/main">
          <x14:cfRule type="dataBar" id="{5BD62456-3369-49A5-8088-955C7BF960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BJ74:BJ74</xm:sqref>
        </x14:conditionalFormatting>
        <x14:conditionalFormatting xmlns:xm="http://schemas.microsoft.com/office/excel/2006/main">
          <x14:cfRule type="dataBar" id="{B392CD8F-AAB9-4123-A86E-EC5D3FD1B7F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BJ11:BJ11</xm:sqref>
        </x14:conditionalFormatting>
        <x14:conditionalFormatting xmlns:xm="http://schemas.microsoft.com/office/excel/2006/main">
          <x14:cfRule type="dataBar" id="{79D978DF-869E-4C59-BD63-BA8E75317F5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AM72:AM72</xm:sqref>
        </x14:conditionalFormatting>
        <x14:conditionalFormatting xmlns:xm="http://schemas.microsoft.com/office/excel/2006/main">
          <x14:cfRule type="dataBar" id="{7C69B5C7-A7E8-441D-81D5-929240B22B8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AL75:AL92</xm:sqref>
        </x14:conditionalFormatting>
        <x14:conditionalFormatting xmlns:xm="http://schemas.microsoft.com/office/excel/2006/main">
          <x14:cfRule type="dataBar" id="{BE81D172-9D78-496D-A0BE-0CC2B3A5828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AS2:AS2</xm:sqref>
        </x14:conditionalFormatting>
        <x14:conditionalFormatting xmlns:xm="http://schemas.microsoft.com/office/excel/2006/main">
          <x14:cfRule type="dataBar" id="{02E21B91-A288-447A-BC56-FC8EC71BAD4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AL73:AL73</xm:sqref>
        </x14:conditionalFormatting>
        <x14:conditionalFormatting xmlns:xm="http://schemas.microsoft.com/office/excel/2006/main">
          <x14:cfRule type="dataBar" id="{7A8E7216-684C-4300-B99B-79DF3D444DD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9DFDF994-4EFC-4326-B320-67BC0FE4F4F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N75:N92</xm:sqref>
        </x14:conditionalFormatting>
        <x14:conditionalFormatting xmlns:xm="http://schemas.microsoft.com/office/excel/2006/main">
          <x14:cfRule type="dataBar" id="{21B2F402-6330-436D-84FF-4D741039FC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BJ4:BJ4</xm:sqref>
        </x14:conditionalFormatting>
        <x14:conditionalFormatting xmlns:xm="http://schemas.microsoft.com/office/excel/2006/main">
          <x14:cfRule type="dataBar" id="{6B9006E9-A937-41F6-AE37-F5F76180B09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AL70:AL70</xm:sqref>
        </x14:conditionalFormatting>
        <x14:conditionalFormatting xmlns:xm="http://schemas.microsoft.com/office/excel/2006/main">
          <x14:cfRule type="dataBar" id="{CD8FD92D-FC54-443A-83E7-4097DD48926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AL93:AL362 AM162:AM362</xm:sqref>
        </x14:conditionalFormatting>
        <x14:conditionalFormatting xmlns:xm="http://schemas.microsoft.com/office/excel/2006/main">
          <x14:cfRule type="dataBar" id="{D17233D0-DD51-4C30-884F-88339D58D57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AL72:AL72</xm:sqref>
        </x14:conditionalFormatting>
        <x14:conditionalFormatting xmlns:xm="http://schemas.microsoft.com/office/excel/2006/main">
          <x14:cfRule type="dataBar" id="{7AAC130B-0522-4938-80BE-0A08EAFCE68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BJ7:BJ7</xm:sqref>
        </x14:conditionalFormatting>
        <x14:conditionalFormatting xmlns:xm="http://schemas.microsoft.com/office/excel/2006/main">
          <x14:cfRule type="dataBar" id="{4D88164E-FD65-465E-A49B-7FFC2C72509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M70:M70</xm:sqref>
        </x14:conditionalFormatting>
        <x14:conditionalFormatting xmlns:xm="http://schemas.microsoft.com/office/excel/2006/main">
          <x14:cfRule type="dataBar" id="{7E24EE6B-69A9-4C73-90AF-000FC09A69A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BI5:BI5</xm:sqref>
        </x14:conditionalFormatting>
        <x14:conditionalFormatting xmlns:xm="http://schemas.microsoft.com/office/excel/2006/main">
          <x14:cfRule type="dataBar" id="{391212FB-9C0B-46A9-B5F6-F6433BA4EDB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AR2:AR2</xm:sqref>
        </x14:conditionalFormatting>
        <x14:conditionalFormatting xmlns:xm="http://schemas.microsoft.com/office/excel/2006/main">
          <x14:cfRule type="dataBar" id="{6DB4B7F1-A181-4DE6-8586-34517D8F23C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99816D3D-6B11-484E-854A-8E14135FF31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AL74:AL74</xm:sqref>
        </x14:conditionalFormatting>
        <x14:conditionalFormatting xmlns:xm="http://schemas.microsoft.com/office/excel/2006/main">
          <x14:cfRule type="dataBar" id="{2D733ECB-7098-4E0E-BEAE-CE771983438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AS2:AS2</xm:sqref>
        </x14:conditionalFormatting>
        <x14:conditionalFormatting xmlns:xm="http://schemas.microsoft.com/office/excel/2006/main">
          <x14:cfRule type="dataBar" id="{FC8A5FA8-59DE-4188-9A50-AAB1E7BE53F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AM73:AM73</xm:sqref>
        </x14:conditionalFormatting>
      </x14:conditionalFormatting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>
      <pane state="frozen" topLeftCell="E3" xSplit="4" ySplit="2"/>
    </sheetView>
  </sheetViews>
  <sheetFormatPr defaultRowHeight="16"/>
  <cols>
    <col collapsed="false" customWidth="true" hidden="false" max="42" min="42" style="0" width="12.333333333333334"/>
    <col collapsed="false" customWidth="true" hidden="false" max="57" min="57" style="0" width="12.333333333333334"/>
    <col collapsed="false" customWidth="true" hidden="false" max="9" min="9" style="0" width="12.333333333333334"/>
    <col collapsed="false" customWidth="true" hidden="false" max="25" min="25" style="0" width="10.733333333333333"/>
    <col collapsed="false" customWidth="true" hidden="false" max="41" min="41" style="0" width="12.333333333333334"/>
    <col collapsed="false" customWidth="true" hidden="false" max="60" min="60" style="0" width="12.333333333333334"/>
    <col collapsed="false" customWidth="true" hidden="false" max="12" min="12" style="0" width="9"/>
    <col collapsed="false" customWidth="true" hidden="false" max="28" min="28" style="0" width="10.733333333333333"/>
    <col collapsed="false" customWidth="true" hidden="false" max="44" min="44" style="0" width="12.333333333333334"/>
    <col collapsed="false" customWidth="true" hidden="false" max="59" min="59" style="0" width="12.333333333333334"/>
    <col collapsed="false" customWidth="true" hidden="false" max="11" min="11" style="0" width="9"/>
    <col collapsed="false" customWidth="true" hidden="false" max="27" min="27" style="0" width="10.733333333333333"/>
    <col collapsed="false" customWidth="true" hidden="false" max="43" min="43" style="0" width="12.333333333333334"/>
    <col collapsed="false" customWidth="true" hidden="false" max="6" min="6" style="0" width="9"/>
    <col collapsed="false" customWidth="true" hidden="false" max="22" min="22" style="0" width="10.733333333333333"/>
    <col collapsed="false" customWidth="true" hidden="false" max="38" min="38" style="0" width="10.733333333333333"/>
    <col collapsed="false" customWidth="true" hidden="false" max="54" min="54" style="0" width="12.333333333333334"/>
    <col collapsed="false" customWidth="true" hidden="false" max="5" min="5" style="0" width="9"/>
    <col collapsed="false" customWidth="true" hidden="false" max="21" min="21" style="0" width="9"/>
    <col collapsed="false" customWidth="true" hidden="false" max="37" min="37" style="0" width="10.733333333333333"/>
    <col collapsed="false" customWidth="true" hidden="false" max="53" min="53" style="0" width="14.066666666666666"/>
    <col collapsed="false" customWidth="true" hidden="false" max="8" min="8" style="0" width="12.333333333333334"/>
    <col collapsed="false" customWidth="true" hidden="false" max="24" min="24" style="0" width="14.066666666666666"/>
    <col collapsed="false" customWidth="true" hidden="false" max="40" min="40" style="0" width="10.733333333333333"/>
    <col collapsed="false" customWidth="true" hidden="false" max="55" min="55" style="0" width="12.333333333333334"/>
    <col collapsed="false" customWidth="true" hidden="false" max="56" min="56" style="0" width="12.333333333333334"/>
    <col collapsed="false" customWidth="true" hidden="false" max="7" min="7" style="0" width="9"/>
    <col collapsed="false" customWidth="true" hidden="false" max="23" min="23" style="0" width="10.733333333333333"/>
    <col collapsed="false" customWidth="true" hidden="false" max="39" min="39" style="0" width="10.733333333333333"/>
    <col collapsed="false" customWidth="true" hidden="false" max="50" min="50" style="0" width="15.8"/>
    <col collapsed="false" customWidth="true" hidden="false" max="2" min="2" style="0" width="10.733333333333333"/>
    <col collapsed="false" customWidth="true" hidden="false" max="18" min="18" style="0" width="12.333333333333334"/>
    <col collapsed="false" customWidth="true" hidden="false" max="34" min="34" style="0" width="10.733333333333333"/>
    <col collapsed="false" customWidth="true" hidden="false" max="49" min="49" style="0" width="15.8"/>
    <col collapsed="false" customWidth="true" hidden="false" max="1" min="1" style="0" width="14.066666666666666"/>
    <col collapsed="false" customWidth="true" hidden="false" max="17" min="17" style="0" width="12.333333333333334"/>
    <col collapsed="false" customWidth="true" hidden="false" max="33" min="33" style="0" width="10.733333333333333"/>
    <col collapsed="false" customWidth="true" hidden="false" max="52" min="52" style="0" width="15.8"/>
    <col collapsed="false" customWidth="true" hidden="false" max="4" min="4" style="0" width="12.333333333333334"/>
    <col collapsed="false" customWidth="true" hidden="false" max="20" min="20" style="0" width="12.333333333333334"/>
    <col collapsed="false" customWidth="true" hidden="false" max="36" min="36" style="0" width="10.733333333333333"/>
    <col collapsed="false" customWidth="true" hidden="false" max="51" min="51" style="0" width="12.333333333333334"/>
    <col collapsed="false" customWidth="true" hidden="false" max="3" min="3" style="0" width="49.53333333333333"/>
    <col collapsed="false" customWidth="true" hidden="false" max="19" min="19" style="0" width="12.333333333333334"/>
    <col collapsed="false" customWidth="true" hidden="false" max="35" min="35" style="0" width="10.733333333333333"/>
    <col collapsed="false" customWidth="true" hidden="false" max="62" min="62" style="0" width="12.333333333333334"/>
    <col collapsed="false" customWidth="true" hidden="false" max="14" min="14" style="0" width="12.333333333333334"/>
    <col collapsed="false" customWidth="true" hidden="false" max="30" min="30" style="0" width="10.733333333333333"/>
    <col collapsed="false" customWidth="true" hidden="false" max="46" min="46" style="0" width="14.066666666666666"/>
    <col collapsed="false" customWidth="true" hidden="false" max="61" min="61" style="0" width="15.8"/>
    <col collapsed="false" customWidth="true" hidden="false" max="13" min="13" style="0" width="9"/>
    <col collapsed="false" customWidth="true" hidden="false" max="29" min="29" style="0" width="10.733333333333333"/>
    <col collapsed="false" customWidth="true" hidden="false" max="45" min="45" style="0" width="12.333333333333334"/>
    <col collapsed="false" customWidth="true" hidden="false" max="64" min="64" style="0" width="83.26666666666667"/>
    <col collapsed="false" customWidth="true" hidden="false" max="16" min="16" style="0" width="10.733333333333333"/>
    <col collapsed="false" customWidth="true" hidden="false" max="32" min="32" style="0" width="10.733333333333333"/>
    <col collapsed="false" customWidth="true" hidden="false" max="48" min="48" style="0" width="15.8"/>
    <col collapsed="false" customWidth="true" hidden="false" max="63" min="63" style="0" width="12.333333333333334"/>
    <col collapsed="false" customWidth="true" hidden="false" max="15" min="15" style="0" width="12.333333333333334"/>
    <col collapsed="false" customWidth="true" hidden="false" max="31" min="31" style="0" width="10.733333333333333"/>
    <col collapsed="false" customWidth="true" hidden="false" max="47" min="47" style="0" width="14.066666666666666"/>
    <col collapsed="false" customWidth="true" hidden="false" max="58" min="58" style="0" width="12.333333333333334"/>
    <col collapsed="false" customWidth="true" hidden="false" max="10" min="10" style="0" width="17.4"/>
    <col collapsed="false" customWidth="true" hidden="false" max="26" min="26" style="0" width="10.733333333333333"/>
  </cols>
  <sheetData>
    <row customHeight="true" ht="22.22222222222222" r="1">
      <c r="A1" s="97" t="s">
        <v>81</v>
      </c>
      <c r="B1" s="98" t="s">
        <v>82</v>
      </c>
      <c r="C1" s="99" t="s">
        <v>83</v>
      </c>
      <c r="D1" s="100" t="s">
        <v>84</v>
      </c>
      <c r="E1" s="101" t="s">
        <v>85</v>
      </c>
      <c r="F1" s="101" t="s">
        <v>86</v>
      </c>
      <c r="G1" s="100" t="s">
        <v>87</v>
      </c>
      <c r="H1" s="100" t="s">
        <v>88</v>
      </c>
      <c r="I1" s="102" t="s">
        <v>89</v>
      </c>
      <c r="J1" s="103" t="s">
        <v>90</v>
      </c>
      <c r="K1" s="100" t="s">
        <v>91</v>
      </c>
      <c r="L1" s="100" t="s">
        <v>92</v>
      </c>
      <c r="M1" s="104" t="s">
        <v>93</v>
      </c>
      <c r="N1" s="105" t="s">
        <v>94</v>
      </c>
      <c r="O1" s="106" t="s">
        <v>95</v>
      </c>
      <c r="P1" s="106" t="s">
        <v>96</v>
      </c>
      <c r="Q1" s="100" t="s">
        <v>97</v>
      </c>
      <c r="R1" s="107" t="s">
        <v>98</v>
      </c>
      <c r="S1" s="107" t="s">
        <v>99</v>
      </c>
      <c r="T1" s="108" t="s">
        <v>100</v>
      </c>
      <c r="U1" s="108" t="s">
        <v>101</v>
      </c>
      <c r="V1" s="109" t="s">
        <v>102</v>
      </c>
      <c r="W1" s="108" t="s">
        <v>103</v>
      </c>
      <c r="X1" s="110" t="s">
        <v>104</v>
      </c>
      <c r="Y1" s="100" t="s">
        <v>105</v>
      </c>
      <c r="Z1" s="100"/>
      <c r="AA1" s="100"/>
      <c r="AB1" s="100"/>
      <c r="AC1" s="111" t="s">
        <v>106</v>
      </c>
      <c r="AD1" s="112" t="s">
        <v>107</v>
      </c>
      <c r="AE1" s="113" t="s">
        <v>108</v>
      </c>
      <c r="AF1" s="112" t="s">
        <v>109</v>
      </c>
      <c r="AG1" s="112" t="s">
        <v>110</v>
      </c>
      <c r="AH1" s="114" t="s">
        <v>111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5"/>
      <c r="AU1" s="116" t="s">
        <v>112</v>
      </c>
      <c r="AV1" s="116"/>
      <c r="AW1" s="116"/>
      <c r="AX1" s="116"/>
      <c r="AY1" s="116"/>
      <c r="AZ1" s="116"/>
      <c r="BA1" s="116"/>
      <c r="BB1" s="117" t="s">
        <v>113</v>
      </c>
      <c r="BC1" s="117"/>
      <c r="BD1" s="117"/>
      <c r="BE1" s="117"/>
      <c r="BF1" s="117"/>
      <c r="BG1" s="118"/>
      <c r="BH1" s="119" t="s">
        <v>114</v>
      </c>
      <c r="BI1" s="120"/>
      <c r="BJ1" s="119"/>
      <c r="BK1" s="119"/>
      <c r="BL1" s="120"/>
    </row>
    <row customHeight="true" ht="32.59259259259259" r="2">
      <c r="A2" s="97"/>
      <c r="B2" s="98"/>
      <c r="C2" s="99"/>
      <c r="D2" s="100"/>
      <c r="E2" s="101"/>
      <c r="F2" s="101"/>
      <c r="G2" s="100"/>
      <c r="H2" s="100"/>
      <c r="I2" s="102"/>
      <c r="J2" s="103"/>
      <c r="K2" s="100"/>
      <c r="L2" s="100"/>
      <c r="M2" s="104"/>
      <c r="N2" s="105"/>
      <c r="O2" s="106"/>
      <c r="P2" s="106"/>
      <c r="Q2" s="100"/>
      <c r="R2" s="121"/>
      <c r="S2" s="121"/>
      <c r="T2" s="108"/>
      <c r="U2" s="108"/>
      <c r="V2" s="109"/>
      <c r="W2" s="108"/>
      <c r="X2" s="110"/>
      <c r="Y2" s="100"/>
      <c r="Z2" s="100"/>
      <c r="AA2" s="100"/>
      <c r="AB2" s="100"/>
      <c r="AC2" s="111"/>
      <c r="AD2" s="112"/>
      <c r="AE2" s="113"/>
      <c r="AF2" s="112"/>
      <c r="AG2" s="112"/>
      <c r="AH2" s="122" t="s">
        <v>115</v>
      </c>
      <c r="AI2" s="122" t="s">
        <v>116</v>
      </c>
      <c r="AJ2" s="123" t="s">
        <v>117</v>
      </c>
      <c r="AK2" s="122" t="s">
        <v>118</v>
      </c>
      <c r="AL2" s="124" t="s">
        <v>119</v>
      </c>
      <c r="AM2" s="123" t="s">
        <v>120</v>
      </c>
      <c r="AN2" s="125" t="s">
        <v>121</v>
      </c>
      <c r="AO2" s="125" t="s">
        <v>122</v>
      </c>
      <c r="AP2" s="122" t="s">
        <v>123</v>
      </c>
      <c r="AQ2" s="125" t="s">
        <v>124</v>
      </c>
      <c r="AR2" s="126" t="s">
        <v>125</v>
      </c>
      <c r="AS2" s="127" t="s">
        <v>126</v>
      </c>
      <c r="AT2" s="128" t="s">
        <v>127</v>
      </c>
      <c r="AU2" s="129" t="s">
        <v>128</v>
      </c>
      <c r="AV2" s="130" t="s">
        <v>129</v>
      </c>
      <c r="AW2" s="131" t="s">
        <v>130</v>
      </c>
      <c r="AX2" s="132" t="s">
        <v>131</v>
      </c>
      <c r="AY2" s="133" t="s">
        <v>132</v>
      </c>
      <c r="AZ2" s="134" t="s">
        <v>133</v>
      </c>
      <c r="BA2" s="135" t="s">
        <v>134</v>
      </c>
      <c r="BB2" s="136" t="s">
        <v>135</v>
      </c>
      <c r="BC2" s="137" t="s">
        <v>136</v>
      </c>
      <c r="BD2" s="138" t="s">
        <v>137</v>
      </c>
      <c r="BE2" s="139" t="s">
        <v>138</v>
      </c>
      <c r="BF2" s="140" t="s">
        <v>139</v>
      </c>
      <c r="BG2" s="141" t="s">
        <v>140</v>
      </c>
      <c r="BH2" s="142" t="s">
        <v>141</v>
      </c>
      <c r="BI2" s="143" t="s">
        <v>142</v>
      </c>
      <c r="BJ2" s="144" t="s">
        <v>143</v>
      </c>
      <c r="BK2" s="144" t="s">
        <v>144</v>
      </c>
      <c r="BL2" s="143" t="s">
        <v>145</v>
      </c>
    </row>
    <row customHeight="true" ht="13.333333333333332" r="3">
      <c r="A3" s="145">
        <v>45992</v>
      </c>
      <c r="B3" s="146" t="s">
        <v>146</v>
      </c>
      <c r="C3" s="147"/>
      <c r="D3" s="146">
        <v>59.99</v>
      </c>
      <c r="E3" s="148">
        <v>0</v>
      </c>
      <c r="F3" s="148">
        <v>0</v>
      </c>
      <c r="G3" s="148">
        <v>0</v>
      </c>
      <c r="H3" s="149">
        <f t="shared" ref="H3:H47" si="7">D3*(1-F3)*(1-G3)</f>
      </c>
      <c r="I3" s="148" t="s">
        <v>147</v>
      </c>
      <c r="J3" s="150" t="s">
        <v>147</v>
      </c>
      <c r="K3" s="146">
        <f>'法国ERP数据'!BC2</f>
      </c>
      <c r="L3" s="146">
        <f>'法国ERP数据'!BA2</f>
      </c>
      <c r="M3" s="146">
        <f t="shared" ref="M3:M47" si="10">K3+L3</f>
      </c>
      <c r="N3" s="148">
        <f t="shared" ref="N3:N47" si="8">IFERROR(Q3/M3,0)</f>
      </c>
      <c r="O3" s="151">
        <f t="shared" ref="O3:O47" si="4">P3-AK3</f>
      </c>
      <c r="P3" s="151">
        <f t="shared" ref="P3:P47" si="1">Q3-U3-BC3</f>
      </c>
      <c r="Q3" s="146">
        <f>'法国ERP数据'!R2</f>
      </c>
      <c r="R3" s="146"/>
      <c r="S3" s="146">
        <f>'法国ERP数据'!Z2</f>
      </c>
      <c r="T3" s="146">
        <v>0</v>
      </c>
      <c r="U3" s="146">
        <v>0</v>
      </c>
      <c r="V3" s="148">
        <v>0</v>
      </c>
      <c r="W3" s="146">
        <v>0</v>
      </c>
      <c r="X3" s="150">
        <v>0</v>
      </c>
      <c r="Y3" s="146"/>
      <c r="Z3" s="146"/>
      <c r="AA3" s="146"/>
      <c r="AB3" s="146"/>
      <c r="AC3" s="146">
        <v>8</v>
      </c>
      <c r="AD3" s="152"/>
      <c r="AE3" s="147"/>
      <c r="AF3" s="146">
        <v>0</v>
      </c>
      <c r="AG3" s="146">
        <v>0</v>
      </c>
      <c r="AH3" s="153">
        <v>0</v>
      </c>
      <c r="AI3" s="146">
        <v>0</v>
      </c>
      <c r="AJ3" s="154">
        <f t="shared" ref="AJ3:AJ47" si="5">AI3/AH3</f>
      </c>
      <c r="AK3" s="146">
        <v>0</v>
      </c>
      <c r="AL3" s="155">
        <f t="shared" ref="AL3:AL47" si="2">AP3/AI3</f>
      </c>
      <c r="AM3" s="156">
        <f t="shared" ref="AM3:AM47" si="11">AP3/AS3</f>
      </c>
      <c r="AN3" s="148">
        <f t="shared" ref="AN3:AN47" si="6">AK3/AI3</f>
      </c>
      <c r="AO3" s="157">
        <f t="shared" ref="AO3:AO47" si="3">AK3/P3</f>
      </c>
      <c r="AP3" s="155">
        <v>0</v>
      </c>
      <c r="AQ3" s="148">
        <f t="shared" ref="AQ3:AQ47" si="0">AP3/W3</f>
      </c>
      <c r="AR3" s="151">
        <f t="shared" ref="AR3:AR47" si="9">AP3/AK3</f>
      </c>
      <c r="AS3" s="151">
        <v>0</v>
      </c>
      <c r="AT3" s="154"/>
      <c r="AU3" s="158"/>
      <c r="AV3" s="158"/>
      <c r="AW3" s="159"/>
      <c r="AX3" s="154"/>
      <c r="AY3" s="151"/>
      <c r="AZ3" s="151"/>
      <c r="BA3" s="151"/>
      <c r="BB3" s="150"/>
      <c r="BC3" s="160"/>
      <c r="BD3" s="146"/>
      <c r="BE3" s="154"/>
      <c r="BF3" s="146"/>
      <c r="BG3" s="157"/>
      <c r="BH3" s="146"/>
      <c r="BI3" s="147"/>
      <c r="BJ3" s="146"/>
      <c r="BK3" s="161"/>
      <c r="BL3" s="162"/>
    </row>
    <row customHeight="true" ht="13.333333333333332" r="4">
      <c r="A4" s="145">
        <v>45993</v>
      </c>
      <c r="B4" s="146" t="s">
        <v>148</v>
      </c>
      <c r="C4" s="147"/>
      <c r="D4" s="146">
        <v>59.99</v>
      </c>
      <c r="E4" s="148">
        <v>0</v>
      </c>
      <c r="F4" s="148">
        <v>0</v>
      </c>
      <c r="G4" s="148">
        <v>0</v>
      </c>
      <c r="H4" s="149">
        <f t="shared" si="7"/>
      </c>
      <c r="I4" s="148" t="s">
        <v>147</v>
      </c>
      <c r="J4" s="150" t="s">
        <v>147</v>
      </c>
      <c r="K4" s="146">
        <f>'法国ERP数据'!BC3</f>
      </c>
      <c r="L4" s="146">
        <f>'法国ERP数据'!BA3</f>
      </c>
      <c r="M4" s="146">
        <f t="shared" si="10"/>
      </c>
      <c r="N4" s="148">
        <f t="shared" si="8"/>
      </c>
      <c r="O4" s="151">
        <f t="shared" si="4"/>
      </c>
      <c r="P4" s="151">
        <f t="shared" si="1"/>
      </c>
      <c r="Q4" s="146">
        <f>'法国ERP数据'!R3</f>
      </c>
      <c r="R4" s="146"/>
      <c r="S4" s="146">
        <f>'法国ERP数据'!Z3</f>
      </c>
      <c r="T4" s="146">
        <v>0</v>
      </c>
      <c r="U4" s="146">
        <v>0</v>
      </c>
      <c r="V4" s="148">
        <v>0</v>
      </c>
      <c r="W4" s="146">
        <v>0</v>
      </c>
      <c r="X4" s="150">
        <v>0</v>
      </c>
      <c r="Y4" s="146"/>
      <c r="Z4" s="146"/>
      <c r="AA4" s="146"/>
      <c r="AB4" s="146"/>
      <c r="AC4" s="146">
        <v>13</v>
      </c>
      <c r="AD4" s="152"/>
      <c r="AE4" s="147"/>
      <c r="AF4" s="146">
        <v>0</v>
      </c>
      <c r="AG4" s="146">
        <v>0</v>
      </c>
      <c r="AH4" s="153">
        <v>0</v>
      </c>
      <c r="AI4" s="146">
        <v>0</v>
      </c>
      <c r="AJ4" s="154">
        <f t="shared" si="5"/>
      </c>
      <c r="AK4" s="146">
        <v>0</v>
      </c>
      <c r="AL4" s="155">
        <f t="shared" si="2"/>
      </c>
      <c r="AM4" s="156">
        <f t="shared" si="11"/>
      </c>
      <c r="AN4" s="148">
        <f t="shared" si="6"/>
      </c>
      <c r="AO4" s="157">
        <f t="shared" si="3"/>
      </c>
      <c r="AP4" s="155">
        <v>0</v>
      </c>
      <c r="AQ4" s="148">
        <f t="shared" si="0"/>
      </c>
      <c r="AR4" s="151">
        <f t="shared" si="9"/>
      </c>
      <c r="AS4" s="151">
        <v>0</v>
      </c>
      <c r="AT4" s="154"/>
      <c r="AU4" s="158"/>
      <c r="AV4" s="158"/>
      <c r="AW4" s="159"/>
      <c r="AX4" s="154"/>
      <c r="AY4" s="151"/>
      <c r="AZ4" s="151"/>
      <c r="BA4" s="151"/>
      <c r="BB4" s="150"/>
      <c r="BC4" s="160"/>
      <c r="BD4" s="146"/>
      <c r="BE4" s="154"/>
      <c r="BF4" s="146"/>
      <c r="BG4" s="157"/>
      <c r="BH4" s="146"/>
      <c r="BI4" s="147"/>
      <c r="BJ4" s="146"/>
      <c r="BK4" s="161"/>
      <c r="BL4" s="162"/>
    </row>
    <row customHeight="true" ht="13.333333333333332" r="5">
      <c r="A5" s="145">
        <v>45994</v>
      </c>
      <c r="B5" s="146" t="s">
        <v>149</v>
      </c>
      <c r="C5" s="147"/>
      <c r="D5" s="146">
        <v>59.99</v>
      </c>
      <c r="E5" s="148">
        <v>0</v>
      </c>
      <c r="F5" s="148">
        <v>0</v>
      </c>
      <c r="G5" s="148">
        <v>0</v>
      </c>
      <c r="H5" s="149">
        <f t="shared" si="7"/>
      </c>
      <c r="I5" s="148" t="s">
        <v>147</v>
      </c>
      <c r="J5" s="150" t="s">
        <v>147</v>
      </c>
      <c r="K5" s="146">
        <f>'法国ERP数据'!BC4</f>
      </c>
      <c r="L5" s="146">
        <f>'法国ERP数据'!BA4</f>
      </c>
      <c r="M5" s="146">
        <f t="shared" si="10"/>
      </c>
      <c r="N5" s="148">
        <f t="shared" si="8"/>
      </c>
      <c r="O5" s="151">
        <f t="shared" si="4"/>
      </c>
      <c r="P5" s="151">
        <f t="shared" si="1"/>
      </c>
      <c r="Q5" s="146">
        <f>'法国ERP数据'!R4</f>
      </c>
      <c r="R5" s="146"/>
      <c r="S5" s="146">
        <f>'法国ERP数据'!Z4</f>
      </c>
      <c r="T5" s="146">
        <v>0</v>
      </c>
      <c r="U5" s="146">
        <v>0</v>
      </c>
      <c r="V5" s="148">
        <v>0</v>
      </c>
      <c r="W5" s="146">
        <v>2</v>
      </c>
      <c r="X5" s="150">
        <v>0</v>
      </c>
      <c r="Y5" s="146"/>
      <c r="Z5" s="146"/>
      <c r="AA5" s="146"/>
      <c r="AB5" s="146"/>
      <c r="AC5" s="146">
        <v>14</v>
      </c>
      <c r="AD5" s="152"/>
      <c r="AE5" s="147"/>
      <c r="AF5" s="146">
        <v>0</v>
      </c>
      <c r="AG5" s="146">
        <v>0</v>
      </c>
      <c r="AH5" s="153">
        <v>0</v>
      </c>
      <c r="AI5" s="146">
        <v>0</v>
      </c>
      <c r="AJ5" s="154">
        <f t="shared" si="5"/>
      </c>
      <c r="AK5" s="146">
        <v>0</v>
      </c>
      <c r="AL5" s="155">
        <f t="shared" si="2"/>
      </c>
      <c r="AM5" s="156">
        <f t="shared" si="11"/>
      </c>
      <c r="AN5" s="148">
        <f t="shared" si="6"/>
      </c>
      <c r="AO5" s="157">
        <f t="shared" si="3"/>
      </c>
      <c r="AP5" s="155">
        <v>0</v>
      </c>
      <c r="AQ5" s="148">
        <f t="shared" si="0"/>
      </c>
      <c r="AR5" s="151">
        <f t="shared" si="9"/>
      </c>
      <c r="AS5" s="151">
        <v>0</v>
      </c>
      <c r="AT5" s="154"/>
      <c r="AU5" s="158"/>
      <c r="AV5" s="158"/>
      <c r="AW5" s="159"/>
      <c r="AX5" s="154"/>
      <c r="AY5" s="151"/>
      <c r="AZ5" s="151"/>
      <c r="BA5" s="151"/>
      <c r="BB5" s="150"/>
      <c r="BC5" s="160"/>
      <c r="BD5" s="146"/>
      <c r="BE5" s="154"/>
      <c r="BF5" s="146"/>
      <c r="BG5" s="157"/>
      <c r="BH5" s="146"/>
      <c r="BI5" s="147"/>
      <c r="BJ5" s="146"/>
      <c r="BK5" s="161"/>
      <c r="BL5" s="162"/>
    </row>
    <row customHeight="true" ht="13.333333333333332" r="6">
      <c r="A6" s="145">
        <v>45995</v>
      </c>
      <c r="B6" s="146" t="s">
        <v>150</v>
      </c>
      <c r="C6" s="147"/>
      <c r="D6" s="146">
        <v>59.99</v>
      </c>
      <c r="E6" s="148">
        <v>0</v>
      </c>
      <c r="F6" s="148">
        <v>0</v>
      </c>
      <c r="G6" s="148">
        <v>0</v>
      </c>
      <c r="H6" s="149">
        <f t="shared" si="7"/>
      </c>
      <c r="I6" s="148" t="s">
        <v>147</v>
      </c>
      <c r="J6" s="150" t="s">
        <v>147</v>
      </c>
      <c r="K6" s="146">
        <f>'法国ERP数据'!BC5</f>
      </c>
      <c r="L6" s="146">
        <f>'法国ERP数据'!BA5</f>
      </c>
      <c r="M6" s="146">
        <f t="shared" si="10"/>
      </c>
      <c r="N6" s="148">
        <f t="shared" si="8"/>
      </c>
      <c r="O6" s="151">
        <f t="shared" si="4"/>
      </c>
      <c r="P6" s="151">
        <f t="shared" si="1"/>
      </c>
      <c r="Q6" s="146">
        <f>'法国ERP数据'!R5</f>
      </c>
      <c r="R6" s="146"/>
      <c r="S6" s="146">
        <f>'法国ERP数据'!Z5</f>
      </c>
      <c r="T6" s="146">
        <v>0</v>
      </c>
      <c r="U6" s="146">
        <v>0</v>
      </c>
      <c r="V6" s="148">
        <v>0</v>
      </c>
      <c r="W6" s="146">
        <v>0</v>
      </c>
      <c r="X6" s="150">
        <v>0</v>
      </c>
      <c r="Y6" s="146"/>
      <c r="Z6" s="146"/>
      <c r="AA6" s="146"/>
      <c r="AB6" s="146"/>
      <c r="AC6" s="146">
        <v>23</v>
      </c>
      <c r="AD6" s="152"/>
      <c r="AE6" s="147"/>
      <c r="AF6" s="146">
        <v>0</v>
      </c>
      <c r="AG6" s="146">
        <v>0</v>
      </c>
      <c r="AH6" s="153">
        <v>0</v>
      </c>
      <c r="AI6" s="146">
        <v>0</v>
      </c>
      <c r="AJ6" s="154">
        <f t="shared" si="5"/>
      </c>
      <c r="AK6" s="146">
        <v>0</v>
      </c>
      <c r="AL6" s="155">
        <f t="shared" si="2"/>
      </c>
      <c r="AM6" s="156">
        <f t="shared" si="11"/>
      </c>
      <c r="AN6" s="148">
        <f t="shared" si="6"/>
      </c>
      <c r="AO6" s="157">
        <f t="shared" si="3"/>
      </c>
      <c r="AP6" s="155">
        <v>0</v>
      </c>
      <c r="AQ6" s="148">
        <f t="shared" si="0"/>
      </c>
      <c r="AR6" s="151">
        <f t="shared" si="9"/>
      </c>
      <c r="AS6" s="151">
        <v>0</v>
      </c>
      <c r="AT6" s="154"/>
      <c r="AU6" s="158"/>
      <c r="AV6" s="158"/>
      <c r="AW6" s="159"/>
      <c r="AX6" s="154"/>
      <c r="AY6" s="151"/>
      <c r="AZ6" s="151"/>
      <c r="BA6" s="151"/>
      <c r="BB6" s="150"/>
      <c r="BC6" s="160"/>
      <c r="BD6" s="146"/>
      <c r="BE6" s="154"/>
      <c r="BF6" s="146"/>
      <c r="BG6" s="157"/>
      <c r="BH6" s="146"/>
      <c r="BI6" s="147"/>
      <c r="BJ6" s="146"/>
      <c r="BK6" s="161"/>
      <c r="BL6" s="162"/>
    </row>
    <row customHeight="true" ht="13.333333333333332" r="7">
      <c r="A7" s="145">
        <v>45996</v>
      </c>
      <c r="B7" s="146" t="s">
        <v>151</v>
      </c>
      <c r="C7" s="147"/>
      <c r="D7" s="146">
        <v>59.99</v>
      </c>
      <c r="E7" s="148">
        <v>0</v>
      </c>
      <c r="F7" s="148">
        <v>0</v>
      </c>
      <c r="G7" s="148">
        <v>0</v>
      </c>
      <c r="H7" s="149">
        <f t="shared" si="7"/>
      </c>
      <c r="I7" s="148" t="s">
        <v>147</v>
      </c>
      <c r="J7" s="150" t="s">
        <v>147</v>
      </c>
      <c r="K7" s="146">
        <f>'法国ERP数据'!BC6</f>
      </c>
      <c r="L7" s="146">
        <f>'法国ERP数据'!BA6</f>
      </c>
      <c r="M7" s="146">
        <f t="shared" si="10"/>
      </c>
      <c r="N7" s="148">
        <f t="shared" si="8"/>
      </c>
      <c r="O7" s="151">
        <f t="shared" si="4"/>
      </c>
      <c r="P7" s="151">
        <f t="shared" si="1"/>
      </c>
      <c r="Q7" s="146">
        <f>'法国ERP数据'!R6</f>
      </c>
      <c r="R7" s="146"/>
      <c r="S7" s="146">
        <f>'法国ERP数据'!Z6</f>
      </c>
      <c r="T7" s="146">
        <v>0</v>
      </c>
      <c r="U7" s="146">
        <v>0</v>
      </c>
      <c r="V7" s="148">
        <v>0</v>
      </c>
      <c r="W7" s="146">
        <v>0</v>
      </c>
      <c r="X7" s="150">
        <v>0</v>
      </c>
      <c r="Y7" s="146"/>
      <c r="Z7" s="146"/>
      <c r="AA7" s="146"/>
      <c r="AB7" s="146"/>
      <c r="AC7" s="146"/>
      <c r="AD7" s="152"/>
      <c r="AE7" s="147"/>
      <c r="AF7" s="146">
        <v>0</v>
      </c>
      <c r="AG7" s="146">
        <v>0</v>
      </c>
      <c r="AH7" s="153">
        <v>0</v>
      </c>
      <c r="AI7" s="146">
        <v>0</v>
      </c>
      <c r="AJ7" s="154">
        <f t="shared" si="5"/>
      </c>
      <c r="AK7" s="146">
        <v>0</v>
      </c>
      <c r="AL7" s="155">
        <f t="shared" si="2"/>
      </c>
      <c r="AM7" s="156">
        <f t="shared" si="11"/>
      </c>
      <c r="AN7" s="148">
        <f t="shared" si="6"/>
      </c>
      <c r="AO7" s="157">
        <f t="shared" si="3"/>
      </c>
      <c r="AP7" s="155">
        <v>0</v>
      </c>
      <c r="AQ7" s="148">
        <f t="shared" si="0"/>
      </c>
      <c r="AR7" s="151">
        <f t="shared" si="9"/>
      </c>
      <c r="AS7" s="151">
        <v>0</v>
      </c>
      <c r="AT7" s="154"/>
      <c r="AU7" s="158"/>
      <c r="AV7" s="158"/>
      <c r="AW7" s="159"/>
      <c r="AX7" s="154"/>
      <c r="AY7" s="151"/>
      <c r="AZ7" s="151"/>
      <c r="BA7" s="151"/>
      <c r="BB7" s="150"/>
      <c r="BC7" s="160"/>
      <c r="BD7" s="146"/>
      <c r="BE7" s="154"/>
      <c r="BF7" s="146"/>
      <c r="BG7" s="157"/>
      <c r="BH7" s="146"/>
      <c r="BI7" s="147"/>
      <c r="BJ7" s="146"/>
      <c r="BK7" s="161"/>
      <c r="BL7" s="162"/>
    </row>
    <row customHeight="true" ht="13.333333333333332" r="8">
      <c r="A8" s="145">
        <v>45997</v>
      </c>
      <c r="B8" s="146" t="s">
        <v>152</v>
      </c>
      <c r="C8" s="147"/>
      <c r="D8" s="146">
        <v>59.99</v>
      </c>
      <c r="E8" s="148">
        <v>0</v>
      </c>
      <c r="F8" s="148">
        <v>0</v>
      </c>
      <c r="G8" s="148">
        <v>0</v>
      </c>
      <c r="H8" s="149">
        <f t="shared" si="7"/>
      </c>
      <c r="I8" s="148" t="s">
        <v>147</v>
      </c>
      <c r="J8" s="150" t="s">
        <v>147</v>
      </c>
      <c r="K8" s="146">
        <f>'法国ERP数据'!BC7</f>
      </c>
      <c r="L8" s="146">
        <f>'法国ERP数据'!BA7</f>
      </c>
      <c r="M8" s="146">
        <f t="shared" si="10"/>
      </c>
      <c r="N8" s="148">
        <f t="shared" si="8"/>
      </c>
      <c r="O8" s="151">
        <f t="shared" si="4"/>
      </c>
      <c r="P8" s="151">
        <f t="shared" si="1"/>
      </c>
      <c r="Q8" s="146">
        <f>'法国ERP数据'!R7</f>
      </c>
      <c r="R8" s="146"/>
      <c r="S8" s="146">
        <f>'法国ERP数据'!Z7</f>
      </c>
      <c r="T8" s="146">
        <v>0</v>
      </c>
      <c r="U8" s="146">
        <v>0</v>
      </c>
      <c r="V8" s="148">
        <v>0</v>
      </c>
      <c r="W8" s="146">
        <v>0</v>
      </c>
      <c r="X8" s="150">
        <v>0</v>
      </c>
      <c r="Y8" s="146"/>
      <c r="Z8" s="146"/>
      <c r="AA8" s="146"/>
      <c r="AB8" s="146"/>
      <c r="AC8" s="146"/>
      <c r="AD8" s="152"/>
      <c r="AE8" s="147"/>
      <c r="AF8" s="146">
        <v>0</v>
      </c>
      <c r="AG8" s="146">
        <v>0</v>
      </c>
      <c r="AH8" s="153">
        <v>0</v>
      </c>
      <c r="AI8" s="146">
        <v>0</v>
      </c>
      <c r="AJ8" s="154">
        <f t="shared" si="5"/>
      </c>
      <c r="AK8" s="146">
        <v>0</v>
      </c>
      <c r="AL8" s="155">
        <f t="shared" si="2"/>
      </c>
      <c r="AM8" s="156">
        <f t="shared" si="11"/>
      </c>
      <c r="AN8" s="148">
        <f t="shared" si="6"/>
      </c>
      <c r="AO8" s="157">
        <f t="shared" si="3"/>
      </c>
      <c r="AP8" s="155">
        <v>0</v>
      </c>
      <c r="AQ8" s="148">
        <f t="shared" si="0"/>
      </c>
      <c r="AR8" s="151">
        <f t="shared" si="9"/>
      </c>
      <c r="AS8" s="151">
        <v>0</v>
      </c>
      <c r="AT8" s="154"/>
      <c r="AU8" s="158"/>
      <c r="AV8" s="158"/>
      <c r="AW8" s="159"/>
      <c r="AX8" s="154"/>
      <c r="AY8" s="151"/>
      <c r="AZ8" s="151"/>
      <c r="BA8" s="151"/>
      <c r="BB8" s="150"/>
      <c r="BC8" s="160"/>
      <c r="BD8" s="146"/>
      <c r="BE8" s="154"/>
      <c r="BF8" s="146"/>
      <c r="BG8" s="157"/>
      <c r="BH8" s="146"/>
      <c r="BI8" s="147"/>
      <c r="BJ8" s="146"/>
      <c r="BK8" s="161"/>
      <c r="BL8" s="162"/>
    </row>
    <row customHeight="true" ht="13.333333333333332" r="9">
      <c r="A9" s="145">
        <v>45998</v>
      </c>
      <c r="B9" s="146" t="s">
        <v>153</v>
      </c>
      <c r="C9" s="147"/>
      <c r="D9" s="146">
        <v>59.99</v>
      </c>
      <c r="E9" s="148">
        <v>0</v>
      </c>
      <c r="F9" s="148">
        <v>0</v>
      </c>
      <c r="G9" s="148">
        <v>0</v>
      </c>
      <c r="H9" s="149">
        <f t="shared" si="7"/>
      </c>
      <c r="I9" s="148" t="s">
        <v>147</v>
      </c>
      <c r="J9" s="150" t="s">
        <v>147</v>
      </c>
      <c r="K9" s="146">
        <f>'法国ERP数据'!BC8</f>
      </c>
      <c r="L9" s="146">
        <f>'法国ERP数据'!BA8</f>
      </c>
      <c r="M9" s="146">
        <f t="shared" si="10"/>
      </c>
      <c r="N9" s="148">
        <f t="shared" si="8"/>
      </c>
      <c r="O9" s="151">
        <f t="shared" si="4"/>
      </c>
      <c r="P9" s="151">
        <f t="shared" si="1"/>
      </c>
      <c r="Q9" s="146">
        <f>'法国ERP数据'!R8</f>
      </c>
      <c r="R9" s="146"/>
      <c r="S9" s="146">
        <f>'法国ERP数据'!Z8</f>
      </c>
      <c r="T9" s="146">
        <v>1</v>
      </c>
      <c r="U9" s="146">
        <v>1</v>
      </c>
      <c r="V9" s="148">
        <f>U9/T9</f>
      </c>
      <c r="W9" s="146">
        <v>0</v>
      </c>
      <c r="X9" s="150">
        <v>0</v>
      </c>
      <c r="Y9" s="146"/>
      <c r="Z9" s="146"/>
      <c r="AA9" s="146"/>
      <c r="AB9" s="146"/>
      <c r="AC9" s="146"/>
      <c r="AD9" s="152"/>
      <c r="AE9" s="147"/>
      <c r="AF9" s="146">
        <v>0</v>
      </c>
      <c r="AG9" s="146">
        <v>0</v>
      </c>
      <c r="AH9" s="153">
        <v>0</v>
      </c>
      <c r="AI9" s="146">
        <v>0</v>
      </c>
      <c r="AJ9" s="154">
        <f t="shared" si="5"/>
      </c>
      <c r="AK9" s="146">
        <v>0</v>
      </c>
      <c r="AL9" s="155">
        <f t="shared" si="2"/>
      </c>
      <c r="AM9" s="156">
        <f t="shared" si="11"/>
      </c>
      <c r="AN9" s="148">
        <f t="shared" si="6"/>
      </c>
      <c r="AO9" s="157">
        <f t="shared" si="3"/>
      </c>
      <c r="AP9" s="155">
        <v>0</v>
      </c>
      <c r="AQ9" s="148">
        <f t="shared" si="0"/>
      </c>
      <c r="AR9" s="151">
        <f t="shared" si="9"/>
      </c>
      <c r="AS9" s="151">
        <v>0</v>
      </c>
      <c r="AT9" s="154"/>
      <c r="AU9" s="158"/>
      <c r="AV9" s="158"/>
      <c r="AW9" s="159"/>
      <c r="AX9" s="154"/>
      <c r="AY9" s="151"/>
      <c r="AZ9" s="151"/>
      <c r="BA9" s="151"/>
      <c r="BB9" s="150"/>
      <c r="BC9" s="160"/>
      <c r="BD9" s="146"/>
      <c r="BE9" s="154"/>
      <c r="BF9" s="146"/>
      <c r="BG9" s="157"/>
      <c r="BH9" s="146"/>
      <c r="BI9" s="147"/>
      <c r="BJ9" s="146"/>
      <c r="BK9" s="161"/>
      <c r="BL9" s="162"/>
    </row>
    <row customHeight="true" ht="13.333333333333332" r="10">
      <c r="A10" s="145">
        <v>45999</v>
      </c>
      <c r="B10" s="146" t="s">
        <v>146</v>
      </c>
      <c r="C10" s="147"/>
      <c r="D10" s="146">
        <v>59.99</v>
      </c>
      <c r="E10" s="148">
        <v>0</v>
      </c>
      <c r="F10" s="148">
        <v>0</v>
      </c>
      <c r="G10" s="148">
        <v>0</v>
      </c>
      <c r="H10" s="149">
        <f t="shared" si="7"/>
      </c>
      <c r="I10" s="148" t="s">
        <v>147</v>
      </c>
      <c r="J10" s="150" t="s">
        <v>147</v>
      </c>
      <c r="K10" s="146">
        <f>'法国ERP数据'!BC9</f>
      </c>
      <c r="L10" s="146">
        <f>'法国ERP数据'!BA9</f>
      </c>
      <c r="M10" s="146">
        <f t="shared" si="10"/>
      </c>
      <c r="N10" s="148">
        <f t="shared" si="8"/>
      </c>
      <c r="O10" s="151">
        <f t="shared" si="4"/>
      </c>
      <c r="P10" s="151">
        <f t="shared" si="1"/>
      </c>
      <c r="Q10" s="146">
        <f>'法国ERP数据'!R9</f>
      </c>
      <c r="R10" s="146"/>
      <c r="S10" s="146">
        <f>'法国ERP数据'!Z9</f>
      </c>
      <c r="T10" s="146">
        <v>0</v>
      </c>
      <c r="U10" s="146">
        <v>0</v>
      </c>
      <c r="V10" s="148">
        <v>0</v>
      </c>
      <c r="W10" s="146">
        <v>0</v>
      </c>
      <c r="X10" s="150"/>
      <c r="Y10" s="146"/>
      <c r="Z10" s="146"/>
      <c r="AA10" s="146"/>
      <c r="AB10" s="146"/>
      <c r="AC10" s="146"/>
      <c r="AD10" s="152"/>
      <c r="AE10" s="147"/>
      <c r="AF10" s="146">
        <v>1</v>
      </c>
      <c r="AG10" s="146">
        <v>4</v>
      </c>
      <c r="AH10" s="153">
        <v>0</v>
      </c>
      <c r="AI10" s="146">
        <v>0</v>
      </c>
      <c r="AJ10" s="154">
        <f t="shared" si="5"/>
      </c>
      <c r="AK10" s="146">
        <v>0</v>
      </c>
      <c r="AL10" s="155">
        <f t="shared" si="2"/>
      </c>
      <c r="AM10" s="156">
        <f t="shared" si="11"/>
      </c>
      <c r="AN10" s="148">
        <f t="shared" si="6"/>
      </c>
      <c r="AO10" s="157">
        <f t="shared" si="3"/>
      </c>
      <c r="AP10" s="155">
        <v>0</v>
      </c>
      <c r="AQ10" s="148">
        <f t="shared" si="0"/>
      </c>
      <c r="AR10" s="151">
        <f t="shared" si="9"/>
      </c>
      <c r="AS10" s="151">
        <v>0</v>
      </c>
      <c r="AT10" s="154"/>
      <c r="AU10" s="158"/>
      <c r="AV10" s="158"/>
      <c r="AW10" s="159"/>
      <c r="AX10" s="154"/>
      <c r="AY10" s="151"/>
      <c r="AZ10" s="151"/>
      <c r="BA10" s="151"/>
      <c r="BB10" s="150"/>
      <c r="BC10" s="160"/>
      <c r="BD10" s="146"/>
      <c r="BE10" s="154"/>
      <c r="BF10" s="146"/>
      <c r="BG10" s="157"/>
      <c r="BH10" s="146"/>
      <c r="BI10" s="147"/>
      <c r="BJ10" s="146"/>
      <c r="BK10" s="161"/>
      <c r="BL10" s="162"/>
    </row>
    <row customHeight="true" ht="13.333333333333332" r="11">
      <c r="A11" s="145">
        <v>46000</v>
      </c>
      <c r="B11" s="146" t="s">
        <v>148</v>
      </c>
      <c r="C11" s="147"/>
      <c r="D11" s="146">
        <v>59.99</v>
      </c>
      <c r="E11" s="148">
        <v>0</v>
      </c>
      <c r="F11" s="148">
        <v>0</v>
      </c>
      <c r="G11" s="148">
        <v>0</v>
      </c>
      <c r="H11" s="149">
        <f t="shared" si="7"/>
      </c>
      <c r="I11" s="148" t="s">
        <v>147</v>
      </c>
      <c r="J11" s="150" t="s">
        <v>147</v>
      </c>
      <c r="K11" s="146">
        <f>'法国ERP数据'!BC10</f>
      </c>
      <c r="L11" s="146">
        <f>'法国ERP数据'!BA10</f>
      </c>
      <c r="M11" s="146">
        <f t="shared" si="10"/>
      </c>
      <c r="N11" s="148">
        <f t="shared" si="8"/>
      </c>
      <c r="O11" s="151">
        <f t="shared" si="4"/>
      </c>
      <c r="P11" s="151">
        <f t="shared" si="1"/>
      </c>
      <c r="Q11" s="146">
        <f>'法国ERP数据'!R10</f>
      </c>
      <c r="R11" s="146"/>
      <c r="S11" s="146">
        <f>'法国ERP数据'!Z10</f>
      </c>
      <c r="T11" s="146">
        <v>0</v>
      </c>
      <c r="U11" s="146">
        <v>0</v>
      </c>
      <c r="V11" s="148">
        <v>0</v>
      </c>
      <c r="W11" s="146">
        <v>0</v>
      </c>
      <c r="X11" s="150"/>
      <c r="Y11" s="146"/>
      <c r="Z11" s="146"/>
      <c r="AA11" s="146"/>
      <c r="AB11" s="146"/>
      <c r="AC11" s="146"/>
      <c r="AD11" s="152"/>
      <c r="AE11" s="147"/>
      <c r="AF11" s="146">
        <v>1</v>
      </c>
      <c r="AG11" s="146">
        <v>4</v>
      </c>
      <c r="AH11" s="153">
        <v>0</v>
      </c>
      <c r="AI11" s="146">
        <v>0</v>
      </c>
      <c r="AJ11" s="154">
        <f t="shared" si="5"/>
      </c>
      <c r="AK11" s="146">
        <v>0</v>
      </c>
      <c r="AL11" s="155">
        <f t="shared" si="2"/>
      </c>
      <c r="AM11" s="156">
        <f t="shared" si="11"/>
      </c>
      <c r="AN11" s="148">
        <f t="shared" si="6"/>
      </c>
      <c r="AO11" s="157">
        <f t="shared" si="3"/>
      </c>
      <c r="AP11" s="155">
        <v>0</v>
      </c>
      <c r="AQ11" s="148">
        <f t="shared" si="0"/>
      </c>
      <c r="AR11" s="151">
        <f t="shared" si="9"/>
      </c>
      <c r="AS11" s="151">
        <v>0</v>
      </c>
      <c r="AT11" s="154"/>
      <c r="AU11" s="158"/>
      <c r="AV11" s="158"/>
      <c r="AW11" s="159"/>
      <c r="AX11" s="154"/>
      <c r="AY11" s="151"/>
      <c r="AZ11" s="151"/>
      <c r="BA11" s="151"/>
      <c r="BB11" s="150"/>
      <c r="BC11" s="160"/>
      <c r="BD11" s="146"/>
      <c r="BE11" s="154"/>
      <c r="BF11" s="146"/>
      <c r="BG11" s="157"/>
      <c r="BH11" s="146"/>
      <c r="BI11" s="147"/>
      <c r="BJ11" s="146"/>
      <c r="BK11" s="161"/>
      <c r="BL11" s="162"/>
    </row>
    <row customHeight="true" ht="13.333333333333332" r="12">
      <c r="A12" s="145">
        <v>46001</v>
      </c>
      <c r="B12" s="146" t="s">
        <v>149</v>
      </c>
      <c r="C12" s="147"/>
      <c r="D12" s="146">
        <v>59.99</v>
      </c>
      <c r="E12" s="148">
        <v>0</v>
      </c>
      <c r="F12" s="148">
        <v>0</v>
      </c>
      <c r="G12" s="148">
        <v>0</v>
      </c>
      <c r="H12" s="149">
        <f t="shared" si="7"/>
      </c>
      <c r="I12" s="148" t="s">
        <v>147</v>
      </c>
      <c r="J12" s="150" t="s">
        <v>147</v>
      </c>
      <c r="K12" s="146">
        <f>'法国ERP数据'!BC11</f>
      </c>
      <c r="L12" s="146">
        <f>'法国ERP数据'!BA11</f>
      </c>
      <c r="M12" s="146">
        <f t="shared" si="10"/>
      </c>
      <c r="N12" s="148">
        <f t="shared" si="8"/>
      </c>
      <c r="O12" s="151">
        <f t="shared" si="4"/>
      </c>
      <c r="P12" s="151">
        <f t="shared" si="1"/>
      </c>
      <c r="Q12" s="146">
        <f>'法国ERP数据'!R11</f>
      </c>
      <c r="R12" s="146"/>
      <c r="S12" s="146">
        <f>'法国ERP数据'!Z11</f>
      </c>
      <c r="T12" s="146">
        <v>0</v>
      </c>
      <c r="U12" s="146">
        <v>0</v>
      </c>
      <c r="V12" s="148">
        <v>0</v>
      </c>
      <c r="W12" s="146">
        <v>0</v>
      </c>
      <c r="X12" s="150"/>
      <c r="Y12" s="146"/>
      <c r="Z12" s="146"/>
      <c r="AA12" s="146"/>
      <c r="AB12" s="146"/>
      <c r="AC12" s="146"/>
      <c r="AD12" s="152"/>
      <c r="AE12" s="147"/>
      <c r="AF12" s="146">
        <v>1</v>
      </c>
      <c r="AG12" s="146">
        <v>4</v>
      </c>
      <c r="AH12" s="153">
        <v>0</v>
      </c>
      <c r="AI12" s="146">
        <v>0</v>
      </c>
      <c r="AJ12" s="154">
        <f t="shared" si="5"/>
      </c>
      <c r="AK12" s="146">
        <v>0</v>
      </c>
      <c r="AL12" s="155">
        <f t="shared" si="2"/>
      </c>
      <c r="AM12" s="156">
        <f t="shared" si="11"/>
      </c>
      <c r="AN12" s="148">
        <f t="shared" si="6"/>
      </c>
      <c r="AO12" s="157">
        <f t="shared" si="3"/>
      </c>
      <c r="AP12" s="155">
        <v>0</v>
      </c>
      <c r="AQ12" s="148">
        <f t="shared" si="0"/>
      </c>
      <c r="AR12" s="151">
        <f t="shared" si="9"/>
      </c>
      <c r="AS12" s="151">
        <v>0</v>
      </c>
      <c r="AT12" s="154"/>
      <c r="AU12" s="158"/>
      <c r="AV12" s="158"/>
      <c r="AW12" s="159"/>
      <c r="AX12" s="154"/>
      <c r="AY12" s="151"/>
      <c r="AZ12" s="151"/>
      <c r="BA12" s="151"/>
      <c r="BB12" s="150"/>
      <c r="BC12" s="160"/>
      <c r="BD12" s="146"/>
      <c r="BE12" s="154"/>
      <c r="BF12" s="146"/>
      <c r="BG12" s="157"/>
      <c r="BH12" s="146"/>
      <c r="BI12" s="147"/>
      <c r="BJ12" s="146"/>
      <c r="BK12" s="161"/>
      <c r="BL12" s="162"/>
    </row>
    <row customHeight="true" ht="13.333333333333332" r="13">
      <c r="A13" s="145">
        <v>46002</v>
      </c>
      <c r="B13" s="146" t="s">
        <v>150</v>
      </c>
      <c r="C13" s="147"/>
      <c r="D13" s="146">
        <v>59.99</v>
      </c>
      <c r="E13" s="148">
        <v>0</v>
      </c>
      <c r="F13" s="148">
        <v>0</v>
      </c>
      <c r="G13" s="148">
        <v>0</v>
      </c>
      <c r="H13" s="149">
        <f t="shared" si="7"/>
      </c>
      <c r="I13" s="148" t="s">
        <v>147</v>
      </c>
      <c r="J13" s="150" t="s">
        <v>147</v>
      </c>
      <c r="K13" s="146">
        <f>'法国ERP数据'!BC12</f>
      </c>
      <c r="L13" s="146">
        <f>'法国ERP数据'!BA12</f>
      </c>
      <c r="M13" s="146">
        <f t="shared" si="10"/>
      </c>
      <c r="N13" s="148">
        <f t="shared" si="8"/>
      </c>
      <c r="O13" s="151">
        <f t="shared" si="4"/>
      </c>
      <c r="P13" s="151">
        <f t="shared" si="1"/>
      </c>
      <c r="Q13" s="146">
        <f>'法国ERP数据'!R12</f>
      </c>
      <c r="R13" s="146"/>
      <c r="S13" s="146">
        <f>'法国ERP数据'!Z12</f>
      </c>
      <c r="T13" s="146">
        <v>0</v>
      </c>
      <c r="U13" s="146">
        <v>0</v>
      </c>
      <c r="V13" s="148">
        <v>0</v>
      </c>
      <c r="W13" s="146">
        <v>0</v>
      </c>
      <c r="X13" s="150"/>
      <c r="Y13" s="146"/>
      <c r="Z13" s="146"/>
      <c r="AA13" s="146"/>
      <c r="AB13" s="146"/>
      <c r="AC13" s="146"/>
      <c r="AD13" s="152"/>
      <c r="AE13" s="147"/>
      <c r="AF13" s="146">
        <v>1</v>
      </c>
      <c r="AG13" s="146">
        <v>4</v>
      </c>
      <c r="AH13" s="153">
        <v>0</v>
      </c>
      <c r="AI13" s="146">
        <v>0</v>
      </c>
      <c r="AJ13" s="154">
        <f t="shared" si="5"/>
      </c>
      <c r="AK13" s="146">
        <v>0</v>
      </c>
      <c r="AL13" s="155">
        <f t="shared" si="2"/>
      </c>
      <c r="AM13" s="156">
        <f t="shared" si="11"/>
      </c>
      <c r="AN13" s="148">
        <f t="shared" si="6"/>
      </c>
      <c r="AO13" s="157">
        <f t="shared" si="3"/>
      </c>
      <c r="AP13" s="155">
        <v>0</v>
      </c>
      <c r="AQ13" s="148">
        <f t="shared" si="0"/>
      </c>
      <c r="AR13" s="151">
        <f t="shared" si="9"/>
      </c>
      <c r="AS13" s="151">
        <v>0</v>
      </c>
      <c r="AT13" s="154"/>
      <c r="AU13" s="158"/>
      <c r="AV13" s="158"/>
      <c r="AW13" s="159"/>
      <c r="AX13" s="154"/>
      <c r="AY13" s="151"/>
      <c r="AZ13" s="151"/>
      <c r="BA13" s="151"/>
      <c r="BB13" s="150"/>
      <c r="BC13" s="160"/>
      <c r="BD13" s="146"/>
      <c r="BE13" s="154"/>
      <c r="BF13" s="146"/>
      <c r="BG13" s="157"/>
      <c r="BH13" s="146"/>
      <c r="BI13" s="147"/>
      <c r="BJ13" s="146"/>
      <c r="BK13" s="161"/>
      <c r="BL13" s="162"/>
    </row>
    <row customHeight="true" ht="13.333333333333332" r="14">
      <c r="A14" s="145">
        <v>46003</v>
      </c>
      <c r="B14" s="146" t="s">
        <v>151</v>
      </c>
      <c r="C14" s="147"/>
      <c r="D14" s="146">
        <v>59.99</v>
      </c>
      <c r="E14" s="148">
        <v>0</v>
      </c>
      <c r="F14" s="148">
        <v>0</v>
      </c>
      <c r="G14" s="148">
        <v>0</v>
      </c>
      <c r="H14" s="149">
        <f t="shared" si="7"/>
      </c>
      <c r="I14" s="148" t="s">
        <v>147</v>
      </c>
      <c r="J14" s="150" t="s">
        <v>147</v>
      </c>
      <c r="K14" s="146">
        <f>'法国ERP数据'!BC13</f>
      </c>
      <c r="L14" s="146">
        <f>'法国ERP数据'!BA13</f>
      </c>
      <c r="M14" s="146">
        <f t="shared" si="10"/>
      </c>
      <c r="N14" s="148">
        <f t="shared" si="8"/>
      </c>
      <c r="O14" s="151">
        <f t="shared" si="4"/>
      </c>
      <c r="P14" s="151">
        <f t="shared" si="1"/>
      </c>
      <c r="Q14" s="146">
        <f>'法国ERP数据'!R13</f>
      </c>
      <c r="R14" s="146"/>
      <c r="S14" s="146">
        <f>'法国ERP数据'!Z13</f>
      </c>
      <c r="T14" s="146">
        <v>0</v>
      </c>
      <c r="U14" s="146">
        <v>0</v>
      </c>
      <c r="V14" s="148">
        <v>0</v>
      </c>
      <c r="W14" s="146">
        <v>0</v>
      </c>
      <c r="X14" s="150"/>
      <c r="Y14" s="146"/>
      <c r="Z14" s="146"/>
      <c r="AA14" s="146"/>
      <c r="AB14" s="146"/>
      <c r="AC14" s="146"/>
      <c r="AD14" s="152"/>
      <c r="AE14" s="147"/>
      <c r="AF14" s="146">
        <v>1</v>
      </c>
      <c r="AG14" s="146">
        <v>4</v>
      </c>
      <c r="AH14" s="153">
        <v>0</v>
      </c>
      <c r="AI14" s="146">
        <v>0</v>
      </c>
      <c r="AJ14" s="154">
        <f t="shared" si="5"/>
      </c>
      <c r="AK14" s="146">
        <v>0</v>
      </c>
      <c r="AL14" s="155">
        <f t="shared" si="2"/>
      </c>
      <c r="AM14" s="156">
        <f t="shared" si="11"/>
      </c>
      <c r="AN14" s="148">
        <f t="shared" si="6"/>
      </c>
      <c r="AO14" s="157">
        <f t="shared" si="3"/>
      </c>
      <c r="AP14" s="155">
        <v>0</v>
      </c>
      <c r="AQ14" s="148">
        <f t="shared" si="0"/>
      </c>
      <c r="AR14" s="151">
        <f t="shared" si="9"/>
      </c>
      <c r="AS14" s="151">
        <v>0</v>
      </c>
      <c r="AT14" s="154"/>
      <c r="AU14" s="158"/>
      <c r="AV14" s="158"/>
      <c r="AW14" s="159"/>
      <c r="AX14" s="154"/>
      <c r="AY14" s="151"/>
      <c r="AZ14" s="151"/>
      <c r="BA14" s="151"/>
      <c r="BB14" s="150"/>
      <c r="BC14" s="160"/>
      <c r="BD14" s="146"/>
      <c r="BE14" s="154"/>
      <c r="BF14" s="146"/>
      <c r="BG14" s="157"/>
      <c r="BH14" s="146"/>
      <c r="BI14" s="147"/>
      <c r="BJ14" s="146"/>
      <c r="BK14" s="161"/>
      <c r="BL14" s="162"/>
    </row>
    <row customHeight="true" ht="13.333333333333332" r="15">
      <c r="A15" s="145">
        <v>46004</v>
      </c>
      <c r="B15" s="146" t="s">
        <v>152</v>
      </c>
      <c r="C15" s="147"/>
      <c r="D15" s="146">
        <v>59.99</v>
      </c>
      <c r="E15" s="148">
        <v>0</v>
      </c>
      <c r="F15" s="148">
        <v>0</v>
      </c>
      <c r="G15" s="148">
        <v>0</v>
      </c>
      <c r="H15" s="149">
        <f t="shared" si="7"/>
      </c>
      <c r="I15" s="148" t="s">
        <v>147</v>
      </c>
      <c r="J15" s="150" t="s">
        <v>147</v>
      </c>
      <c r="K15" s="146">
        <f>'法国ERP数据'!BC14</f>
      </c>
      <c r="L15" s="146">
        <f>'法国ERP数据'!BA14</f>
      </c>
      <c r="M15" s="146">
        <f t="shared" si="10"/>
      </c>
      <c r="N15" s="148">
        <f t="shared" si="8"/>
      </c>
      <c r="O15" s="151">
        <f t="shared" si="4"/>
      </c>
      <c r="P15" s="151">
        <f t="shared" si="1"/>
      </c>
      <c r="Q15" s="146">
        <f>'法国ERP数据'!R14</f>
      </c>
      <c r="R15" s="146"/>
      <c r="S15" s="146">
        <f>'法国ERP数据'!Z14</f>
      </c>
      <c r="T15" s="146">
        <v>0</v>
      </c>
      <c r="U15" s="146">
        <v>0</v>
      </c>
      <c r="V15" s="148">
        <v>0</v>
      </c>
      <c r="W15" s="146">
        <v>0</v>
      </c>
      <c r="X15" s="150"/>
      <c r="Y15" s="146"/>
      <c r="Z15" s="146"/>
      <c r="AA15" s="146"/>
      <c r="AB15" s="146"/>
      <c r="AC15" s="146"/>
      <c r="AD15" s="152"/>
      <c r="AE15" s="147"/>
      <c r="AF15" s="146">
        <v>1</v>
      </c>
      <c r="AG15" s="146">
        <v>4</v>
      </c>
      <c r="AH15" s="153">
        <v>0</v>
      </c>
      <c r="AI15" s="146">
        <v>0</v>
      </c>
      <c r="AJ15" s="154">
        <f t="shared" si="5"/>
      </c>
      <c r="AK15" s="146">
        <v>0</v>
      </c>
      <c r="AL15" s="155">
        <f t="shared" si="2"/>
      </c>
      <c r="AM15" s="156">
        <f t="shared" si="11"/>
      </c>
      <c r="AN15" s="148">
        <f t="shared" si="6"/>
      </c>
      <c r="AO15" s="157">
        <f t="shared" si="3"/>
      </c>
      <c r="AP15" s="155">
        <v>0</v>
      </c>
      <c r="AQ15" s="148">
        <f t="shared" si="0"/>
      </c>
      <c r="AR15" s="151">
        <f t="shared" si="9"/>
      </c>
      <c r="AS15" s="151">
        <v>0</v>
      </c>
      <c r="AT15" s="154"/>
      <c r="AU15" s="158"/>
      <c r="AV15" s="158"/>
      <c r="AW15" s="159"/>
      <c r="AX15" s="154"/>
      <c r="AY15" s="151"/>
      <c r="AZ15" s="151"/>
      <c r="BA15" s="151"/>
      <c r="BB15" s="150"/>
      <c r="BC15" s="160"/>
      <c r="BD15" s="146"/>
      <c r="BE15" s="154"/>
      <c r="BF15" s="146"/>
      <c r="BG15" s="157"/>
      <c r="BH15" s="146"/>
      <c r="BI15" s="147"/>
      <c r="BJ15" s="146"/>
      <c r="BK15" s="161"/>
      <c r="BL15" s="162"/>
    </row>
    <row customHeight="true" ht="13.333333333333332" r="16">
      <c r="A16" s="145">
        <v>46005</v>
      </c>
      <c r="B16" s="146" t="s">
        <v>153</v>
      </c>
      <c r="C16" s="147"/>
      <c r="D16" s="146">
        <v>59.99</v>
      </c>
      <c r="E16" s="148">
        <v>0</v>
      </c>
      <c r="F16" s="148">
        <v>0</v>
      </c>
      <c r="G16" s="148">
        <v>0</v>
      </c>
      <c r="H16" s="149">
        <f t="shared" si="7"/>
      </c>
      <c r="I16" s="148" t="s">
        <v>147</v>
      </c>
      <c r="J16" s="150" t="s">
        <v>147</v>
      </c>
      <c r="K16" s="146">
        <f>'法国ERP数据'!BC15</f>
      </c>
      <c r="L16" s="146">
        <f>'法国ERP数据'!BA15</f>
      </c>
      <c r="M16" s="146">
        <f t="shared" si="10"/>
      </c>
      <c r="N16" s="148">
        <f t="shared" si="8"/>
      </c>
      <c r="O16" s="151">
        <f t="shared" si="4"/>
      </c>
      <c r="P16" s="151">
        <f t="shared" si="1"/>
      </c>
      <c r="Q16" s="146">
        <f>'法国ERP数据'!R15</f>
      </c>
      <c r="R16" s="146"/>
      <c r="S16" s="146">
        <f>'法国ERP数据'!Z15</f>
      </c>
      <c r="T16" s="146">
        <v>0</v>
      </c>
      <c r="U16" s="146">
        <v>0</v>
      </c>
      <c r="V16" s="148">
        <v>0</v>
      </c>
      <c r="W16" s="146">
        <v>0</v>
      </c>
      <c r="X16" s="150"/>
      <c r="Y16" s="146"/>
      <c r="Z16" s="146"/>
      <c r="AA16" s="146"/>
      <c r="AB16" s="146"/>
      <c r="AC16" s="146"/>
      <c r="AD16" s="152"/>
      <c r="AE16" s="147"/>
      <c r="AF16" s="146">
        <v>1</v>
      </c>
      <c r="AG16" s="146">
        <v>4</v>
      </c>
      <c r="AH16" s="153">
        <v>0</v>
      </c>
      <c r="AI16" s="146">
        <v>0</v>
      </c>
      <c r="AJ16" s="154">
        <f t="shared" si="5"/>
      </c>
      <c r="AK16" s="146">
        <v>0</v>
      </c>
      <c r="AL16" s="155">
        <f t="shared" si="2"/>
      </c>
      <c r="AM16" s="156">
        <f t="shared" si="11"/>
      </c>
      <c r="AN16" s="148">
        <f t="shared" si="6"/>
      </c>
      <c r="AO16" s="157">
        <f t="shared" si="3"/>
      </c>
      <c r="AP16" s="155">
        <v>0</v>
      </c>
      <c r="AQ16" s="148">
        <f t="shared" si="0"/>
      </c>
      <c r="AR16" s="151">
        <f t="shared" si="9"/>
      </c>
      <c r="AS16" s="151">
        <v>0</v>
      </c>
      <c r="AT16" s="154"/>
      <c r="AU16" s="158"/>
      <c r="AV16" s="158"/>
      <c r="AW16" s="159"/>
      <c r="AX16" s="154"/>
      <c r="AY16" s="151"/>
      <c r="AZ16" s="151"/>
      <c r="BA16" s="151"/>
      <c r="BB16" s="150"/>
      <c r="BC16" s="160"/>
      <c r="BD16" s="146"/>
      <c r="BE16" s="154"/>
      <c r="BF16" s="146"/>
      <c r="BG16" s="157"/>
      <c r="BH16" s="146"/>
      <c r="BI16" s="147"/>
      <c r="BJ16" s="146"/>
      <c r="BK16" s="161"/>
      <c r="BL16" s="162"/>
    </row>
    <row customHeight="true" ht="13.333333333333332" r="17">
      <c r="A17" s="145">
        <v>46006</v>
      </c>
      <c r="B17" s="146" t="s">
        <v>146</v>
      </c>
      <c r="C17" s="147"/>
      <c r="D17" s="146">
        <v>59.99</v>
      </c>
      <c r="E17" s="148">
        <v>0</v>
      </c>
      <c r="F17" s="148">
        <v>0</v>
      </c>
      <c r="G17" s="148">
        <v>0</v>
      </c>
      <c r="H17" s="149">
        <f t="shared" si="7"/>
      </c>
      <c r="I17" s="148" t="s">
        <v>147</v>
      </c>
      <c r="J17" s="150" t="s">
        <v>147</v>
      </c>
      <c r="K17" s="146">
        <f>'法国ERP数据'!BC16</f>
      </c>
      <c r="L17" s="146">
        <f>'法国ERP数据'!BA16</f>
      </c>
      <c r="M17" s="146">
        <f t="shared" si="10"/>
      </c>
      <c r="N17" s="148">
        <f t="shared" si="8"/>
      </c>
      <c r="O17" s="151">
        <f t="shared" si="4"/>
      </c>
      <c r="P17" s="151">
        <f t="shared" si="1"/>
      </c>
      <c r="Q17" s="146">
        <f>'法国ERP数据'!R16</f>
      </c>
      <c r="R17" s="146"/>
      <c r="S17" s="146">
        <f>'法国ERP数据'!Z16</f>
      </c>
      <c r="T17" s="146">
        <v>0</v>
      </c>
      <c r="U17" s="146">
        <v>0</v>
      </c>
      <c r="V17" s="148">
        <v>0</v>
      </c>
      <c r="W17" s="146">
        <v>0</v>
      </c>
      <c r="X17" s="150"/>
      <c r="Y17" s="146"/>
      <c r="Z17" s="146"/>
      <c r="AA17" s="146"/>
      <c r="AB17" s="146"/>
      <c r="AC17" s="146"/>
      <c r="AD17" s="152"/>
      <c r="AE17" s="147"/>
      <c r="AF17" s="146">
        <v>1</v>
      </c>
      <c r="AG17" s="146">
        <v>4</v>
      </c>
      <c r="AH17" s="153">
        <v>0</v>
      </c>
      <c r="AI17" s="146">
        <v>0</v>
      </c>
      <c r="AJ17" s="154">
        <f t="shared" si="5"/>
      </c>
      <c r="AK17" s="146">
        <v>0</v>
      </c>
      <c r="AL17" s="155">
        <f t="shared" si="2"/>
      </c>
      <c r="AM17" s="156">
        <f t="shared" si="11"/>
      </c>
      <c r="AN17" s="148">
        <f t="shared" si="6"/>
      </c>
      <c r="AO17" s="157">
        <f t="shared" si="3"/>
      </c>
      <c r="AP17" s="155">
        <v>0</v>
      </c>
      <c r="AQ17" s="148">
        <f t="shared" si="0"/>
      </c>
      <c r="AR17" s="151">
        <f t="shared" si="9"/>
      </c>
      <c r="AS17" s="151">
        <v>0</v>
      </c>
      <c r="AT17" s="154"/>
      <c r="AU17" s="158"/>
      <c r="AV17" s="158"/>
      <c r="AW17" s="159"/>
      <c r="AX17" s="154"/>
      <c r="AY17" s="151"/>
      <c r="AZ17" s="151"/>
      <c r="BA17" s="151"/>
      <c r="BB17" s="150"/>
      <c r="BC17" s="160"/>
      <c r="BD17" s="146"/>
      <c r="BE17" s="154"/>
      <c r="BF17" s="146"/>
      <c r="BG17" s="157"/>
      <c r="BH17" s="146"/>
      <c r="BI17" s="147"/>
      <c r="BJ17" s="146"/>
      <c r="BK17" s="161"/>
      <c r="BL17" s="162"/>
    </row>
    <row customHeight="true" ht="13.333333333333332" r="18">
      <c r="A18" s="145">
        <v>46007</v>
      </c>
      <c r="B18" s="146" t="s">
        <v>148</v>
      </c>
      <c r="C18" s="147"/>
      <c r="D18" s="146">
        <v>59.99</v>
      </c>
      <c r="E18" s="148">
        <v>0</v>
      </c>
      <c r="F18" s="148">
        <v>0</v>
      </c>
      <c r="G18" s="148">
        <v>0</v>
      </c>
      <c r="H18" s="149">
        <f t="shared" si="7"/>
      </c>
      <c r="I18" s="148" t="s">
        <v>147</v>
      </c>
      <c r="J18" s="150" t="s">
        <v>147</v>
      </c>
      <c r="K18" s="146">
        <f>'法国ERP数据'!BC17</f>
      </c>
      <c r="L18" s="146">
        <f>'法国ERP数据'!BA17</f>
      </c>
      <c r="M18" s="146">
        <f t="shared" si="10"/>
      </c>
      <c r="N18" s="148">
        <f t="shared" si="8"/>
      </c>
      <c r="O18" s="151">
        <f t="shared" si="4"/>
      </c>
      <c r="P18" s="151">
        <f t="shared" si="1"/>
      </c>
      <c r="Q18" s="146">
        <f>'法国ERP数据'!R17</f>
      </c>
      <c r="R18" s="146"/>
      <c r="S18" s="146">
        <f>'法国ERP数据'!Z17</f>
      </c>
      <c r="T18" s="146">
        <v>0</v>
      </c>
      <c r="U18" s="146">
        <v>0</v>
      </c>
      <c r="V18" s="148">
        <v>0</v>
      </c>
      <c r="W18" s="146">
        <v>0</v>
      </c>
      <c r="X18" s="150"/>
      <c r="Y18" s="146"/>
      <c r="Z18" s="146"/>
      <c r="AA18" s="146"/>
      <c r="AB18" s="146"/>
      <c r="AC18" s="146"/>
      <c r="AD18" s="152"/>
      <c r="AE18" s="147"/>
      <c r="AF18" s="146">
        <v>1</v>
      </c>
      <c r="AG18" s="146">
        <v>4</v>
      </c>
      <c r="AH18" s="153">
        <v>0</v>
      </c>
      <c r="AI18" s="146">
        <v>0</v>
      </c>
      <c r="AJ18" s="154">
        <f t="shared" si="5"/>
      </c>
      <c r="AK18" s="146">
        <v>0</v>
      </c>
      <c r="AL18" s="155">
        <f t="shared" si="2"/>
      </c>
      <c r="AM18" s="156">
        <f t="shared" si="11"/>
      </c>
      <c r="AN18" s="148">
        <f t="shared" si="6"/>
      </c>
      <c r="AO18" s="157">
        <f t="shared" si="3"/>
      </c>
      <c r="AP18" s="155">
        <v>0</v>
      </c>
      <c r="AQ18" s="148">
        <f t="shared" si="0"/>
      </c>
      <c r="AR18" s="151">
        <f t="shared" si="9"/>
      </c>
      <c r="AS18" s="151">
        <v>0</v>
      </c>
      <c r="AT18" s="154"/>
      <c r="AU18" s="158"/>
      <c r="AV18" s="158"/>
      <c r="AW18" s="159"/>
      <c r="AX18" s="154"/>
      <c r="AY18" s="151"/>
      <c r="AZ18" s="151"/>
      <c r="BA18" s="151"/>
      <c r="BB18" s="150"/>
      <c r="BC18" s="160"/>
      <c r="BD18" s="146"/>
      <c r="BE18" s="154"/>
      <c r="BF18" s="146"/>
      <c r="BG18" s="157"/>
      <c r="BH18" s="146"/>
      <c r="BI18" s="147"/>
      <c r="BJ18" s="146"/>
      <c r="BK18" s="161"/>
      <c r="BL18" s="162"/>
    </row>
    <row customHeight="true" ht="13.333333333333332" r="19">
      <c r="A19" s="145">
        <v>46008</v>
      </c>
      <c r="B19" s="146" t="s">
        <v>149</v>
      </c>
      <c r="C19" s="147"/>
      <c r="D19" s="146">
        <v>59.99</v>
      </c>
      <c r="E19" s="148">
        <v>0</v>
      </c>
      <c r="F19" s="148">
        <v>0</v>
      </c>
      <c r="G19" s="148">
        <v>0</v>
      </c>
      <c r="H19" s="149">
        <f t="shared" si="7"/>
      </c>
      <c r="I19" s="148" t="s">
        <v>147</v>
      </c>
      <c r="J19" s="150" t="s">
        <v>147</v>
      </c>
      <c r="K19" s="146">
        <f>'法国ERP数据'!BC18</f>
      </c>
      <c r="L19" s="146">
        <f>'法国ERP数据'!BA18</f>
      </c>
      <c r="M19" s="146">
        <f t="shared" si="10"/>
      </c>
      <c r="N19" s="148">
        <f t="shared" si="8"/>
      </c>
      <c r="O19" s="151">
        <f t="shared" si="4"/>
      </c>
      <c r="P19" s="151">
        <f t="shared" si="1"/>
      </c>
      <c r="Q19" s="146">
        <f>'法国ERP数据'!R18</f>
      </c>
      <c r="R19" s="146"/>
      <c r="S19" s="146">
        <f>'法国ERP数据'!Z18</f>
      </c>
      <c r="T19" s="146">
        <v>0</v>
      </c>
      <c r="U19" s="146">
        <v>0</v>
      </c>
      <c r="V19" s="148">
        <v>0</v>
      </c>
      <c r="W19" s="146">
        <v>0</v>
      </c>
      <c r="X19" s="150"/>
      <c r="Y19" s="146"/>
      <c r="Z19" s="146"/>
      <c r="AA19" s="146"/>
      <c r="AB19" s="146"/>
      <c r="AC19" s="146"/>
      <c r="AD19" s="152"/>
      <c r="AE19" s="147"/>
      <c r="AF19" s="146">
        <v>1</v>
      </c>
      <c r="AG19" s="146">
        <v>4</v>
      </c>
      <c r="AH19" s="153">
        <v>0</v>
      </c>
      <c r="AI19" s="146">
        <v>0</v>
      </c>
      <c r="AJ19" s="154">
        <f t="shared" si="5"/>
      </c>
      <c r="AK19" s="146">
        <v>0</v>
      </c>
      <c r="AL19" s="155">
        <f t="shared" si="2"/>
      </c>
      <c r="AM19" s="156">
        <f t="shared" si="11"/>
      </c>
      <c r="AN19" s="148">
        <f t="shared" si="6"/>
      </c>
      <c r="AO19" s="157">
        <f t="shared" si="3"/>
      </c>
      <c r="AP19" s="155">
        <v>0</v>
      </c>
      <c r="AQ19" s="148">
        <f t="shared" si="0"/>
      </c>
      <c r="AR19" s="151">
        <f t="shared" si="9"/>
      </c>
      <c r="AS19" s="151">
        <v>0</v>
      </c>
      <c r="AT19" s="154"/>
      <c r="AU19" s="158"/>
      <c r="AV19" s="158"/>
      <c r="AW19" s="159"/>
      <c r="AX19" s="154"/>
      <c r="AY19" s="151"/>
      <c r="AZ19" s="151"/>
      <c r="BA19" s="151"/>
      <c r="BB19" s="150"/>
      <c r="BC19" s="160"/>
      <c r="BD19" s="146"/>
      <c r="BE19" s="154"/>
      <c r="BF19" s="146"/>
      <c r="BG19" s="157"/>
      <c r="BH19" s="146"/>
      <c r="BI19" s="147"/>
      <c r="BJ19" s="146"/>
      <c r="BK19" s="161"/>
      <c r="BL19" s="162"/>
    </row>
    <row customHeight="true" ht="13.333333333333332" r="20">
      <c r="A20" s="145">
        <v>46009</v>
      </c>
      <c r="B20" s="146" t="s">
        <v>150</v>
      </c>
      <c r="C20" s="147"/>
      <c r="D20" s="146">
        <v>59.99</v>
      </c>
      <c r="E20" s="148">
        <v>0</v>
      </c>
      <c r="F20" s="148">
        <v>0</v>
      </c>
      <c r="G20" s="148">
        <v>0</v>
      </c>
      <c r="H20" s="149">
        <f t="shared" si="7"/>
      </c>
      <c r="I20" s="148" t="s">
        <v>147</v>
      </c>
      <c r="J20" s="150" t="s">
        <v>147</v>
      </c>
      <c r="K20" s="146">
        <f>'法国ERP数据'!BC19</f>
      </c>
      <c r="L20" s="146">
        <f>'法国ERP数据'!BA19</f>
      </c>
      <c r="M20" s="146">
        <f t="shared" si="10"/>
      </c>
      <c r="N20" s="148">
        <f t="shared" si="8"/>
      </c>
      <c r="O20" s="151">
        <f t="shared" si="4"/>
      </c>
      <c r="P20" s="151">
        <f t="shared" si="1"/>
      </c>
      <c r="Q20" s="146">
        <f>'法国ERP数据'!R19</f>
      </c>
      <c r="R20" s="146"/>
      <c r="S20" s="146">
        <f>'法国ERP数据'!Z19</f>
      </c>
      <c r="T20" s="146">
        <v>0</v>
      </c>
      <c r="U20" s="146">
        <v>0</v>
      </c>
      <c r="V20" s="148">
        <v>0</v>
      </c>
      <c r="W20" s="146">
        <v>0</v>
      </c>
      <c r="X20" s="150"/>
      <c r="Y20" s="146"/>
      <c r="Z20" s="146"/>
      <c r="AA20" s="146"/>
      <c r="AB20" s="146"/>
      <c r="AC20" s="146"/>
      <c r="AD20" s="152"/>
      <c r="AE20" s="147"/>
      <c r="AF20" s="146">
        <v>1</v>
      </c>
      <c r="AG20" s="146">
        <v>4</v>
      </c>
      <c r="AH20" s="153">
        <v>0</v>
      </c>
      <c r="AI20" s="146">
        <v>0</v>
      </c>
      <c r="AJ20" s="154">
        <f t="shared" si="5"/>
      </c>
      <c r="AK20" s="146">
        <v>0</v>
      </c>
      <c r="AL20" s="155">
        <f t="shared" si="2"/>
      </c>
      <c r="AM20" s="156">
        <f t="shared" si="11"/>
      </c>
      <c r="AN20" s="148">
        <f t="shared" si="6"/>
      </c>
      <c r="AO20" s="157">
        <f t="shared" si="3"/>
      </c>
      <c r="AP20" s="155">
        <v>0</v>
      </c>
      <c r="AQ20" s="148">
        <f t="shared" si="0"/>
      </c>
      <c r="AR20" s="151">
        <f t="shared" si="9"/>
      </c>
      <c r="AS20" s="151">
        <v>0</v>
      </c>
      <c r="AT20" s="154"/>
      <c r="AU20" s="158"/>
      <c r="AV20" s="158"/>
      <c r="AW20" s="159"/>
      <c r="AX20" s="154"/>
      <c r="AY20" s="151"/>
      <c r="AZ20" s="151"/>
      <c r="BA20" s="151"/>
      <c r="BB20" s="150"/>
      <c r="BC20" s="160"/>
      <c r="BD20" s="146"/>
      <c r="BE20" s="154"/>
      <c r="BF20" s="146"/>
      <c r="BG20" s="157"/>
      <c r="BH20" s="146"/>
      <c r="BI20" s="147"/>
      <c r="BJ20" s="146"/>
      <c r="BK20" s="161"/>
      <c r="BL20" s="162"/>
    </row>
    <row customHeight="true" ht="13.333333333333332" r="21">
      <c r="A21" s="145">
        <v>46010</v>
      </c>
      <c r="B21" s="146" t="s">
        <v>151</v>
      </c>
      <c r="C21" s="147"/>
      <c r="D21" s="146">
        <v>59.99</v>
      </c>
      <c r="E21" s="148">
        <v>0</v>
      </c>
      <c r="F21" s="148">
        <v>0</v>
      </c>
      <c r="G21" s="148">
        <v>0</v>
      </c>
      <c r="H21" s="149">
        <f t="shared" si="7"/>
      </c>
      <c r="I21" s="148" t="s">
        <v>147</v>
      </c>
      <c r="J21" s="150" t="s">
        <v>147</v>
      </c>
      <c r="K21" s="146">
        <f>'法国ERP数据'!BC20</f>
      </c>
      <c r="L21" s="146">
        <f>'法国ERP数据'!BA20</f>
      </c>
      <c r="M21" s="146">
        <f t="shared" si="10"/>
      </c>
      <c r="N21" s="148">
        <f t="shared" si="8"/>
      </c>
      <c r="O21" s="151">
        <f t="shared" si="4"/>
      </c>
      <c r="P21" s="151">
        <f t="shared" si="1"/>
      </c>
      <c r="Q21" s="146">
        <f>'法国ERP数据'!R20</f>
      </c>
      <c r="R21" s="146"/>
      <c r="S21" s="146">
        <f>'法国ERP数据'!Z20</f>
      </c>
      <c r="T21" s="146">
        <v>0</v>
      </c>
      <c r="U21" s="146">
        <v>0</v>
      </c>
      <c r="V21" s="148">
        <v>0</v>
      </c>
      <c r="W21" s="146">
        <v>0</v>
      </c>
      <c r="X21" s="150"/>
      <c r="Y21" s="146"/>
      <c r="Z21" s="146"/>
      <c r="AA21" s="146"/>
      <c r="AB21" s="146"/>
      <c r="AC21" s="146"/>
      <c r="AD21" s="152"/>
      <c r="AE21" s="147"/>
      <c r="AF21" s="146">
        <v>1</v>
      </c>
      <c r="AG21" s="146">
        <v>4</v>
      </c>
      <c r="AH21" s="153">
        <v>0</v>
      </c>
      <c r="AI21" s="146">
        <v>0</v>
      </c>
      <c r="AJ21" s="154">
        <f t="shared" si="5"/>
      </c>
      <c r="AK21" s="146">
        <v>0</v>
      </c>
      <c r="AL21" s="155">
        <f t="shared" si="2"/>
      </c>
      <c r="AM21" s="156">
        <f t="shared" si="11"/>
      </c>
      <c r="AN21" s="148">
        <f t="shared" si="6"/>
      </c>
      <c r="AO21" s="157">
        <f t="shared" si="3"/>
      </c>
      <c r="AP21" s="155">
        <v>0</v>
      </c>
      <c r="AQ21" s="148">
        <f t="shared" si="0"/>
      </c>
      <c r="AR21" s="151">
        <f t="shared" si="9"/>
      </c>
      <c r="AS21" s="151">
        <v>0</v>
      </c>
      <c r="AT21" s="154"/>
      <c r="AU21" s="158"/>
      <c r="AV21" s="158"/>
      <c r="AW21" s="159"/>
      <c r="AX21" s="154"/>
      <c r="AY21" s="151"/>
      <c r="AZ21" s="151"/>
      <c r="BA21" s="151"/>
      <c r="BB21" s="150"/>
      <c r="BC21" s="160"/>
      <c r="BD21" s="146"/>
      <c r="BE21" s="154"/>
      <c r="BF21" s="146"/>
      <c r="BG21" s="157"/>
      <c r="BH21" s="146"/>
      <c r="BI21" s="147"/>
      <c r="BJ21" s="146"/>
      <c r="BK21" s="161"/>
      <c r="BL21" s="162"/>
    </row>
    <row customHeight="true" ht="13.333333333333332" r="22">
      <c r="A22" s="145">
        <v>46011</v>
      </c>
      <c r="B22" s="146" t="s">
        <v>152</v>
      </c>
      <c r="C22" s="147"/>
      <c r="D22" s="146">
        <v>59.99</v>
      </c>
      <c r="E22" s="148">
        <v>0</v>
      </c>
      <c r="F22" s="148">
        <v>0</v>
      </c>
      <c r="G22" s="148">
        <v>0</v>
      </c>
      <c r="H22" s="149">
        <f t="shared" si="7"/>
      </c>
      <c r="I22" s="148" t="s">
        <v>147</v>
      </c>
      <c r="J22" s="150" t="s">
        <v>147</v>
      </c>
      <c r="K22" s="146">
        <f>'法国ERP数据'!BC21</f>
      </c>
      <c r="L22" s="146">
        <f>'法国ERP数据'!BA21</f>
      </c>
      <c r="M22" s="146">
        <f t="shared" si="10"/>
      </c>
      <c r="N22" s="148">
        <f t="shared" si="8"/>
      </c>
      <c r="O22" s="151">
        <f t="shared" si="4"/>
      </c>
      <c r="P22" s="151">
        <f t="shared" si="1"/>
      </c>
      <c r="Q22" s="146">
        <f>'法国ERP数据'!R21</f>
      </c>
      <c r="R22" s="146"/>
      <c r="S22" s="146">
        <f>'法国ERP数据'!Z21</f>
      </c>
      <c r="T22" s="146">
        <v>0</v>
      </c>
      <c r="U22" s="146">
        <v>0</v>
      </c>
      <c r="V22" s="148">
        <v>0</v>
      </c>
      <c r="W22" s="146">
        <v>0</v>
      </c>
      <c r="X22" s="150"/>
      <c r="Y22" s="146"/>
      <c r="Z22" s="146"/>
      <c r="AA22" s="146"/>
      <c r="AB22" s="146"/>
      <c r="AC22" s="146"/>
      <c r="AD22" s="152"/>
      <c r="AE22" s="147"/>
      <c r="AF22" s="146">
        <v>1</v>
      </c>
      <c r="AG22" s="146">
        <v>4</v>
      </c>
      <c r="AH22" s="153">
        <v>0</v>
      </c>
      <c r="AI22" s="146">
        <v>0</v>
      </c>
      <c r="AJ22" s="154">
        <f t="shared" si="5"/>
      </c>
      <c r="AK22" s="146">
        <v>0</v>
      </c>
      <c r="AL22" s="155">
        <f t="shared" si="2"/>
      </c>
      <c r="AM22" s="156">
        <f t="shared" si="11"/>
      </c>
      <c r="AN22" s="148">
        <f t="shared" si="6"/>
      </c>
      <c r="AO22" s="157">
        <f t="shared" si="3"/>
      </c>
      <c r="AP22" s="155">
        <v>0</v>
      </c>
      <c r="AQ22" s="148">
        <f t="shared" si="0"/>
      </c>
      <c r="AR22" s="151">
        <f t="shared" si="9"/>
      </c>
      <c r="AS22" s="151">
        <v>0</v>
      </c>
      <c r="AT22" s="154"/>
      <c r="AU22" s="158"/>
      <c r="AV22" s="158"/>
      <c r="AW22" s="159"/>
      <c r="AX22" s="154"/>
      <c r="AY22" s="151"/>
      <c r="AZ22" s="151"/>
      <c r="BA22" s="151"/>
      <c r="BB22" s="150"/>
      <c r="BC22" s="160"/>
      <c r="BD22" s="146"/>
      <c r="BE22" s="154"/>
      <c r="BF22" s="146"/>
      <c r="BG22" s="157"/>
      <c r="BH22" s="146"/>
      <c r="BI22" s="147"/>
      <c r="BJ22" s="146"/>
      <c r="BK22" s="161"/>
      <c r="BL22" s="162"/>
    </row>
    <row customHeight="true" ht="13.333333333333332" r="23">
      <c r="A23" s="145">
        <v>46012</v>
      </c>
      <c r="B23" s="146" t="s">
        <v>153</v>
      </c>
      <c r="C23" s="147"/>
      <c r="D23" s="146">
        <v>59.99</v>
      </c>
      <c r="E23" s="148">
        <v>0</v>
      </c>
      <c r="F23" s="148">
        <v>0</v>
      </c>
      <c r="G23" s="148">
        <v>0</v>
      </c>
      <c r="H23" s="149">
        <f t="shared" si="7"/>
      </c>
      <c r="I23" s="148" t="s">
        <v>147</v>
      </c>
      <c r="J23" s="150" t="s">
        <v>147</v>
      </c>
      <c r="K23" s="146">
        <f>'法国ERP数据'!BC22</f>
      </c>
      <c r="L23" s="146">
        <f>'法国ERP数据'!BA22</f>
      </c>
      <c r="M23" s="146">
        <f t="shared" si="10"/>
      </c>
      <c r="N23" s="148">
        <f t="shared" si="8"/>
      </c>
      <c r="O23" s="151">
        <f t="shared" si="4"/>
      </c>
      <c r="P23" s="151">
        <f t="shared" si="1"/>
      </c>
      <c r="Q23" s="146">
        <f>'法国ERP数据'!R22</f>
      </c>
      <c r="R23" s="146"/>
      <c r="S23" s="146">
        <f>'法国ERP数据'!Z22</f>
      </c>
      <c r="T23" s="146">
        <v>0</v>
      </c>
      <c r="U23" s="146">
        <v>0</v>
      </c>
      <c r="V23" s="148">
        <v>0</v>
      </c>
      <c r="W23" s="146">
        <v>0</v>
      </c>
      <c r="X23" s="150"/>
      <c r="Y23" s="146"/>
      <c r="Z23" s="146"/>
      <c r="AA23" s="146"/>
      <c r="AB23" s="146"/>
      <c r="AC23" s="146"/>
      <c r="AD23" s="152"/>
      <c r="AE23" s="147"/>
      <c r="AF23" s="146">
        <v>1</v>
      </c>
      <c r="AG23" s="146">
        <v>4</v>
      </c>
      <c r="AH23" s="153">
        <v>0</v>
      </c>
      <c r="AI23" s="146">
        <v>0</v>
      </c>
      <c r="AJ23" s="154">
        <f t="shared" si="5"/>
      </c>
      <c r="AK23" s="146">
        <v>0</v>
      </c>
      <c r="AL23" s="155">
        <f t="shared" si="2"/>
      </c>
      <c r="AM23" s="156">
        <f t="shared" si="11"/>
      </c>
      <c r="AN23" s="148">
        <f t="shared" si="6"/>
      </c>
      <c r="AO23" s="157">
        <f t="shared" si="3"/>
      </c>
      <c r="AP23" s="155">
        <v>0</v>
      </c>
      <c r="AQ23" s="148">
        <f t="shared" si="0"/>
      </c>
      <c r="AR23" s="151">
        <f t="shared" si="9"/>
      </c>
      <c r="AS23" s="151">
        <v>0</v>
      </c>
      <c r="AT23" s="154"/>
      <c r="AU23" s="158"/>
      <c r="AV23" s="158"/>
      <c r="AW23" s="159"/>
      <c r="AX23" s="154"/>
      <c r="AY23" s="151"/>
      <c r="AZ23" s="151"/>
      <c r="BA23" s="151"/>
      <c r="BB23" s="150"/>
      <c r="BC23" s="160"/>
      <c r="BD23" s="146"/>
      <c r="BE23" s="154"/>
      <c r="BF23" s="146"/>
      <c r="BG23" s="157"/>
      <c r="BH23" s="146"/>
      <c r="BI23" s="147"/>
      <c r="BJ23" s="146"/>
      <c r="BK23" s="161"/>
      <c r="BL23" s="162"/>
    </row>
    <row customHeight="true" ht="13.333333333333332" r="24">
      <c r="A24" s="145">
        <v>46013</v>
      </c>
      <c r="B24" s="146" t="s">
        <v>146</v>
      </c>
      <c r="C24" s="147"/>
      <c r="D24" s="146">
        <v>59.99</v>
      </c>
      <c r="E24" s="148">
        <v>0</v>
      </c>
      <c r="F24" s="148">
        <v>0</v>
      </c>
      <c r="G24" s="148">
        <v>0</v>
      </c>
      <c r="H24" s="149">
        <f t="shared" si="7"/>
      </c>
      <c r="I24" s="148" t="s">
        <v>147</v>
      </c>
      <c r="J24" s="150" t="s">
        <v>147</v>
      </c>
      <c r="K24" s="146">
        <f>'法国ERP数据'!BC23</f>
      </c>
      <c r="L24" s="146">
        <f>'法国ERP数据'!BA23</f>
      </c>
      <c r="M24" s="146">
        <f t="shared" si="10"/>
      </c>
      <c r="N24" s="148">
        <f t="shared" si="8"/>
      </c>
      <c r="O24" s="151">
        <f t="shared" si="4"/>
      </c>
      <c r="P24" s="151">
        <f t="shared" si="1"/>
      </c>
      <c r="Q24" s="146">
        <f>'法国ERP数据'!R23</f>
      </c>
      <c r="R24" s="146"/>
      <c r="S24" s="146">
        <f>'法国ERP数据'!Z23</f>
      </c>
      <c r="T24" s="146">
        <v>0</v>
      </c>
      <c r="U24" s="146">
        <v>0</v>
      </c>
      <c r="V24" s="148">
        <v>0</v>
      </c>
      <c r="W24" s="146">
        <v>0</v>
      </c>
      <c r="X24" s="150"/>
      <c r="Y24" s="146"/>
      <c r="Z24" s="146"/>
      <c r="AA24" s="146"/>
      <c r="AB24" s="146"/>
      <c r="AC24" s="146"/>
      <c r="AD24" s="152"/>
      <c r="AE24" s="147"/>
      <c r="AF24" s="146">
        <v>1</v>
      </c>
      <c r="AG24" s="146">
        <v>4</v>
      </c>
      <c r="AH24" s="153">
        <v>0</v>
      </c>
      <c r="AI24" s="146">
        <v>0</v>
      </c>
      <c r="AJ24" s="154">
        <f t="shared" si="5"/>
      </c>
      <c r="AK24" s="146">
        <v>0</v>
      </c>
      <c r="AL24" s="155">
        <f t="shared" si="2"/>
      </c>
      <c r="AM24" s="156">
        <f t="shared" si="11"/>
      </c>
      <c r="AN24" s="148">
        <f t="shared" si="6"/>
      </c>
      <c r="AO24" s="157">
        <f t="shared" si="3"/>
      </c>
      <c r="AP24" s="155">
        <v>0</v>
      </c>
      <c r="AQ24" s="148">
        <f t="shared" si="0"/>
      </c>
      <c r="AR24" s="151">
        <f t="shared" si="9"/>
      </c>
      <c r="AS24" s="151">
        <v>0</v>
      </c>
      <c r="AT24" s="154"/>
      <c r="AU24" s="158"/>
      <c r="AV24" s="158"/>
      <c r="AW24" s="159"/>
      <c r="AX24" s="154"/>
      <c r="AY24" s="151"/>
      <c r="AZ24" s="151"/>
      <c r="BA24" s="151"/>
      <c r="BB24" s="150"/>
      <c r="BC24" s="160"/>
      <c r="BD24" s="146"/>
      <c r="BE24" s="154"/>
      <c r="BF24" s="146"/>
      <c r="BG24" s="157"/>
      <c r="BH24" s="146"/>
      <c r="BI24" s="147"/>
      <c r="BJ24" s="146"/>
      <c r="BK24" s="161"/>
      <c r="BL24" s="162"/>
    </row>
    <row customHeight="true" ht="13.333333333333332" r="25">
      <c r="A25" s="145">
        <v>46014</v>
      </c>
      <c r="B25" s="146" t="s">
        <v>148</v>
      </c>
      <c r="C25" s="147"/>
      <c r="D25" s="146">
        <v>59.99</v>
      </c>
      <c r="E25" s="148">
        <v>0</v>
      </c>
      <c r="F25" s="148">
        <v>0</v>
      </c>
      <c r="G25" s="148">
        <v>0</v>
      </c>
      <c r="H25" s="149">
        <f t="shared" si="7"/>
      </c>
      <c r="I25" s="148" t="s">
        <v>147</v>
      </c>
      <c r="J25" s="150" t="s">
        <v>147</v>
      </c>
      <c r="K25" s="146">
        <f>'法国ERP数据'!BC24</f>
      </c>
      <c r="L25" s="146">
        <f>'法国ERP数据'!BA24</f>
      </c>
      <c r="M25" s="146">
        <f t="shared" si="10"/>
      </c>
      <c r="N25" s="148">
        <f t="shared" si="8"/>
      </c>
      <c r="O25" s="151">
        <f t="shared" si="4"/>
      </c>
      <c r="P25" s="151">
        <f t="shared" si="1"/>
      </c>
      <c r="Q25" s="146">
        <f>'法国ERP数据'!R24</f>
      </c>
      <c r="R25" s="146"/>
      <c r="S25" s="146">
        <f>'法国ERP数据'!Z24</f>
      </c>
      <c r="T25" s="146">
        <v>0</v>
      </c>
      <c r="U25" s="146">
        <v>0</v>
      </c>
      <c r="V25" s="148">
        <v>0</v>
      </c>
      <c r="W25" s="146">
        <v>0</v>
      </c>
      <c r="X25" s="150"/>
      <c r="Y25" s="146"/>
      <c r="Z25" s="146"/>
      <c r="AA25" s="146"/>
      <c r="AB25" s="146"/>
      <c r="AC25" s="146"/>
      <c r="AD25" s="152"/>
      <c r="AE25" s="147"/>
      <c r="AF25" s="146">
        <v>1</v>
      </c>
      <c r="AG25" s="146">
        <v>4</v>
      </c>
      <c r="AH25" s="153">
        <v>0</v>
      </c>
      <c r="AI25" s="146">
        <v>0</v>
      </c>
      <c r="AJ25" s="154">
        <f t="shared" si="5"/>
      </c>
      <c r="AK25" s="146">
        <v>0</v>
      </c>
      <c r="AL25" s="155">
        <f t="shared" si="2"/>
      </c>
      <c r="AM25" s="156">
        <f t="shared" si="11"/>
      </c>
      <c r="AN25" s="148">
        <f t="shared" si="6"/>
      </c>
      <c r="AO25" s="157">
        <f t="shared" si="3"/>
      </c>
      <c r="AP25" s="155">
        <v>0</v>
      </c>
      <c r="AQ25" s="148">
        <f t="shared" si="0"/>
      </c>
      <c r="AR25" s="151">
        <f t="shared" si="9"/>
      </c>
      <c r="AS25" s="151">
        <v>0</v>
      </c>
      <c r="AT25" s="154"/>
      <c r="AU25" s="158"/>
      <c r="AV25" s="158"/>
      <c r="AW25" s="159"/>
      <c r="AX25" s="154"/>
      <c r="AY25" s="151"/>
      <c r="AZ25" s="151"/>
      <c r="BA25" s="151"/>
      <c r="BB25" s="150"/>
      <c r="BC25" s="160"/>
      <c r="BD25" s="146"/>
      <c r="BE25" s="154"/>
      <c r="BF25" s="146"/>
      <c r="BG25" s="157"/>
      <c r="BH25" s="146"/>
      <c r="BI25" s="147"/>
      <c r="BJ25" s="146"/>
      <c r="BK25" s="161"/>
      <c r="BL25" s="162"/>
    </row>
    <row customHeight="true" ht="13.333333333333332" r="26">
      <c r="A26" s="145">
        <v>46015</v>
      </c>
      <c r="B26" s="146" t="s">
        <v>149</v>
      </c>
      <c r="C26" s="147"/>
      <c r="D26" s="146">
        <v>59.99</v>
      </c>
      <c r="E26" s="148">
        <v>0</v>
      </c>
      <c r="F26" s="148">
        <v>0</v>
      </c>
      <c r="G26" s="148">
        <v>0</v>
      </c>
      <c r="H26" s="149">
        <f t="shared" si="7"/>
      </c>
      <c r="I26" s="148" t="s">
        <v>147</v>
      </c>
      <c r="J26" s="150" t="s">
        <v>147</v>
      </c>
      <c r="K26" s="146">
        <f>'法国ERP数据'!BC25</f>
      </c>
      <c r="L26" s="146">
        <f>'法国ERP数据'!BA25</f>
      </c>
      <c r="M26" s="146">
        <f t="shared" si="10"/>
      </c>
      <c r="N26" s="148">
        <f t="shared" si="8"/>
      </c>
      <c r="O26" s="151">
        <f t="shared" si="4"/>
      </c>
      <c r="P26" s="151">
        <f t="shared" si="1"/>
      </c>
      <c r="Q26" s="146">
        <f>'法国ERP数据'!R25</f>
      </c>
      <c r="R26" s="146"/>
      <c r="S26" s="146">
        <f>'法国ERP数据'!Z25</f>
      </c>
      <c r="T26" s="146">
        <v>0</v>
      </c>
      <c r="U26" s="146">
        <v>0</v>
      </c>
      <c r="V26" s="148">
        <v>0</v>
      </c>
      <c r="W26" s="146">
        <v>0</v>
      </c>
      <c r="X26" s="150"/>
      <c r="Y26" s="146"/>
      <c r="Z26" s="146"/>
      <c r="AA26" s="146"/>
      <c r="AB26" s="146"/>
      <c r="AC26" s="146"/>
      <c r="AD26" s="152"/>
      <c r="AE26" s="147"/>
      <c r="AF26" s="146">
        <v>1</v>
      </c>
      <c r="AG26" s="146">
        <v>4</v>
      </c>
      <c r="AH26" s="153">
        <v>0</v>
      </c>
      <c r="AI26" s="146">
        <v>0</v>
      </c>
      <c r="AJ26" s="154">
        <f t="shared" si="5"/>
      </c>
      <c r="AK26" s="146">
        <v>0</v>
      </c>
      <c r="AL26" s="155">
        <f t="shared" si="2"/>
      </c>
      <c r="AM26" s="156">
        <f t="shared" si="11"/>
      </c>
      <c r="AN26" s="148">
        <f t="shared" si="6"/>
      </c>
      <c r="AO26" s="157">
        <f t="shared" si="3"/>
      </c>
      <c r="AP26" s="155">
        <v>0</v>
      </c>
      <c r="AQ26" s="148">
        <f t="shared" si="0"/>
      </c>
      <c r="AR26" s="151">
        <f t="shared" si="9"/>
      </c>
      <c r="AS26" s="151">
        <v>0</v>
      </c>
      <c r="AT26" s="154"/>
      <c r="AU26" s="158"/>
      <c r="AV26" s="158"/>
      <c r="AW26" s="159"/>
      <c r="AX26" s="154"/>
      <c r="AY26" s="151"/>
      <c r="AZ26" s="151"/>
      <c r="BA26" s="151"/>
      <c r="BB26" s="150"/>
      <c r="BC26" s="160"/>
      <c r="BD26" s="146"/>
      <c r="BE26" s="154"/>
      <c r="BF26" s="146"/>
      <c r="BG26" s="157"/>
      <c r="BH26" s="146"/>
      <c r="BI26" s="147"/>
      <c r="BJ26" s="146"/>
      <c r="BK26" s="161"/>
      <c r="BL26" s="162"/>
    </row>
    <row customHeight="true" ht="13.333333333333332" r="27">
      <c r="A27" s="145">
        <v>46016</v>
      </c>
      <c r="B27" s="146" t="s">
        <v>150</v>
      </c>
      <c r="C27" s="147"/>
      <c r="D27" s="146">
        <v>59.99</v>
      </c>
      <c r="E27" s="148">
        <v>0</v>
      </c>
      <c r="F27" s="148">
        <v>0</v>
      </c>
      <c r="G27" s="148">
        <v>0</v>
      </c>
      <c r="H27" s="149">
        <f t="shared" si="7"/>
      </c>
      <c r="I27" s="148" t="s">
        <v>147</v>
      </c>
      <c r="J27" s="150" t="s">
        <v>147</v>
      </c>
      <c r="K27" s="146">
        <f>'法国ERP数据'!BC26</f>
      </c>
      <c r="L27" s="146">
        <f>'法国ERP数据'!BA26</f>
      </c>
      <c r="M27" s="146">
        <f t="shared" si="10"/>
      </c>
      <c r="N27" s="148">
        <f t="shared" si="8"/>
      </c>
      <c r="O27" s="151">
        <f t="shared" si="4"/>
      </c>
      <c r="P27" s="151">
        <f t="shared" si="1"/>
      </c>
      <c r="Q27" s="146">
        <f>'法国ERP数据'!R26</f>
      </c>
      <c r="R27" s="146"/>
      <c r="S27" s="146">
        <f>'法国ERP数据'!Z26</f>
      </c>
      <c r="T27" s="146">
        <v>0</v>
      </c>
      <c r="U27" s="146">
        <v>0</v>
      </c>
      <c r="V27" s="148">
        <v>0</v>
      </c>
      <c r="W27" s="146">
        <v>0</v>
      </c>
      <c r="X27" s="150"/>
      <c r="Y27" s="146"/>
      <c r="Z27" s="146"/>
      <c r="AA27" s="146"/>
      <c r="AB27" s="146"/>
      <c r="AC27" s="146"/>
      <c r="AD27" s="152"/>
      <c r="AE27" s="147"/>
      <c r="AF27" s="146">
        <v>1</v>
      </c>
      <c r="AG27" s="146">
        <v>4</v>
      </c>
      <c r="AH27" s="153">
        <v>0</v>
      </c>
      <c r="AI27" s="146">
        <v>0</v>
      </c>
      <c r="AJ27" s="154">
        <f t="shared" si="5"/>
      </c>
      <c r="AK27" s="146">
        <v>0</v>
      </c>
      <c r="AL27" s="155">
        <f t="shared" si="2"/>
      </c>
      <c r="AM27" s="156">
        <f t="shared" si="11"/>
      </c>
      <c r="AN27" s="148">
        <f t="shared" si="6"/>
      </c>
      <c r="AO27" s="157">
        <f t="shared" si="3"/>
      </c>
      <c r="AP27" s="155">
        <v>0</v>
      </c>
      <c r="AQ27" s="148">
        <f t="shared" si="0"/>
      </c>
      <c r="AR27" s="151">
        <f t="shared" si="9"/>
      </c>
      <c r="AS27" s="151">
        <v>0</v>
      </c>
      <c r="AT27" s="154"/>
      <c r="AU27" s="158"/>
      <c r="AV27" s="158"/>
      <c r="AW27" s="159"/>
      <c r="AX27" s="154"/>
      <c r="AY27" s="151"/>
      <c r="AZ27" s="151"/>
      <c r="BA27" s="151"/>
      <c r="BB27" s="150"/>
      <c r="BC27" s="160"/>
      <c r="BD27" s="146"/>
      <c r="BE27" s="154"/>
      <c r="BF27" s="146"/>
      <c r="BG27" s="157"/>
      <c r="BH27" s="146"/>
      <c r="BI27" s="147"/>
      <c r="BJ27" s="146"/>
      <c r="BK27" s="161"/>
      <c r="BL27" s="162"/>
    </row>
    <row customHeight="true" ht="13.333333333333332" r="28">
      <c r="A28" s="145">
        <v>46017</v>
      </c>
      <c r="B28" s="146" t="s">
        <v>151</v>
      </c>
      <c r="C28" s="147"/>
      <c r="D28" s="146">
        <v>59.99</v>
      </c>
      <c r="E28" s="148">
        <v>0</v>
      </c>
      <c r="F28" s="148">
        <v>0</v>
      </c>
      <c r="G28" s="148">
        <v>0</v>
      </c>
      <c r="H28" s="149">
        <f t="shared" si="7"/>
      </c>
      <c r="I28" s="148" t="s">
        <v>147</v>
      </c>
      <c r="J28" s="150" t="s">
        <v>147</v>
      </c>
      <c r="K28" s="146">
        <f>'法国ERP数据'!BC27</f>
      </c>
      <c r="L28" s="146">
        <f>'法国ERP数据'!BA27</f>
      </c>
      <c r="M28" s="146">
        <f t="shared" si="10"/>
      </c>
      <c r="N28" s="148">
        <f t="shared" si="8"/>
      </c>
      <c r="O28" s="151">
        <f t="shared" si="4"/>
      </c>
      <c r="P28" s="151">
        <f t="shared" si="1"/>
      </c>
      <c r="Q28" s="146">
        <f>'法国ERP数据'!R27</f>
      </c>
      <c r="R28" s="146"/>
      <c r="S28" s="146">
        <f>'法国ERP数据'!Z27</f>
      </c>
      <c r="T28" s="146">
        <v>0</v>
      </c>
      <c r="U28" s="146">
        <v>0</v>
      </c>
      <c r="V28" s="148">
        <v>0</v>
      </c>
      <c r="W28" s="146">
        <v>0</v>
      </c>
      <c r="X28" s="150"/>
      <c r="Y28" s="146"/>
      <c r="Z28" s="146"/>
      <c r="AA28" s="146"/>
      <c r="AB28" s="146"/>
      <c r="AC28" s="146"/>
      <c r="AD28" s="152"/>
      <c r="AE28" s="147"/>
      <c r="AF28" s="146">
        <v>1</v>
      </c>
      <c r="AG28" s="146">
        <v>4</v>
      </c>
      <c r="AH28" s="153">
        <v>0</v>
      </c>
      <c r="AI28" s="146">
        <v>0</v>
      </c>
      <c r="AJ28" s="154">
        <f t="shared" si="5"/>
      </c>
      <c r="AK28" s="146">
        <v>0</v>
      </c>
      <c r="AL28" s="155">
        <f t="shared" si="2"/>
      </c>
      <c r="AM28" s="156">
        <f t="shared" si="11"/>
      </c>
      <c r="AN28" s="148">
        <f t="shared" si="6"/>
      </c>
      <c r="AO28" s="157">
        <f t="shared" si="3"/>
      </c>
      <c r="AP28" s="155">
        <v>0</v>
      </c>
      <c r="AQ28" s="148">
        <f t="shared" si="0"/>
      </c>
      <c r="AR28" s="151">
        <f t="shared" si="9"/>
      </c>
      <c r="AS28" s="151">
        <v>0</v>
      </c>
      <c r="AT28" s="154"/>
      <c r="AU28" s="158"/>
      <c r="AV28" s="158"/>
      <c r="AW28" s="159"/>
      <c r="AX28" s="154"/>
      <c r="AY28" s="151"/>
      <c r="AZ28" s="151"/>
      <c r="BA28" s="151"/>
      <c r="BB28" s="150"/>
      <c r="BC28" s="160"/>
      <c r="BD28" s="146"/>
      <c r="BE28" s="154"/>
      <c r="BF28" s="146"/>
      <c r="BG28" s="157"/>
      <c r="BH28" s="146"/>
      <c r="BI28" s="147"/>
      <c r="BJ28" s="146"/>
      <c r="BK28" s="161"/>
      <c r="BL28" s="162"/>
    </row>
    <row customHeight="true" ht="13.333333333333332" r="29">
      <c r="A29" s="145">
        <v>46018</v>
      </c>
      <c r="B29" s="146" t="s">
        <v>152</v>
      </c>
      <c r="C29" s="147"/>
      <c r="D29" s="146">
        <v>59.99</v>
      </c>
      <c r="E29" s="148">
        <v>0</v>
      </c>
      <c r="F29" s="148">
        <v>0</v>
      </c>
      <c r="G29" s="148">
        <v>0</v>
      </c>
      <c r="H29" s="149">
        <f t="shared" si="7"/>
      </c>
      <c r="I29" s="148" t="s">
        <v>147</v>
      </c>
      <c r="J29" s="150" t="s">
        <v>147</v>
      </c>
      <c r="K29" s="146">
        <f>'法国ERP数据'!BC28</f>
      </c>
      <c r="L29" s="146">
        <f>'法国ERP数据'!BA28</f>
      </c>
      <c r="M29" s="146">
        <f t="shared" si="10"/>
      </c>
      <c r="N29" s="148">
        <f t="shared" si="8"/>
      </c>
      <c r="O29" s="151">
        <f t="shared" si="4"/>
      </c>
      <c r="P29" s="151">
        <f t="shared" si="1"/>
      </c>
      <c r="Q29" s="146">
        <f>'法国ERP数据'!R28</f>
      </c>
      <c r="R29" s="146"/>
      <c r="S29" s="146">
        <f>'法国ERP数据'!Z28</f>
      </c>
      <c r="T29" s="146">
        <v>0</v>
      </c>
      <c r="U29" s="146">
        <v>0</v>
      </c>
      <c r="V29" s="148">
        <v>0</v>
      </c>
      <c r="W29" s="146">
        <v>0</v>
      </c>
      <c r="X29" s="150"/>
      <c r="Y29" s="146"/>
      <c r="Z29" s="146"/>
      <c r="AA29" s="146"/>
      <c r="AB29" s="146"/>
      <c r="AC29" s="146"/>
      <c r="AD29" s="152"/>
      <c r="AE29" s="147"/>
      <c r="AF29" s="146">
        <v>1</v>
      </c>
      <c r="AG29" s="146">
        <v>4</v>
      </c>
      <c r="AH29" s="153">
        <v>0</v>
      </c>
      <c r="AI29" s="146">
        <v>0</v>
      </c>
      <c r="AJ29" s="154">
        <f t="shared" si="5"/>
      </c>
      <c r="AK29" s="146">
        <v>0</v>
      </c>
      <c r="AL29" s="155">
        <f t="shared" si="2"/>
      </c>
      <c r="AM29" s="156">
        <f t="shared" si="11"/>
      </c>
      <c r="AN29" s="148">
        <f t="shared" si="6"/>
      </c>
      <c r="AO29" s="157">
        <f t="shared" si="3"/>
      </c>
      <c r="AP29" s="155">
        <v>0</v>
      </c>
      <c r="AQ29" s="148">
        <f t="shared" si="0"/>
      </c>
      <c r="AR29" s="151">
        <f t="shared" si="9"/>
      </c>
      <c r="AS29" s="151">
        <v>0</v>
      </c>
      <c r="AT29" s="154"/>
      <c r="AU29" s="158"/>
      <c r="AV29" s="158"/>
      <c r="AW29" s="159"/>
      <c r="AX29" s="154"/>
      <c r="AY29" s="151"/>
      <c r="AZ29" s="151"/>
      <c r="BA29" s="151"/>
      <c r="BB29" s="150"/>
      <c r="BC29" s="160"/>
      <c r="BD29" s="146"/>
      <c r="BE29" s="154"/>
      <c r="BF29" s="146"/>
      <c r="BG29" s="157"/>
      <c r="BH29" s="146"/>
      <c r="BI29" s="147"/>
      <c r="BJ29" s="146"/>
      <c r="BK29" s="161"/>
      <c r="BL29" s="162"/>
    </row>
    <row customHeight="true" ht="13.333333333333332" r="30">
      <c r="A30" s="145">
        <v>46019</v>
      </c>
      <c r="B30" s="146" t="s">
        <v>153</v>
      </c>
      <c r="C30" s="147"/>
      <c r="D30" s="146">
        <v>59.99</v>
      </c>
      <c r="E30" s="148">
        <v>0</v>
      </c>
      <c r="F30" s="148">
        <v>0</v>
      </c>
      <c r="G30" s="148">
        <v>0</v>
      </c>
      <c r="H30" s="149">
        <f t="shared" si="7"/>
      </c>
      <c r="I30" s="148" t="s">
        <v>147</v>
      </c>
      <c r="J30" s="150" t="s">
        <v>147</v>
      </c>
      <c r="K30" s="146">
        <f>'法国ERP数据'!BC29</f>
      </c>
      <c r="L30" s="146">
        <f>'法国ERP数据'!BA29</f>
      </c>
      <c r="M30" s="146">
        <f t="shared" si="10"/>
      </c>
      <c r="N30" s="148">
        <f t="shared" si="8"/>
      </c>
      <c r="O30" s="151">
        <f t="shared" si="4"/>
      </c>
      <c r="P30" s="151">
        <f t="shared" si="1"/>
      </c>
      <c r="Q30" s="146">
        <f>'法国ERP数据'!R29</f>
      </c>
      <c r="R30" s="146"/>
      <c r="S30" s="146">
        <f>'法国ERP数据'!Z29</f>
      </c>
      <c r="T30" s="146">
        <v>0</v>
      </c>
      <c r="U30" s="146">
        <v>0</v>
      </c>
      <c r="V30" s="148">
        <v>0</v>
      </c>
      <c r="W30" s="146">
        <v>0</v>
      </c>
      <c r="X30" s="150"/>
      <c r="Y30" s="146"/>
      <c r="Z30" s="146"/>
      <c r="AA30" s="146"/>
      <c r="AB30" s="146"/>
      <c r="AC30" s="146"/>
      <c r="AD30" s="152"/>
      <c r="AE30" s="147"/>
      <c r="AF30" s="146">
        <v>1</v>
      </c>
      <c r="AG30" s="146">
        <v>4</v>
      </c>
      <c r="AH30" s="153">
        <v>0</v>
      </c>
      <c r="AI30" s="146">
        <v>0</v>
      </c>
      <c r="AJ30" s="154">
        <f t="shared" si="5"/>
      </c>
      <c r="AK30" s="146">
        <v>0</v>
      </c>
      <c r="AL30" s="155">
        <f t="shared" si="2"/>
      </c>
      <c r="AM30" s="156">
        <f t="shared" si="11"/>
      </c>
      <c r="AN30" s="148">
        <f t="shared" si="6"/>
      </c>
      <c r="AO30" s="157">
        <f t="shared" si="3"/>
      </c>
      <c r="AP30" s="155">
        <v>0</v>
      </c>
      <c r="AQ30" s="148">
        <f t="shared" si="0"/>
      </c>
      <c r="AR30" s="151">
        <f t="shared" si="9"/>
      </c>
      <c r="AS30" s="151">
        <v>0</v>
      </c>
      <c r="AT30" s="154"/>
      <c r="AU30" s="158"/>
      <c r="AV30" s="158"/>
      <c r="AW30" s="159"/>
      <c r="AX30" s="154"/>
      <c r="AY30" s="151"/>
      <c r="AZ30" s="151"/>
      <c r="BA30" s="151"/>
      <c r="BB30" s="150"/>
      <c r="BC30" s="160"/>
      <c r="BD30" s="146"/>
      <c r="BE30" s="154"/>
      <c r="BF30" s="146"/>
      <c r="BG30" s="157"/>
      <c r="BH30" s="146"/>
      <c r="BI30" s="147"/>
      <c r="BJ30" s="146"/>
      <c r="BK30" s="161"/>
      <c r="BL30" s="162"/>
    </row>
    <row customHeight="true" ht="13.333333333333332" r="31">
      <c r="A31" s="145">
        <v>46020</v>
      </c>
      <c r="B31" s="146" t="s">
        <v>146</v>
      </c>
      <c r="C31" s="147"/>
      <c r="D31" s="146">
        <v>59.99</v>
      </c>
      <c r="E31" s="148">
        <v>0</v>
      </c>
      <c r="F31" s="148">
        <v>0</v>
      </c>
      <c r="G31" s="148">
        <v>0</v>
      </c>
      <c r="H31" s="149">
        <f t="shared" si="7"/>
      </c>
      <c r="I31" s="148" t="s">
        <v>147</v>
      </c>
      <c r="J31" s="150" t="s">
        <v>147</v>
      </c>
      <c r="K31" s="146">
        <f>'法国ERP数据'!BC30</f>
      </c>
      <c r="L31" s="146">
        <f>'法国ERP数据'!BA30</f>
      </c>
      <c r="M31" s="146">
        <f t="shared" si="10"/>
      </c>
      <c r="N31" s="148">
        <f t="shared" si="8"/>
      </c>
      <c r="O31" s="151">
        <f t="shared" si="4"/>
      </c>
      <c r="P31" s="151">
        <f t="shared" si="1"/>
      </c>
      <c r="Q31" s="146">
        <f>'法国ERP数据'!R30</f>
      </c>
      <c r="R31" s="146"/>
      <c r="S31" s="146">
        <f>'法国ERP数据'!Z30</f>
      </c>
      <c r="T31" s="146">
        <v>0</v>
      </c>
      <c r="U31" s="146">
        <v>0</v>
      </c>
      <c r="V31" s="148">
        <v>0</v>
      </c>
      <c r="W31" s="146">
        <v>0</v>
      </c>
      <c r="X31" s="150"/>
      <c r="Y31" s="146"/>
      <c r="Z31" s="146"/>
      <c r="AA31" s="146"/>
      <c r="AB31" s="146"/>
      <c r="AC31" s="146"/>
      <c r="AD31" s="152"/>
      <c r="AE31" s="147"/>
      <c r="AF31" s="146">
        <v>1</v>
      </c>
      <c r="AG31" s="146">
        <v>4</v>
      </c>
      <c r="AH31" s="153">
        <v>0</v>
      </c>
      <c r="AI31" s="146">
        <v>0</v>
      </c>
      <c r="AJ31" s="154">
        <f t="shared" si="5"/>
      </c>
      <c r="AK31" s="146">
        <v>0</v>
      </c>
      <c r="AL31" s="155">
        <f t="shared" si="2"/>
      </c>
      <c r="AM31" s="156">
        <f t="shared" si="11"/>
      </c>
      <c r="AN31" s="148">
        <f t="shared" si="6"/>
      </c>
      <c r="AO31" s="157">
        <f t="shared" si="3"/>
      </c>
      <c r="AP31" s="155">
        <v>0</v>
      </c>
      <c r="AQ31" s="148">
        <f t="shared" si="0"/>
      </c>
      <c r="AR31" s="151">
        <f t="shared" si="9"/>
      </c>
      <c r="AS31" s="151">
        <v>0</v>
      </c>
      <c r="AT31" s="154"/>
      <c r="AU31" s="158"/>
      <c r="AV31" s="158"/>
      <c r="AW31" s="159"/>
      <c r="AX31" s="154"/>
      <c r="AY31" s="151"/>
      <c r="AZ31" s="151"/>
      <c r="BA31" s="151"/>
      <c r="BB31" s="150"/>
      <c r="BC31" s="160"/>
      <c r="BD31" s="146"/>
      <c r="BE31" s="154"/>
      <c r="BF31" s="146"/>
      <c r="BG31" s="157"/>
      <c r="BH31" s="146"/>
      <c r="BI31" s="147"/>
      <c r="BJ31" s="146"/>
      <c r="BK31" s="161"/>
      <c r="BL31" s="162"/>
    </row>
    <row customHeight="true" ht="13.333333333333332" r="32">
      <c r="A32" s="145">
        <v>46021</v>
      </c>
      <c r="B32" s="146" t="s">
        <v>148</v>
      </c>
      <c r="C32" s="147"/>
      <c r="D32" s="146">
        <v>59.99</v>
      </c>
      <c r="E32" s="148">
        <v>0</v>
      </c>
      <c r="F32" s="148">
        <v>0</v>
      </c>
      <c r="G32" s="148">
        <v>0</v>
      </c>
      <c r="H32" s="149">
        <f t="shared" si="7"/>
      </c>
      <c r="I32" s="148" t="s">
        <v>147</v>
      </c>
      <c r="J32" s="150" t="s">
        <v>147</v>
      </c>
      <c r="K32" s="146">
        <f>'法国ERP数据'!BC31</f>
      </c>
      <c r="L32" s="146">
        <f>'法国ERP数据'!BA31</f>
      </c>
      <c r="M32" s="146">
        <f t="shared" si="10"/>
      </c>
      <c r="N32" s="148">
        <f t="shared" si="8"/>
      </c>
      <c r="O32" s="151">
        <f t="shared" si="4"/>
      </c>
      <c r="P32" s="151">
        <f t="shared" si="1"/>
      </c>
      <c r="Q32" s="146">
        <f>'法国ERP数据'!R31</f>
      </c>
      <c r="R32" s="146"/>
      <c r="S32" s="146">
        <f>'法国ERP数据'!Z31</f>
      </c>
      <c r="T32" s="146">
        <v>0</v>
      </c>
      <c r="U32" s="146">
        <v>0</v>
      </c>
      <c r="V32" s="148">
        <v>0</v>
      </c>
      <c r="W32" s="146">
        <v>0</v>
      </c>
      <c r="X32" s="150"/>
      <c r="Y32" s="146"/>
      <c r="Z32" s="146"/>
      <c r="AA32" s="146"/>
      <c r="AB32" s="146"/>
      <c r="AC32" s="146"/>
      <c r="AD32" s="152"/>
      <c r="AE32" s="147"/>
      <c r="AF32" s="146">
        <v>1</v>
      </c>
      <c r="AG32" s="146">
        <v>4</v>
      </c>
      <c r="AH32" s="153">
        <v>0</v>
      </c>
      <c r="AI32" s="146">
        <v>0</v>
      </c>
      <c r="AJ32" s="154">
        <f t="shared" si="5"/>
      </c>
      <c r="AK32" s="146">
        <v>0</v>
      </c>
      <c r="AL32" s="155">
        <f t="shared" si="2"/>
      </c>
      <c r="AM32" s="156">
        <f t="shared" si="11"/>
      </c>
      <c r="AN32" s="148">
        <f t="shared" si="6"/>
      </c>
      <c r="AO32" s="157">
        <f t="shared" si="3"/>
      </c>
      <c r="AP32" s="155">
        <v>0</v>
      </c>
      <c r="AQ32" s="148">
        <f t="shared" si="0"/>
      </c>
      <c r="AR32" s="151">
        <f t="shared" si="9"/>
      </c>
      <c r="AS32" s="151">
        <v>0</v>
      </c>
      <c r="AT32" s="154"/>
      <c r="AU32" s="158"/>
      <c r="AV32" s="158"/>
      <c r="AW32" s="159"/>
      <c r="AX32" s="154"/>
      <c r="AY32" s="151"/>
      <c r="AZ32" s="151"/>
      <c r="BA32" s="151"/>
      <c r="BB32" s="150"/>
      <c r="BC32" s="160"/>
      <c r="BD32" s="146"/>
      <c r="BE32" s="154"/>
      <c r="BF32" s="146"/>
      <c r="BG32" s="157"/>
      <c r="BH32" s="146"/>
      <c r="BI32" s="147"/>
      <c r="BJ32" s="146"/>
      <c r="BK32" s="161"/>
      <c r="BL32" s="162"/>
    </row>
    <row customHeight="true" ht="13.333333333333332" r="33">
      <c r="A33" s="145">
        <v>46022</v>
      </c>
      <c r="B33" s="146" t="s">
        <v>149</v>
      </c>
      <c r="C33" s="147"/>
      <c r="D33" s="146">
        <v>59.99</v>
      </c>
      <c r="E33" s="148">
        <v>0</v>
      </c>
      <c r="F33" s="148">
        <v>0</v>
      </c>
      <c r="G33" s="148">
        <v>0</v>
      </c>
      <c r="H33" s="149">
        <f t="shared" si="7"/>
      </c>
      <c r="I33" s="148" t="s">
        <v>147</v>
      </c>
      <c r="J33" s="150" t="s">
        <v>147</v>
      </c>
      <c r="K33" s="146">
        <f>'法国ERP数据'!BC32</f>
      </c>
      <c r="L33" s="146">
        <f>'法国ERP数据'!BA32</f>
      </c>
      <c r="M33" s="146">
        <f t="shared" si="10"/>
      </c>
      <c r="N33" s="148">
        <f t="shared" si="8"/>
      </c>
      <c r="O33" s="151">
        <f t="shared" si="4"/>
      </c>
      <c r="P33" s="151">
        <f t="shared" si="1"/>
      </c>
      <c r="Q33" s="146">
        <f>'法国ERP数据'!R32</f>
      </c>
      <c r="R33" s="146"/>
      <c r="S33" s="146">
        <f>'法国ERP数据'!Z32</f>
      </c>
      <c r="T33" s="146">
        <v>0</v>
      </c>
      <c r="U33" s="146">
        <v>0</v>
      </c>
      <c r="V33" s="148">
        <v>0</v>
      </c>
      <c r="W33" s="146">
        <v>0</v>
      </c>
      <c r="X33" s="150"/>
      <c r="Y33" s="146"/>
      <c r="Z33" s="146"/>
      <c r="AA33" s="146"/>
      <c r="AB33" s="146"/>
      <c r="AC33" s="146"/>
      <c r="AD33" s="152"/>
      <c r="AE33" s="147"/>
      <c r="AF33" s="146">
        <v>1</v>
      </c>
      <c r="AG33" s="146">
        <v>4</v>
      </c>
      <c r="AH33" s="153">
        <v>0</v>
      </c>
      <c r="AI33" s="146">
        <v>0</v>
      </c>
      <c r="AJ33" s="154">
        <f t="shared" si="5"/>
      </c>
      <c r="AK33" s="146">
        <v>0</v>
      </c>
      <c r="AL33" s="155">
        <f t="shared" si="2"/>
      </c>
      <c r="AM33" s="156">
        <f t="shared" si="11"/>
      </c>
      <c r="AN33" s="148">
        <f t="shared" si="6"/>
      </c>
      <c r="AO33" s="157">
        <f t="shared" si="3"/>
      </c>
      <c r="AP33" s="155">
        <v>0</v>
      </c>
      <c r="AQ33" s="148">
        <f t="shared" si="0"/>
      </c>
      <c r="AR33" s="151">
        <f t="shared" si="9"/>
      </c>
      <c r="AS33" s="151">
        <v>0</v>
      </c>
      <c r="AT33" s="154"/>
      <c r="AU33" s="158"/>
      <c r="AV33" s="158"/>
      <c r="AW33" s="159"/>
      <c r="AX33" s="154"/>
      <c r="AY33" s="151"/>
      <c r="AZ33" s="151"/>
      <c r="BA33" s="151"/>
      <c r="BB33" s="150"/>
      <c r="BC33" s="160"/>
      <c r="BD33" s="146"/>
      <c r="BE33" s="154"/>
      <c r="BF33" s="146"/>
      <c r="BG33" s="157"/>
      <c r="BH33" s="146"/>
      <c r="BI33" s="147"/>
      <c r="BJ33" s="146"/>
      <c r="BK33" s="161"/>
      <c r="BL33" s="162"/>
    </row>
    <row customHeight="true" ht="13.333333333333332" r="34">
      <c r="A34" s="145">
        <v>46023</v>
      </c>
      <c r="B34" s="146" t="s">
        <v>150</v>
      </c>
      <c r="C34" s="147"/>
      <c r="D34" s="146">
        <v>59.99</v>
      </c>
      <c r="E34" s="148">
        <v>0</v>
      </c>
      <c r="F34" s="148">
        <v>0</v>
      </c>
      <c r="G34" s="148">
        <v>0</v>
      </c>
      <c r="H34" s="149">
        <f t="shared" si="7"/>
      </c>
      <c r="I34" s="148" t="s">
        <v>147</v>
      </c>
      <c r="J34" s="150" t="s">
        <v>147</v>
      </c>
      <c r="K34" s="146">
        <f>'法国ERP数据'!BC33</f>
      </c>
      <c r="L34" s="146">
        <f>'法国ERP数据'!BA33</f>
      </c>
      <c r="M34" s="146">
        <f t="shared" si="10"/>
      </c>
      <c r="N34" s="148">
        <f t="shared" si="8"/>
      </c>
      <c r="O34" s="151">
        <f t="shared" si="4"/>
      </c>
      <c r="P34" s="151">
        <f t="shared" si="1"/>
      </c>
      <c r="Q34" s="146">
        <f>'法国ERP数据'!R33</f>
      </c>
      <c r="R34" s="146"/>
      <c r="S34" s="146">
        <f>'法国ERP数据'!Z33</f>
      </c>
      <c r="T34" s="146">
        <v>0</v>
      </c>
      <c r="U34" s="146">
        <v>0</v>
      </c>
      <c r="V34" s="148">
        <v>0</v>
      </c>
      <c r="W34" s="146">
        <v>0</v>
      </c>
      <c r="X34" s="150"/>
      <c r="Y34" s="146"/>
      <c r="Z34" s="146"/>
      <c r="AA34" s="146"/>
      <c r="AB34" s="146"/>
      <c r="AC34" s="146"/>
      <c r="AD34" s="152"/>
      <c r="AE34" s="147"/>
      <c r="AF34" s="146">
        <v>1</v>
      </c>
      <c r="AG34" s="146">
        <v>4</v>
      </c>
      <c r="AH34" s="153">
        <v>0</v>
      </c>
      <c r="AI34" s="146">
        <v>0</v>
      </c>
      <c r="AJ34" s="154">
        <f t="shared" si="5"/>
      </c>
      <c r="AK34" s="146">
        <v>0</v>
      </c>
      <c r="AL34" s="155">
        <f t="shared" si="2"/>
      </c>
      <c r="AM34" s="156">
        <f t="shared" si="11"/>
      </c>
      <c r="AN34" s="148">
        <f t="shared" si="6"/>
      </c>
      <c r="AO34" s="157">
        <f t="shared" si="3"/>
      </c>
      <c r="AP34" s="155">
        <v>0</v>
      </c>
      <c r="AQ34" s="148">
        <f t="shared" si="0"/>
      </c>
      <c r="AR34" s="151">
        <f t="shared" si="9"/>
      </c>
      <c r="AS34" s="151">
        <v>0</v>
      </c>
      <c r="AT34" s="154"/>
      <c r="AU34" s="158"/>
      <c r="AV34" s="158"/>
      <c r="AW34" s="159"/>
      <c r="AX34" s="154"/>
      <c r="AY34" s="151"/>
      <c r="AZ34" s="151"/>
      <c r="BA34" s="151"/>
      <c r="BB34" s="150"/>
      <c r="BC34" s="160"/>
      <c r="BD34" s="146"/>
      <c r="BE34" s="154"/>
      <c r="BF34" s="146"/>
      <c r="BG34" s="157"/>
      <c r="BH34" s="146"/>
      <c r="BI34" s="147"/>
      <c r="BJ34" s="146"/>
      <c r="BK34" s="161"/>
      <c r="BL34" s="162"/>
    </row>
    <row customHeight="true" ht="13.333333333333332" r="35">
      <c r="A35" s="145">
        <v>46024</v>
      </c>
      <c r="B35" s="146" t="s">
        <v>151</v>
      </c>
      <c r="C35" s="147"/>
      <c r="D35" s="146">
        <v>59.99</v>
      </c>
      <c r="E35" s="148">
        <v>0</v>
      </c>
      <c r="F35" s="148">
        <v>0</v>
      </c>
      <c r="G35" s="148">
        <v>0</v>
      </c>
      <c r="H35" s="149">
        <f t="shared" si="7"/>
      </c>
      <c r="I35" s="148" t="s">
        <v>147</v>
      </c>
      <c r="J35" s="150" t="s">
        <v>147</v>
      </c>
      <c r="K35" s="146">
        <f>'法国ERP数据'!BC34</f>
      </c>
      <c r="L35" s="146">
        <f>'法国ERP数据'!BA34</f>
      </c>
      <c r="M35" s="146">
        <f t="shared" si="10"/>
      </c>
      <c r="N35" s="148">
        <f t="shared" si="8"/>
      </c>
      <c r="O35" s="151">
        <f t="shared" si="4"/>
      </c>
      <c r="P35" s="151">
        <f t="shared" si="1"/>
      </c>
      <c r="Q35" s="146">
        <f>'法国ERP数据'!R34</f>
      </c>
      <c r="R35" s="146"/>
      <c r="S35" s="146">
        <f>'法国ERP数据'!Z34</f>
      </c>
      <c r="T35" s="146">
        <v>0</v>
      </c>
      <c r="U35" s="146">
        <v>0</v>
      </c>
      <c r="V35" s="148">
        <v>0</v>
      </c>
      <c r="W35" s="146">
        <v>0</v>
      </c>
      <c r="X35" s="150"/>
      <c r="Y35" s="146"/>
      <c r="Z35" s="146"/>
      <c r="AA35" s="146"/>
      <c r="AB35" s="146"/>
      <c r="AC35" s="146"/>
      <c r="AD35" s="152"/>
      <c r="AE35" s="147"/>
      <c r="AF35" s="146">
        <v>1</v>
      </c>
      <c r="AG35" s="146">
        <v>4</v>
      </c>
      <c r="AH35" s="153">
        <v>0</v>
      </c>
      <c r="AI35" s="146">
        <v>0</v>
      </c>
      <c r="AJ35" s="154">
        <f t="shared" si="5"/>
      </c>
      <c r="AK35" s="146">
        <v>0</v>
      </c>
      <c r="AL35" s="155">
        <f t="shared" si="2"/>
      </c>
      <c r="AM35" s="156">
        <f t="shared" si="11"/>
      </c>
      <c r="AN35" s="148">
        <f t="shared" si="6"/>
      </c>
      <c r="AO35" s="157">
        <f t="shared" si="3"/>
      </c>
      <c r="AP35" s="155">
        <v>0</v>
      </c>
      <c r="AQ35" s="148">
        <f t="shared" si="0"/>
      </c>
      <c r="AR35" s="151">
        <f t="shared" si="9"/>
      </c>
      <c r="AS35" s="151">
        <v>0</v>
      </c>
      <c r="AT35" s="154"/>
      <c r="AU35" s="158"/>
      <c r="AV35" s="158"/>
      <c r="AW35" s="159"/>
      <c r="AX35" s="154"/>
      <c r="AY35" s="151"/>
      <c r="AZ35" s="151"/>
      <c r="BA35" s="151"/>
      <c r="BB35" s="150"/>
      <c r="BC35" s="160"/>
      <c r="BD35" s="146"/>
      <c r="BE35" s="154"/>
      <c r="BF35" s="146"/>
      <c r="BG35" s="157"/>
      <c r="BH35" s="146"/>
      <c r="BI35" s="147"/>
      <c r="BJ35" s="146"/>
      <c r="BK35" s="161"/>
      <c r="BL35" s="162"/>
    </row>
    <row customHeight="true" ht="13.333333333333332" r="36">
      <c r="A36" s="145">
        <v>46025</v>
      </c>
      <c r="B36" s="146" t="s">
        <v>152</v>
      </c>
      <c r="C36" s="147"/>
      <c r="D36" s="146">
        <v>59.99</v>
      </c>
      <c r="E36" s="148">
        <v>0</v>
      </c>
      <c r="F36" s="148">
        <v>0</v>
      </c>
      <c r="G36" s="148">
        <v>0</v>
      </c>
      <c r="H36" s="149">
        <f t="shared" si="7"/>
      </c>
      <c r="I36" s="148" t="s">
        <v>147</v>
      </c>
      <c r="J36" s="150" t="s">
        <v>147</v>
      </c>
      <c r="K36" s="146">
        <f>'法国ERP数据'!BC35</f>
      </c>
      <c r="L36" s="146">
        <f>'法国ERP数据'!BA35</f>
      </c>
      <c r="M36" s="146">
        <f t="shared" si="10"/>
      </c>
      <c r="N36" s="148">
        <f t="shared" si="8"/>
      </c>
      <c r="O36" s="151">
        <f t="shared" si="4"/>
      </c>
      <c r="P36" s="151">
        <f t="shared" si="1"/>
      </c>
      <c r="Q36" s="146">
        <f>'法国ERP数据'!R35</f>
      </c>
      <c r="R36" s="146"/>
      <c r="S36" s="146">
        <f>'法国ERP数据'!Z35</f>
      </c>
      <c r="T36" s="146">
        <v>0</v>
      </c>
      <c r="U36" s="146">
        <v>0</v>
      </c>
      <c r="V36" s="148">
        <v>0</v>
      </c>
      <c r="W36" s="146">
        <v>0</v>
      </c>
      <c r="X36" s="150"/>
      <c r="Y36" s="146"/>
      <c r="Z36" s="146"/>
      <c r="AA36" s="146"/>
      <c r="AB36" s="146"/>
      <c r="AC36" s="146"/>
      <c r="AD36" s="152"/>
      <c r="AE36" s="147"/>
      <c r="AF36" s="146">
        <v>1</v>
      </c>
      <c r="AG36" s="146">
        <v>4</v>
      </c>
      <c r="AH36" s="153">
        <v>0</v>
      </c>
      <c r="AI36" s="146">
        <v>0</v>
      </c>
      <c r="AJ36" s="154">
        <f t="shared" si="5"/>
      </c>
      <c r="AK36" s="146">
        <v>0</v>
      </c>
      <c r="AL36" s="155">
        <f t="shared" si="2"/>
      </c>
      <c r="AM36" s="156">
        <f t="shared" si="11"/>
      </c>
      <c r="AN36" s="148">
        <f t="shared" si="6"/>
      </c>
      <c r="AO36" s="157">
        <f t="shared" si="3"/>
      </c>
      <c r="AP36" s="155">
        <v>0</v>
      </c>
      <c r="AQ36" s="148">
        <f t="shared" si="0"/>
      </c>
      <c r="AR36" s="151">
        <f t="shared" si="9"/>
      </c>
      <c r="AS36" s="151">
        <v>0</v>
      </c>
      <c r="AT36" s="154"/>
      <c r="AU36" s="158"/>
      <c r="AV36" s="158"/>
      <c r="AW36" s="159"/>
      <c r="AX36" s="154"/>
      <c r="AY36" s="151"/>
      <c r="AZ36" s="151"/>
      <c r="BA36" s="151"/>
      <c r="BB36" s="150"/>
      <c r="BC36" s="160"/>
      <c r="BD36" s="146"/>
      <c r="BE36" s="154"/>
      <c r="BF36" s="146"/>
      <c r="BG36" s="157"/>
      <c r="BH36" s="146"/>
      <c r="BI36" s="147"/>
      <c r="BJ36" s="146"/>
      <c r="BK36" s="161"/>
      <c r="BL36" s="162"/>
    </row>
    <row customHeight="true" ht="13.333333333333332" r="37">
      <c r="A37" s="145">
        <v>46026</v>
      </c>
      <c r="B37" s="146" t="s">
        <v>153</v>
      </c>
      <c r="C37" s="147"/>
      <c r="D37" s="146">
        <v>59.99</v>
      </c>
      <c r="E37" s="148">
        <v>0</v>
      </c>
      <c r="F37" s="148">
        <v>0</v>
      </c>
      <c r="G37" s="148">
        <v>0</v>
      </c>
      <c r="H37" s="149">
        <f t="shared" si="7"/>
      </c>
      <c r="I37" s="148" t="s">
        <v>147</v>
      </c>
      <c r="J37" s="150" t="s">
        <v>147</v>
      </c>
      <c r="K37" s="146">
        <f>'法国ERP数据'!BC36</f>
      </c>
      <c r="L37" s="146">
        <f>'法国ERP数据'!BA36</f>
      </c>
      <c r="M37" s="146">
        <f t="shared" si="10"/>
      </c>
      <c r="N37" s="148">
        <f t="shared" si="8"/>
      </c>
      <c r="O37" s="151">
        <f t="shared" si="4"/>
      </c>
      <c r="P37" s="151">
        <f t="shared" si="1"/>
      </c>
      <c r="Q37" s="146">
        <f>'法国ERP数据'!R36</f>
      </c>
      <c r="R37" s="146"/>
      <c r="S37" s="146">
        <f>'法国ERP数据'!Z36</f>
      </c>
      <c r="T37" s="146">
        <v>0</v>
      </c>
      <c r="U37" s="146">
        <v>0</v>
      </c>
      <c r="V37" s="148">
        <v>0</v>
      </c>
      <c r="W37" s="146">
        <v>0</v>
      </c>
      <c r="X37" s="150"/>
      <c r="Y37" s="146"/>
      <c r="Z37" s="146"/>
      <c r="AA37" s="146"/>
      <c r="AB37" s="146"/>
      <c r="AC37" s="146"/>
      <c r="AD37" s="152"/>
      <c r="AE37" s="147"/>
      <c r="AF37" s="146">
        <v>1</v>
      </c>
      <c r="AG37" s="146">
        <v>4</v>
      </c>
      <c r="AH37" s="153">
        <v>0</v>
      </c>
      <c r="AI37" s="146">
        <v>0</v>
      </c>
      <c r="AJ37" s="154">
        <f t="shared" si="5"/>
      </c>
      <c r="AK37" s="146">
        <v>0</v>
      </c>
      <c r="AL37" s="155">
        <f t="shared" si="2"/>
      </c>
      <c r="AM37" s="156">
        <f t="shared" si="11"/>
      </c>
      <c r="AN37" s="148">
        <f t="shared" si="6"/>
      </c>
      <c r="AO37" s="157">
        <f t="shared" si="3"/>
      </c>
      <c r="AP37" s="155">
        <v>0</v>
      </c>
      <c r="AQ37" s="148">
        <f t="shared" si="0"/>
      </c>
      <c r="AR37" s="151">
        <f t="shared" si="9"/>
      </c>
      <c r="AS37" s="151">
        <v>0</v>
      </c>
      <c r="AT37" s="154"/>
      <c r="AU37" s="158"/>
      <c r="AV37" s="158"/>
      <c r="AW37" s="159"/>
      <c r="AX37" s="154"/>
      <c r="AY37" s="151"/>
      <c r="AZ37" s="151"/>
      <c r="BA37" s="151"/>
      <c r="BB37" s="150"/>
      <c r="BC37" s="160"/>
      <c r="BD37" s="146"/>
      <c r="BE37" s="154"/>
      <c r="BF37" s="146"/>
      <c r="BG37" s="157"/>
      <c r="BH37" s="146"/>
      <c r="BI37" s="147"/>
      <c r="BJ37" s="146"/>
      <c r="BK37" s="161"/>
      <c r="BL37" s="162"/>
    </row>
    <row customHeight="true" ht="13.333333333333332" r="38">
      <c r="A38" s="145">
        <v>46027</v>
      </c>
      <c r="B38" s="146" t="s">
        <v>146</v>
      </c>
      <c r="C38" s="147"/>
      <c r="D38" s="146">
        <v>59.99</v>
      </c>
      <c r="E38" s="148">
        <v>0</v>
      </c>
      <c r="F38" s="148">
        <v>0</v>
      </c>
      <c r="G38" s="148">
        <v>0</v>
      </c>
      <c r="H38" s="149">
        <f t="shared" si="7"/>
      </c>
      <c r="I38" s="148" t="s">
        <v>147</v>
      </c>
      <c r="J38" s="150" t="s">
        <v>147</v>
      </c>
      <c r="K38" s="146">
        <f>'法国ERP数据'!BC37</f>
      </c>
      <c r="L38" s="146">
        <f>'法国ERP数据'!BA37</f>
      </c>
      <c r="M38" s="146">
        <f t="shared" si="10"/>
      </c>
      <c r="N38" s="148">
        <f t="shared" si="8"/>
      </c>
      <c r="O38" s="151">
        <f t="shared" si="4"/>
      </c>
      <c r="P38" s="151">
        <f t="shared" si="1"/>
      </c>
      <c r="Q38" s="146">
        <f>'法国ERP数据'!R37</f>
      </c>
      <c r="R38" s="146"/>
      <c r="S38" s="146">
        <f>'法国ERP数据'!Z37</f>
      </c>
      <c r="T38" s="146">
        <v>0</v>
      </c>
      <c r="U38" s="146">
        <v>0</v>
      </c>
      <c r="V38" s="148">
        <v>0</v>
      </c>
      <c r="W38" s="146">
        <v>0</v>
      </c>
      <c r="X38" s="150"/>
      <c r="Y38" s="146"/>
      <c r="Z38" s="146"/>
      <c r="AA38" s="146"/>
      <c r="AB38" s="146"/>
      <c r="AC38" s="146"/>
      <c r="AD38" s="152"/>
      <c r="AE38" s="147"/>
      <c r="AF38" s="146">
        <v>1</v>
      </c>
      <c r="AG38" s="146">
        <v>4</v>
      </c>
      <c r="AH38" s="153">
        <v>0</v>
      </c>
      <c r="AI38" s="146">
        <v>0</v>
      </c>
      <c r="AJ38" s="154">
        <f t="shared" si="5"/>
      </c>
      <c r="AK38" s="146">
        <v>0</v>
      </c>
      <c r="AL38" s="155">
        <f t="shared" si="2"/>
      </c>
      <c r="AM38" s="156">
        <f t="shared" si="11"/>
      </c>
      <c r="AN38" s="148">
        <f t="shared" si="6"/>
      </c>
      <c r="AO38" s="157">
        <f t="shared" si="3"/>
      </c>
      <c r="AP38" s="155">
        <v>0</v>
      </c>
      <c r="AQ38" s="148">
        <f t="shared" si="0"/>
      </c>
      <c r="AR38" s="151">
        <f t="shared" si="9"/>
      </c>
      <c r="AS38" s="151">
        <v>0</v>
      </c>
      <c r="AT38" s="154"/>
      <c r="AU38" s="158"/>
      <c r="AV38" s="158"/>
      <c r="AW38" s="159"/>
      <c r="AX38" s="154"/>
      <c r="AY38" s="151"/>
      <c r="AZ38" s="151"/>
      <c r="BA38" s="151"/>
      <c r="BB38" s="150"/>
      <c r="BC38" s="160"/>
      <c r="BD38" s="146"/>
      <c r="BE38" s="154"/>
      <c r="BF38" s="146"/>
      <c r="BG38" s="157"/>
      <c r="BH38" s="146"/>
      <c r="BI38" s="147"/>
      <c r="BJ38" s="146"/>
      <c r="BK38" s="161"/>
      <c r="BL38" s="162"/>
    </row>
    <row customHeight="true" ht="13.333333333333332" r="39">
      <c r="A39" s="145">
        <v>46028</v>
      </c>
      <c r="B39" s="146" t="s">
        <v>148</v>
      </c>
      <c r="C39" s="147"/>
      <c r="D39" s="146">
        <v>59.99</v>
      </c>
      <c r="E39" s="148">
        <v>0</v>
      </c>
      <c r="F39" s="148">
        <v>0</v>
      </c>
      <c r="G39" s="148">
        <v>0</v>
      </c>
      <c r="H39" s="149">
        <f t="shared" si="7"/>
      </c>
      <c r="I39" s="148" t="s">
        <v>147</v>
      </c>
      <c r="J39" s="150" t="s">
        <v>147</v>
      </c>
      <c r="K39" s="146">
        <f>'法国ERP数据'!BC38</f>
      </c>
      <c r="L39" s="146">
        <f>'法国ERP数据'!BA38</f>
      </c>
      <c r="M39" s="146">
        <f t="shared" si="10"/>
      </c>
      <c r="N39" s="148">
        <f t="shared" si="8"/>
      </c>
      <c r="O39" s="151">
        <f t="shared" si="4"/>
      </c>
      <c r="P39" s="151">
        <f t="shared" si="1"/>
      </c>
      <c r="Q39" s="146">
        <f>'法国ERP数据'!R38</f>
      </c>
      <c r="R39" s="146"/>
      <c r="S39" s="146">
        <f>'法国ERP数据'!Z38</f>
      </c>
      <c r="T39" s="146">
        <v>0</v>
      </c>
      <c r="U39" s="146">
        <v>0</v>
      </c>
      <c r="V39" s="148">
        <v>0</v>
      </c>
      <c r="W39" s="146">
        <v>0</v>
      </c>
      <c r="X39" s="150"/>
      <c r="Y39" s="146"/>
      <c r="Z39" s="146"/>
      <c r="AA39" s="146"/>
      <c r="AB39" s="146"/>
      <c r="AC39" s="146"/>
      <c r="AD39" s="152"/>
      <c r="AE39" s="147"/>
      <c r="AF39" s="146">
        <v>1</v>
      </c>
      <c r="AG39" s="146">
        <v>4</v>
      </c>
      <c r="AH39" s="153">
        <v>0</v>
      </c>
      <c r="AI39" s="146">
        <v>0</v>
      </c>
      <c r="AJ39" s="154">
        <f t="shared" si="5"/>
      </c>
      <c r="AK39" s="146">
        <v>0</v>
      </c>
      <c r="AL39" s="155">
        <f t="shared" si="2"/>
      </c>
      <c r="AM39" s="156">
        <f t="shared" si="11"/>
      </c>
      <c r="AN39" s="148">
        <f t="shared" si="6"/>
      </c>
      <c r="AO39" s="157">
        <f t="shared" si="3"/>
      </c>
      <c r="AP39" s="155">
        <v>0</v>
      </c>
      <c r="AQ39" s="148">
        <f t="shared" si="0"/>
      </c>
      <c r="AR39" s="151">
        <f t="shared" si="9"/>
      </c>
      <c r="AS39" s="151">
        <v>0</v>
      </c>
      <c r="AT39" s="154"/>
      <c r="AU39" s="158"/>
      <c r="AV39" s="158"/>
      <c r="AW39" s="159"/>
      <c r="AX39" s="154"/>
      <c r="AY39" s="151"/>
      <c r="AZ39" s="151"/>
      <c r="BA39" s="151"/>
      <c r="BB39" s="150"/>
      <c r="BC39" s="160"/>
      <c r="BD39" s="146"/>
      <c r="BE39" s="154"/>
      <c r="BF39" s="146"/>
      <c r="BG39" s="157"/>
      <c r="BH39" s="146"/>
      <c r="BI39" s="147"/>
      <c r="BJ39" s="146"/>
      <c r="BK39" s="161"/>
      <c r="BL39" s="162"/>
    </row>
    <row customHeight="true" ht="13.333333333333332" r="40">
      <c r="A40" s="145">
        <v>46029</v>
      </c>
      <c r="B40" s="146" t="s">
        <v>149</v>
      </c>
      <c r="C40" s="147"/>
      <c r="D40" s="146">
        <v>59.99</v>
      </c>
      <c r="E40" s="148">
        <v>0</v>
      </c>
      <c r="F40" s="148">
        <v>0</v>
      </c>
      <c r="G40" s="148">
        <v>0</v>
      </c>
      <c r="H40" s="149">
        <f t="shared" si="7"/>
      </c>
      <c r="I40" s="148" t="s">
        <v>147</v>
      </c>
      <c r="J40" s="150" t="s">
        <v>147</v>
      </c>
      <c r="K40" s="146">
        <f>'法国ERP数据'!BC39</f>
      </c>
      <c r="L40" s="146">
        <f>'法国ERP数据'!BA39</f>
      </c>
      <c r="M40" s="146">
        <f t="shared" si="10"/>
      </c>
      <c r="N40" s="148">
        <f t="shared" si="8"/>
      </c>
      <c r="O40" s="151">
        <f t="shared" si="4"/>
      </c>
      <c r="P40" s="151">
        <f t="shared" si="1"/>
      </c>
      <c r="Q40" s="146">
        <f>'法国ERP数据'!R39</f>
      </c>
      <c r="R40" s="146"/>
      <c r="S40" s="146">
        <f>'法国ERP数据'!Z39</f>
      </c>
      <c r="T40" s="146">
        <v>0</v>
      </c>
      <c r="U40" s="146">
        <v>0</v>
      </c>
      <c r="V40" s="148">
        <v>0</v>
      </c>
      <c r="W40" s="146">
        <v>0</v>
      </c>
      <c r="X40" s="150"/>
      <c r="Y40" s="146"/>
      <c r="Z40" s="146"/>
      <c r="AA40" s="146"/>
      <c r="AB40" s="146"/>
      <c r="AC40" s="146"/>
      <c r="AD40" s="152"/>
      <c r="AE40" s="147"/>
      <c r="AF40" s="146">
        <v>1</v>
      </c>
      <c r="AG40" s="146">
        <v>4</v>
      </c>
      <c r="AH40" s="153">
        <v>0</v>
      </c>
      <c r="AI40" s="146">
        <v>0</v>
      </c>
      <c r="AJ40" s="154">
        <f t="shared" si="5"/>
      </c>
      <c r="AK40" s="146">
        <v>0</v>
      </c>
      <c r="AL40" s="155">
        <f t="shared" si="2"/>
      </c>
      <c r="AM40" s="156">
        <f t="shared" si="11"/>
      </c>
      <c r="AN40" s="148">
        <f t="shared" si="6"/>
      </c>
      <c r="AO40" s="157">
        <f t="shared" si="3"/>
      </c>
      <c r="AP40" s="155">
        <v>0</v>
      </c>
      <c r="AQ40" s="148">
        <f t="shared" si="0"/>
      </c>
      <c r="AR40" s="151">
        <f t="shared" si="9"/>
      </c>
      <c r="AS40" s="151">
        <v>0</v>
      </c>
      <c r="AT40" s="154"/>
      <c r="AU40" s="158"/>
      <c r="AV40" s="158"/>
      <c r="AW40" s="159"/>
      <c r="AX40" s="154"/>
      <c r="AY40" s="151"/>
      <c r="AZ40" s="151"/>
      <c r="BA40" s="151"/>
      <c r="BB40" s="150"/>
      <c r="BC40" s="160"/>
      <c r="BD40" s="146"/>
      <c r="BE40" s="154"/>
      <c r="BF40" s="146"/>
      <c r="BG40" s="157"/>
      <c r="BH40" s="146"/>
      <c r="BI40" s="147"/>
      <c r="BJ40" s="146"/>
      <c r="BK40" s="161"/>
      <c r="BL40" s="162"/>
    </row>
    <row customHeight="true" ht="13.333333333333332" r="41">
      <c r="A41" s="145">
        <v>46030</v>
      </c>
      <c r="B41" s="146" t="s">
        <v>150</v>
      </c>
      <c r="C41" s="147"/>
      <c r="D41" s="146">
        <v>59.99</v>
      </c>
      <c r="E41" s="148">
        <v>0</v>
      </c>
      <c r="F41" s="148">
        <v>0</v>
      </c>
      <c r="G41" s="148">
        <v>0</v>
      </c>
      <c r="H41" s="149">
        <f t="shared" si="7"/>
      </c>
      <c r="I41" s="148" t="s">
        <v>147</v>
      </c>
      <c r="J41" s="150" t="s">
        <v>147</v>
      </c>
      <c r="K41" s="146">
        <f>'法国ERP数据'!BC40</f>
      </c>
      <c r="L41" s="146">
        <f>'法国ERP数据'!BA40</f>
      </c>
      <c r="M41" s="146">
        <f t="shared" si="10"/>
      </c>
      <c r="N41" s="148">
        <f t="shared" si="8"/>
      </c>
      <c r="O41" s="151">
        <f t="shared" si="4"/>
      </c>
      <c r="P41" s="151">
        <f t="shared" si="1"/>
      </c>
      <c r="Q41" s="146">
        <f>'法国ERP数据'!R40</f>
      </c>
      <c r="R41" s="146"/>
      <c r="S41" s="146">
        <f>'法国ERP数据'!Z40</f>
      </c>
      <c r="T41" s="146">
        <v>0</v>
      </c>
      <c r="U41" s="146">
        <v>0</v>
      </c>
      <c r="V41" s="148">
        <v>0</v>
      </c>
      <c r="W41" s="146">
        <v>0</v>
      </c>
      <c r="X41" s="150"/>
      <c r="Y41" s="146"/>
      <c r="Z41" s="146"/>
      <c r="AA41" s="146"/>
      <c r="AB41" s="146"/>
      <c r="AC41" s="146"/>
      <c r="AD41" s="152"/>
      <c r="AE41" s="147"/>
      <c r="AF41" s="146">
        <v>1</v>
      </c>
      <c r="AG41" s="146">
        <v>4</v>
      </c>
      <c r="AH41" s="153">
        <v>0</v>
      </c>
      <c r="AI41" s="146">
        <v>0</v>
      </c>
      <c r="AJ41" s="154">
        <f t="shared" si="5"/>
      </c>
      <c r="AK41" s="146">
        <v>0</v>
      </c>
      <c r="AL41" s="155">
        <f t="shared" si="2"/>
      </c>
      <c r="AM41" s="156">
        <f t="shared" si="11"/>
      </c>
      <c r="AN41" s="148">
        <f t="shared" si="6"/>
      </c>
      <c r="AO41" s="157">
        <f t="shared" si="3"/>
      </c>
      <c r="AP41" s="155">
        <v>0</v>
      </c>
      <c r="AQ41" s="148">
        <f t="shared" si="0"/>
      </c>
      <c r="AR41" s="151">
        <f t="shared" si="9"/>
      </c>
      <c r="AS41" s="151">
        <v>0</v>
      </c>
      <c r="AT41" s="154"/>
      <c r="AU41" s="158"/>
      <c r="AV41" s="158"/>
      <c r="AW41" s="159"/>
      <c r="AX41" s="154"/>
      <c r="AY41" s="151"/>
      <c r="AZ41" s="151"/>
      <c r="BA41" s="151"/>
      <c r="BB41" s="150"/>
      <c r="BC41" s="160"/>
      <c r="BD41" s="146"/>
      <c r="BE41" s="154"/>
      <c r="BF41" s="146"/>
      <c r="BG41" s="157"/>
      <c r="BH41" s="146"/>
      <c r="BI41" s="147"/>
      <c r="BJ41" s="146"/>
      <c r="BK41" s="161"/>
      <c r="BL41" s="162"/>
    </row>
    <row customHeight="true" ht="13.333333333333332" r="42">
      <c r="A42" s="145">
        <v>46031</v>
      </c>
      <c r="B42" s="146" t="s">
        <v>151</v>
      </c>
      <c r="C42" s="147"/>
      <c r="D42" s="146">
        <v>59.99</v>
      </c>
      <c r="E42" s="148">
        <v>0</v>
      </c>
      <c r="F42" s="148">
        <v>0</v>
      </c>
      <c r="G42" s="148">
        <v>0</v>
      </c>
      <c r="H42" s="149">
        <f t="shared" si="7"/>
      </c>
      <c r="I42" s="148" t="s">
        <v>147</v>
      </c>
      <c r="J42" s="150" t="s">
        <v>147</v>
      </c>
      <c r="K42" s="146">
        <f>'法国ERP数据'!BC41</f>
      </c>
      <c r="L42" s="146">
        <f>'法国ERP数据'!BA41</f>
      </c>
      <c r="M42" s="146">
        <f t="shared" si="10"/>
      </c>
      <c r="N42" s="148">
        <f t="shared" si="8"/>
      </c>
      <c r="O42" s="151">
        <f t="shared" si="4"/>
      </c>
      <c r="P42" s="151">
        <f t="shared" si="1"/>
      </c>
      <c r="Q42" s="146">
        <f>'法国ERP数据'!R41</f>
      </c>
      <c r="R42" s="146"/>
      <c r="S42" s="146">
        <f>'法国ERP数据'!Z41</f>
      </c>
      <c r="T42" s="146">
        <v>0</v>
      </c>
      <c r="U42" s="146">
        <v>0</v>
      </c>
      <c r="V42" s="148">
        <v>0</v>
      </c>
      <c r="W42" s="146">
        <v>0</v>
      </c>
      <c r="X42" s="150"/>
      <c r="Y42" s="146"/>
      <c r="Z42" s="146"/>
      <c r="AA42" s="146"/>
      <c r="AB42" s="146"/>
      <c r="AC42" s="146"/>
      <c r="AD42" s="152"/>
      <c r="AE42" s="147"/>
      <c r="AF42" s="146">
        <v>1</v>
      </c>
      <c r="AG42" s="146">
        <v>4</v>
      </c>
      <c r="AH42" s="153">
        <v>0</v>
      </c>
      <c r="AI42" s="146">
        <v>0</v>
      </c>
      <c r="AJ42" s="154">
        <f t="shared" si="5"/>
      </c>
      <c r="AK42" s="146">
        <v>0</v>
      </c>
      <c r="AL42" s="155">
        <f t="shared" si="2"/>
      </c>
      <c r="AM42" s="156">
        <f t="shared" si="11"/>
      </c>
      <c r="AN42" s="148">
        <f t="shared" si="6"/>
      </c>
      <c r="AO42" s="157">
        <f t="shared" si="3"/>
      </c>
      <c r="AP42" s="155">
        <v>0</v>
      </c>
      <c r="AQ42" s="148">
        <f t="shared" si="0"/>
      </c>
      <c r="AR42" s="151">
        <f t="shared" si="9"/>
      </c>
      <c r="AS42" s="151">
        <v>0</v>
      </c>
      <c r="AT42" s="154"/>
      <c r="AU42" s="158"/>
      <c r="AV42" s="158"/>
      <c r="AW42" s="159"/>
      <c r="AX42" s="154"/>
      <c r="AY42" s="151"/>
      <c r="AZ42" s="151"/>
      <c r="BA42" s="151"/>
      <c r="BB42" s="150"/>
      <c r="BC42" s="160"/>
      <c r="BD42" s="146"/>
      <c r="BE42" s="154"/>
      <c r="BF42" s="146"/>
      <c r="BG42" s="157"/>
      <c r="BH42" s="146"/>
      <c r="BI42" s="147"/>
      <c r="BJ42" s="146"/>
      <c r="BK42" s="161"/>
      <c r="BL42" s="162"/>
    </row>
    <row customHeight="true" ht="13.333333333333332" r="43">
      <c r="A43" s="145">
        <v>46032</v>
      </c>
      <c r="B43" s="146" t="s">
        <v>152</v>
      </c>
      <c r="C43" s="147"/>
      <c r="D43" s="146">
        <v>59.99</v>
      </c>
      <c r="E43" s="148">
        <v>0</v>
      </c>
      <c r="F43" s="148">
        <v>0</v>
      </c>
      <c r="G43" s="148">
        <v>0</v>
      </c>
      <c r="H43" s="149">
        <f t="shared" si="7"/>
      </c>
      <c r="I43" s="148" t="s">
        <v>147</v>
      </c>
      <c r="J43" s="150" t="s">
        <v>147</v>
      </c>
      <c r="K43" s="146">
        <f>'法国ERP数据'!BC42</f>
      </c>
      <c r="L43" s="146">
        <f>'法国ERP数据'!BA42</f>
      </c>
      <c r="M43" s="146">
        <f t="shared" si="10"/>
      </c>
      <c r="N43" s="148">
        <f t="shared" si="8"/>
      </c>
      <c r="O43" s="151">
        <f t="shared" si="4"/>
      </c>
      <c r="P43" s="151">
        <f t="shared" si="1"/>
      </c>
      <c r="Q43" s="146">
        <f>'法国ERP数据'!R42</f>
      </c>
      <c r="R43" s="146"/>
      <c r="S43" s="146">
        <f>'法国ERP数据'!Z42</f>
      </c>
      <c r="T43" s="146">
        <v>0</v>
      </c>
      <c r="U43" s="146">
        <v>0</v>
      </c>
      <c r="V43" s="148">
        <v>0</v>
      </c>
      <c r="W43" s="146">
        <v>0</v>
      </c>
      <c r="X43" s="150"/>
      <c r="Y43" s="146"/>
      <c r="Z43" s="146"/>
      <c r="AA43" s="146"/>
      <c r="AB43" s="146"/>
      <c r="AC43" s="146"/>
      <c r="AD43" s="152"/>
      <c r="AE43" s="147"/>
      <c r="AF43" s="146">
        <v>1</v>
      </c>
      <c r="AG43" s="146">
        <v>4</v>
      </c>
      <c r="AH43" s="153">
        <v>0</v>
      </c>
      <c r="AI43" s="146">
        <v>0</v>
      </c>
      <c r="AJ43" s="154">
        <f t="shared" si="5"/>
      </c>
      <c r="AK43" s="146">
        <v>0</v>
      </c>
      <c r="AL43" s="155">
        <f t="shared" si="2"/>
      </c>
      <c r="AM43" s="156">
        <f t="shared" si="11"/>
      </c>
      <c r="AN43" s="148">
        <f t="shared" si="6"/>
      </c>
      <c r="AO43" s="157">
        <f t="shared" si="3"/>
      </c>
      <c r="AP43" s="155">
        <v>0</v>
      </c>
      <c r="AQ43" s="148">
        <f t="shared" si="0"/>
      </c>
      <c r="AR43" s="151">
        <f t="shared" si="9"/>
      </c>
      <c r="AS43" s="151">
        <v>0</v>
      </c>
      <c r="AT43" s="154"/>
      <c r="AU43" s="158"/>
      <c r="AV43" s="158"/>
      <c r="AW43" s="159"/>
      <c r="AX43" s="154"/>
      <c r="AY43" s="151"/>
      <c r="AZ43" s="151"/>
      <c r="BA43" s="151"/>
      <c r="BB43" s="150"/>
      <c r="BC43" s="160"/>
      <c r="BD43" s="146"/>
      <c r="BE43" s="154"/>
      <c r="BF43" s="146"/>
      <c r="BG43" s="157"/>
      <c r="BH43" s="146"/>
      <c r="BI43" s="147"/>
      <c r="BJ43" s="146"/>
      <c r="BK43" s="161"/>
      <c r="BL43" s="162"/>
    </row>
    <row customHeight="true" ht="13.333333333333332" r="44">
      <c r="A44" s="145">
        <v>46033</v>
      </c>
      <c r="B44" s="146" t="s">
        <v>153</v>
      </c>
      <c r="C44" s="147"/>
      <c r="D44" s="146">
        <v>59.99</v>
      </c>
      <c r="E44" s="148">
        <v>0</v>
      </c>
      <c r="F44" s="148">
        <v>0</v>
      </c>
      <c r="G44" s="148">
        <v>0</v>
      </c>
      <c r="H44" s="149">
        <f t="shared" si="7"/>
      </c>
      <c r="I44" s="148" t="s">
        <v>147</v>
      </c>
      <c r="J44" s="150" t="s">
        <v>147</v>
      </c>
      <c r="K44" s="146">
        <f>'法国ERP数据'!BC43</f>
      </c>
      <c r="L44" s="146">
        <f>'法国ERP数据'!BA43</f>
      </c>
      <c r="M44" s="146">
        <f t="shared" si="10"/>
      </c>
      <c r="N44" s="148">
        <f t="shared" si="8"/>
      </c>
      <c r="O44" s="151">
        <f t="shared" si="4"/>
      </c>
      <c r="P44" s="151">
        <f t="shared" si="1"/>
      </c>
      <c r="Q44" s="146">
        <f>'法国ERP数据'!R43</f>
      </c>
      <c r="R44" s="146"/>
      <c r="S44" s="146">
        <f>'法国ERP数据'!Z43</f>
      </c>
      <c r="T44" s="146">
        <v>0</v>
      </c>
      <c r="U44" s="146">
        <v>0</v>
      </c>
      <c r="V44" s="148">
        <v>0</v>
      </c>
      <c r="W44" s="146">
        <v>0</v>
      </c>
      <c r="X44" s="150"/>
      <c r="Y44" s="146"/>
      <c r="Z44" s="146"/>
      <c r="AA44" s="146"/>
      <c r="AB44" s="146"/>
      <c r="AC44" s="146"/>
      <c r="AD44" s="152"/>
      <c r="AE44" s="147"/>
      <c r="AF44" s="146">
        <v>1</v>
      </c>
      <c r="AG44" s="146">
        <v>4</v>
      </c>
      <c r="AH44" s="153">
        <v>0</v>
      </c>
      <c r="AI44" s="146">
        <v>0</v>
      </c>
      <c r="AJ44" s="154">
        <f t="shared" si="5"/>
      </c>
      <c r="AK44" s="146">
        <v>0</v>
      </c>
      <c r="AL44" s="155">
        <f t="shared" si="2"/>
      </c>
      <c r="AM44" s="156">
        <f t="shared" si="11"/>
      </c>
      <c r="AN44" s="148">
        <f t="shared" si="6"/>
      </c>
      <c r="AO44" s="157">
        <f t="shared" si="3"/>
      </c>
      <c r="AP44" s="155">
        <v>0</v>
      </c>
      <c r="AQ44" s="148">
        <f t="shared" si="0"/>
      </c>
      <c r="AR44" s="151">
        <f t="shared" si="9"/>
      </c>
      <c r="AS44" s="151">
        <v>0</v>
      </c>
      <c r="AT44" s="154"/>
      <c r="AU44" s="158"/>
      <c r="AV44" s="158"/>
      <c r="AW44" s="159"/>
      <c r="AX44" s="154"/>
      <c r="AY44" s="151"/>
      <c r="AZ44" s="151"/>
      <c r="BA44" s="151"/>
      <c r="BB44" s="150"/>
      <c r="BC44" s="160"/>
      <c r="BD44" s="146"/>
      <c r="BE44" s="154"/>
      <c r="BF44" s="146"/>
      <c r="BG44" s="157"/>
      <c r="BH44" s="146"/>
      <c r="BI44" s="147"/>
      <c r="BJ44" s="146"/>
      <c r="BK44" s="161"/>
      <c r="BL44" s="162"/>
    </row>
    <row customHeight="true" ht="13.333333333333332" r="45">
      <c r="A45" s="145">
        <v>46034</v>
      </c>
      <c r="B45" s="146" t="s">
        <v>146</v>
      </c>
      <c r="C45" s="147"/>
      <c r="D45" s="146">
        <v>59.99</v>
      </c>
      <c r="E45" s="148">
        <v>0</v>
      </c>
      <c r="F45" s="148">
        <v>0</v>
      </c>
      <c r="G45" s="148">
        <v>0</v>
      </c>
      <c r="H45" s="149">
        <f t="shared" si="7"/>
      </c>
      <c r="I45" s="148" t="s">
        <v>147</v>
      </c>
      <c r="J45" s="150" t="s">
        <v>147</v>
      </c>
      <c r="K45" s="146">
        <f>'法国ERP数据'!BC44</f>
      </c>
      <c r="L45" s="146">
        <f>'法国ERP数据'!BA44</f>
      </c>
      <c r="M45" s="146">
        <f t="shared" si="10"/>
      </c>
      <c r="N45" s="148">
        <f t="shared" si="8"/>
      </c>
      <c r="O45" s="151">
        <f t="shared" si="4"/>
      </c>
      <c r="P45" s="151">
        <f t="shared" si="1"/>
      </c>
      <c r="Q45" s="146">
        <f>'法国ERP数据'!R44</f>
      </c>
      <c r="R45" s="146"/>
      <c r="S45" s="146">
        <f>'法国ERP数据'!Z44</f>
      </c>
      <c r="T45" s="146">
        <v>0</v>
      </c>
      <c r="U45" s="146">
        <v>0</v>
      </c>
      <c r="V45" s="148">
        <v>0</v>
      </c>
      <c r="W45" s="146">
        <v>0</v>
      </c>
      <c r="X45" s="150"/>
      <c r="Y45" s="146"/>
      <c r="Z45" s="146"/>
      <c r="AA45" s="146"/>
      <c r="AB45" s="146"/>
      <c r="AC45" s="146"/>
      <c r="AD45" s="152"/>
      <c r="AE45" s="147"/>
      <c r="AF45" s="146">
        <v>1</v>
      </c>
      <c r="AG45" s="146">
        <v>4</v>
      </c>
      <c r="AH45" s="153">
        <v>0</v>
      </c>
      <c r="AI45" s="146">
        <v>0</v>
      </c>
      <c r="AJ45" s="154">
        <f t="shared" si="5"/>
      </c>
      <c r="AK45" s="146">
        <v>0</v>
      </c>
      <c r="AL45" s="155">
        <f t="shared" si="2"/>
      </c>
      <c r="AM45" s="156">
        <f t="shared" si="11"/>
      </c>
      <c r="AN45" s="148">
        <f t="shared" si="6"/>
      </c>
      <c r="AO45" s="157">
        <f t="shared" si="3"/>
      </c>
      <c r="AP45" s="155">
        <v>0</v>
      </c>
      <c r="AQ45" s="148">
        <f t="shared" si="0"/>
      </c>
      <c r="AR45" s="151">
        <f t="shared" si="9"/>
      </c>
      <c r="AS45" s="151">
        <v>0</v>
      </c>
      <c r="AT45" s="154"/>
      <c r="AU45" s="158"/>
      <c r="AV45" s="158"/>
      <c r="AW45" s="159"/>
      <c r="AX45" s="154"/>
      <c r="AY45" s="151"/>
      <c r="AZ45" s="151"/>
      <c r="BA45" s="151"/>
      <c r="BB45" s="150"/>
      <c r="BC45" s="160"/>
      <c r="BD45" s="146"/>
      <c r="BE45" s="154"/>
      <c r="BF45" s="146"/>
      <c r="BG45" s="157"/>
      <c r="BH45" s="146"/>
      <c r="BI45" s="147"/>
      <c r="BJ45" s="146"/>
      <c r="BK45" s="161"/>
      <c r="BL45" s="162"/>
    </row>
    <row customHeight="true" ht="13.333333333333332" r="46">
      <c r="A46" s="145">
        <v>46035</v>
      </c>
      <c r="B46" s="146" t="s">
        <v>148</v>
      </c>
      <c r="C46" s="147"/>
      <c r="D46" s="146">
        <v>59.99</v>
      </c>
      <c r="E46" s="148">
        <v>0</v>
      </c>
      <c r="F46" s="148">
        <v>0</v>
      </c>
      <c r="G46" s="148">
        <v>0</v>
      </c>
      <c r="H46" s="149">
        <f t="shared" si="7"/>
      </c>
      <c r="I46" s="148" t="s">
        <v>147</v>
      </c>
      <c r="J46" s="150" t="s">
        <v>147</v>
      </c>
      <c r="K46" s="146">
        <f>'法国ERP数据'!BC45</f>
      </c>
      <c r="L46" s="146">
        <f>'法国ERP数据'!BA45</f>
      </c>
      <c r="M46" s="146">
        <f t="shared" si="10"/>
      </c>
      <c r="N46" s="148">
        <f t="shared" si="8"/>
      </c>
      <c r="O46" s="151">
        <f t="shared" si="4"/>
      </c>
      <c r="P46" s="151">
        <f t="shared" si="1"/>
      </c>
      <c r="Q46" s="146">
        <f>'法国ERP数据'!R45</f>
      </c>
      <c r="R46" s="146"/>
      <c r="S46" s="146">
        <f>'法国ERP数据'!Z45</f>
      </c>
      <c r="T46" s="146">
        <v>0</v>
      </c>
      <c r="U46" s="146">
        <v>0</v>
      </c>
      <c r="V46" s="148">
        <v>0</v>
      </c>
      <c r="W46" s="146">
        <v>0</v>
      </c>
      <c r="X46" s="150"/>
      <c r="Y46" s="146"/>
      <c r="Z46" s="146"/>
      <c r="AA46" s="146"/>
      <c r="AB46" s="146"/>
      <c r="AC46" s="146"/>
      <c r="AD46" s="152"/>
      <c r="AE46" s="147"/>
      <c r="AF46" s="146">
        <v>1</v>
      </c>
      <c r="AG46" s="146">
        <v>4</v>
      </c>
      <c r="AH46" s="153">
        <v>0</v>
      </c>
      <c r="AI46" s="146">
        <v>0</v>
      </c>
      <c r="AJ46" s="154">
        <f t="shared" si="5"/>
      </c>
      <c r="AK46" s="146">
        <v>0</v>
      </c>
      <c r="AL46" s="155">
        <f t="shared" si="2"/>
      </c>
      <c r="AM46" s="156">
        <f t="shared" si="11"/>
      </c>
      <c r="AN46" s="148">
        <f t="shared" si="6"/>
      </c>
      <c r="AO46" s="157">
        <f t="shared" si="3"/>
      </c>
      <c r="AP46" s="155">
        <v>0</v>
      </c>
      <c r="AQ46" s="148">
        <f t="shared" si="0"/>
      </c>
      <c r="AR46" s="151">
        <f t="shared" si="9"/>
      </c>
      <c r="AS46" s="151">
        <v>0</v>
      </c>
      <c r="AT46" s="154"/>
      <c r="AU46" s="158"/>
      <c r="AV46" s="158"/>
      <c r="AW46" s="159"/>
      <c r="AX46" s="154"/>
      <c r="AY46" s="151"/>
      <c r="AZ46" s="151"/>
      <c r="BA46" s="151"/>
      <c r="BB46" s="150"/>
      <c r="BC46" s="160"/>
      <c r="BD46" s="146"/>
      <c r="BE46" s="154"/>
      <c r="BF46" s="146"/>
      <c r="BG46" s="157"/>
      <c r="BH46" s="146"/>
      <c r="BI46" s="147"/>
      <c r="BJ46" s="146"/>
      <c r="BK46" s="161"/>
      <c r="BL46" s="162"/>
    </row>
    <row customHeight="true" ht="13.333333333333332" r="47">
      <c r="A47" s="145">
        <v>46036</v>
      </c>
      <c r="B47" s="146" t="s">
        <v>149</v>
      </c>
      <c r="C47" s="147"/>
      <c r="D47" s="146">
        <v>59.99</v>
      </c>
      <c r="E47" s="148">
        <v>0</v>
      </c>
      <c r="F47" s="148">
        <v>0</v>
      </c>
      <c r="G47" s="148">
        <v>0</v>
      </c>
      <c r="H47" s="149">
        <f t="shared" si="7"/>
      </c>
      <c r="I47" s="148" t="s">
        <v>147</v>
      </c>
      <c r="J47" s="150" t="s">
        <v>147</v>
      </c>
      <c r="K47" s="146">
        <f>'法国ERP数据'!BC46</f>
      </c>
      <c r="L47" s="146">
        <f>'法国ERP数据'!BA46</f>
      </c>
      <c r="M47" s="146">
        <f t="shared" si="10"/>
      </c>
      <c r="N47" s="148">
        <f t="shared" si="8"/>
      </c>
      <c r="O47" s="151">
        <f t="shared" si="4"/>
      </c>
      <c r="P47" s="151">
        <f t="shared" si="1"/>
      </c>
      <c r="Q47" s="146">
        <f>'法国ERP数据'!R46</f>
      </c>
      <c r="R47" s="146"/>
      <c r="S47" s="146">
        <f>'法国ERP数据'!Z46</f>
      </c>
      <c r="T47" s="146">
        <v>0</v>
      </c>
      <c r="U47" s="146">
        <v>0</v>
      </c>
      <c r="V47" s="148">
        <v>0</v>
      </c>
      <c r="W47" s="146">
        <v>0</v>
      </c>
      <c r="X47" s="150"/>
      <c r="Y47" s="146"/>
      <c r="Z47" s="146"/>
      <c r="AA47" s="146"/>
      <c r="AB47" s="146"/>
      <c r="AC47" s="146"/>
      <c r="AD47" s="152"/>
      <c r="AE47" s="147"/>
      <c r="AF47" s="146">
        <v>1</v>
      </c>
      <c r="AG47" s="146">
        <v>4</v>
      </c>
      <c r="AH47" s="153">
        <v>0</v>
      </c>
      <c r="AI47" s="146">
        <v>0</v>
      </c>
      <c r="AJ47" s="154">
        <f t="shared" si="5"/>
      </c>
      <c r="AK47" s="146">
        <v>0</v>
      </c>
      <c r="AL47" s="155">
        <f t="shared" si="2"/>
      </c>
      <c r="AM47" s="156">
        <f t="shared" si="11"/>
      </c>
      <c r="AN47" s="148">
        <f t="shared" si="6"/>
      </c>
      <c r="AO47" s="157">
        <f t="shared" si="3"/>
      </c>
      <c r="AP47" s="155">
        <v>0</v>
      </c>
      <c r="AQ47" s="148">
        <f t="shared" si="0"/>
      </c>
      <c r="AR47" s="151">
        <f t="shared" si="9"/>
      </c>
      <c r="AS47" s="151">
        <v>0</v>
      </c>
      <c r="AT47" s="154"/>
      <c r="AU47" s="158"/>
      <c r="AV47" s="158"/>
      <c r="AW47" s="159"/>
      <c r="AX47" s="154"/>
      <c r="AY47" s="151"/>
      <c r="AZ47" s="151"/>
      <c r="BA47" s="151"/>
      <c r="BB47" s="150"/>
      <c r="BC47" s="160"/>
      <c r="BD47" s="146"/>
      <c r="BE47" s="154"/>
      <c r="BF47" s="146"/>
      <c r="BG47" s="157"/>
      <c r="BH47" s="146"/>
      <c r="BI47" s="147"/>
      <c r="BJ47" s="146"/>
      <c r="BK47" s="161"/>
      <c r="BL47" s="162"/>
    </row>
    <row customHeight="true" ht="13.333333333333332" r="48">
      <c r="A48" s="145">
        <v>46037</v>
      </c>
      <c r="B48" s="146" t="s">
        <v>150</v>
      </c>
      <c r="C48" s="147"/>
      <c r="D48" s="146"/>
      <c r="E48" s="148"/>
      <c r="F48" s="148"/>
      <c r="G48" s="148"/>
      <c r="H48" s="146"/>
      <c r="I48" s="148"/>
      <c r="J48" s="150"/>
      <c r="K48" s="146"/>
      <c r="L48" s="146"/>
      <c r="M48" s="146"/>
      <c r="N48" s="148"/>
      <c r="O48" s="151"/>
      <c r="P48" s="151"/>
      <c r="Q48" s="146"/>
      <c r="R48" s="146"/>
      <c r="S48" s="146">
        <f>'法国ERP数据'!Z47</f>
      </c>
      <c r="T48" s="146"/>
      <c r="U48" s="146"/>
      <c r="V48" s="148"/>
      <c r="W48" s="146"/>
      <c r="X48" s="150"/>
      <c r="Y48" s="146"/>
      <c r="Z48" s="146"/>
      <c r="AA48" s="146"/>
      <c r="AB48" s="146"/>
      <c r="AC48" s="146"/>
      <c r="AD48" s="152"/>
      <c r="AE48" s="147"/>
      <c r="AF48" s="146"/>
      <c r="AG48" s="146"/>
      <c r="AH48" s="153"/>
      <c r="AI48" s="146"/>
      <c r="AJ48" s="154"/>
      <c r="AK48" s="146"/>
      <c r="AL48" s="155"/>
      <c r="AM48" s="156"/>
      <c r="AN48" s="148"/>
      <c r="AO48" s="154"/>
      <c r="AP48" s="155"/>
      <c r="AQ48" s="148"/>
      <c r="AR48" s="151"/>
      <c r="AS48" s="151"/>
      <c r="AT48" s="154"/>
      <c r="AU48" s="158"/>
      <c r="AV48" s="158"/>
      <c r="AW48" s="159"/>
      <c r="AX48" s="154"/>
      <c r="AY48" s="151"/>
      <c r="AZ48" s="151"/>
      <c r="BA48" s="151"/>
      <c r="BB48" s="150"/>
      <c r="BC48" s="150"/>
      <c r="BD48" s="146"/>
      <c r="BE48" s="154"/>
      <c r="BF48" s="146"/>
      <c r="BG48" s="157"/>
      <c r="BH48" s="146"/>
      <c r="BI48" s="147"/>
      <c r="BJ48" s="146"/>
      <c r="BK48" s="161"/>
      <c r="BL48" s="162"/>
    </row>
    <row customHeight="true" ht="13.333333333333332" r="49">
      <c r="A49" s="145">
        <v>46038</v>
      </c>
      <c r="B49" s="146" t="s">
        <v>151</v>
      </c>
      <c r="C49" s="147"/>
      <c r="D49" s="146"/>
      <c r="E49" s="148"/>
      <c r="F49" s="148"/>
      <c r="G49" s="148"/>
      <c r="H49" s="146"/>
      <c r="I49" s="148"/>
      <c r="J49" s="150"/>
      <c r="K49" s="146"/>
      <c r="L49" s="146"/>
      <c r="M49" s="146"/>
      <c r="N49" s="148"/>
      <c r="O49" s="151"/>
      <c r="P49" s="151"/>
      <c r="Q49" s="146"/>
      <c r="R49" s="146"/>
      <c r="S49" s="146">
        <f>'法国ERP数据'!Z48</f>
      </c>
      <c r="T49" s="146"/>
      <c r="U49" s="146"/>
      <c r="V49" s="148"/>
      <c r="W49" s="146"/>
      <c r="X49" s="150"/>
      <c r="Y49" s="146"/>
      <c r="Z49" s="146"/>
      <c r="AA49" s="146"/>
      <c r="AB49" s="146"/>
      <c r="AC49" s="146"/>
      <c r="AD49" s="152"/>
      <c r="AE49" s="147"/>
      <c r="AF49" s="146"/>
      <c r="AG49" s="146"/>
      <c r="AH49" s="153"/>
      <c r="AI49" s="146"/>
      <c r="AJ49" s="154"/>
      <c r="AK49" s="146"/>
      <c r="AL49" s="155"/>
      <c r="AM49" s="156"/>
      <c r="AN49" s="148"/>
      <c r="AO49" s="154"/>
      <c r="AP49" s="155"/>
      <c r="AQ49" s="148"/>
      <c r="AR49" s="151"/>
      <c r="AS49" s="151"/>
      <c r="AT49" s="154"/>
      <c r="AU49" s="158"/>
      <c r="AV49" s="158"/>
      <c r="AW49" s="159"/>
      <c r="AX49" s="154"/>
      <c r="AY49" s="151"/>
      <c r="AZ49" s="151"/>
      <c r="BA49" s="151"/>
      <c r="BB49" s="150"/>
      <c r="BC49" s="150"/>
      <c r="BD49" s="146"/>
      <c r="BE49" s="154"/>
      <c r="BF49" s="146"/>
      <c r="BG49" s="157"/>
      <c r="BH49" s="146"/>
      <c r="BI49" s="147"/>
      <c r="BJ49" s="146"/>
      <c r="BK49" s="161"/>
      <c r="BL49" s="162"/>
    </row>
    <row customHeight="true" ht="13.333333333333332" r="50">
      <c r="A50" s="145">
        <v>46039</v>
      </c>
      <c r="B50" s="146" t="s">
        <v>152</v>
      </c>
      <c r="C50" s="147"/>
      <c r="D50" s="146"/>
      <c r="E50" s="148"/>
      <c r="F50" s="148"/>
      <c r="G50" s="148"/>
      <c r="H50" s="146"/>
      <c r="I50" s="148"/>
      <c r="J50" s="150"/>
      <c r="K50" s="146"/>
      <c r="L50" s="146"/>
      <c r="M50" s="146"/>
      <c r="N50" s="148"/>
      <c r="O50" s="151"/>
      <c r="P50" s="151"/>
      <c r="Q50" s="146"/>
      <c r="R50" s="146"/>
      <c r="S50" s="146">
        <f>'法国ERP数据'!Z49</f>
      </c>
      <c r="T50" s="146"/>
      <c r="U50" s="146"/>
      <c r="V50" s="148"/>
      <c r="W50" s="146"/>
      <c r="X50" s="150"/>
      <c r="Y50" s="146"/>
      <c r="Z50" s="146"/>
      <c r="AA50" s="146"/>
      <c r="AB50" s="146"/>
      <c r="AC50" s="146"/>
      <c r="AD50" s="152"/>
      <c r="AE50" s="147"/>
      <c r="AF50" s="146"/>
      <c r="AG50" s="146"/>
      <c r="AH50" s="153"/>
      <c r="AI50" s="146"/>
      <c r="AJ50" s="154"/>
      <c r="AK50" s="146"/>
      <c r="AL50" s="155"/>
      <c r="AM50" s="156"/>
      <c r="AN50" s="148"/>
      <c r="AO50" s="154"/>
      <c r="AP50" s="155"/>
      <c r="AQ50" s="148"/>
      <c r="AR50" s="151"/>
      <c r="AS50" s="151"/>
      <c r="AT50" s="154"/>
      <c r="AU50" s="158"/>
      <c r="AV50" s="158"/>
      <c r="AW50" s="159"/>
      <c r="AX50" s="154"/>
      <c r="AY50" s="151"/>
      <c r="AZ50" s="151"/>
      <c r="BA50" s="151"/>
      <c r="BB50" s="150"/>
      <c r="BC50" s="150"/>
      <c r="BD50" s="146"/>
      <c r="BE50" s="154"/>
      <c r="BF50" s="146"/>
      <c r="BG50" s="157"/>
      <c r="BH50" s="146"/>
      <c r="BI50" s="147"/>
      <c r="BJ50" s="146"/>
      <c r="BK50" s="161"/>
      <c r="BL50" s="162"/>
    </row>
    <row customHeight="true" ht="13.333333333333332" r="51">
      <c r="A51" s="145">
        <v>46040</v>
      </c>
      <c r="B51" s="146" t="s">
        <v>153</v>
      </c>
      <c r="C51" s="147"/>
      <c r="D51" s="146"/>
      <c r="E51" s="148"/>
      <c r="F51" s="148"/>
      <c r="G51" s="148"/>
      <c r="H51" s="146"/>
      <c r="I51" s="148"/>
      <c r="J51" s="150"/>
      <c r="K51" s="146"/>
      <c r="L51" s="146"/>
      <c r="M51" s="146"/>
      <c r="N51" s="148"/>
      <c r="O51" s="151"/>
      <c r="P51" s="151"/>
      <c r="Q51" s="146"/>
      <c r="R51" s="146"/>
      <c r="S51" s="146">
        <f>'法国ERP数据'!Z50</f>
      </c>
      <c r="T51" s="146"/>
      <c r="U51" s="146"/>
      <c r="V51" s="148"/>
      <c r="W51" s="146"/>
      <c r="X51" s="150"/>
      <c r="Y51" s="146"/>
      <c r="Z51" s="146"/>
      <c r="AA51" s="146"/>
      <c r="AB51" s="146"/>
      <c r="AC51" s="146"/>
      <c r="AD51" s="152"/>
      <c r="AE51" s="147"/>
      <c r="AF51" s="146"/>
      <c r="AG51" s="146"/>
      <c r="AH51" s="153"/>
      <c r="AI51" s="146"/>
      <c r="AJ51" s="154"/>
      <c r="AK51" s="146"/>
      <c r="AL51" s="155"/>
      <c r="AM51" s="156"/>
      <c r="AN51" s="148"/>
      <c r="AO51" s="154"/>
      <c r="AP51" s="155"/>
      <c r="AQ51" s="148"/>
      <c r="AR51" s="151"/>
      <c r="AS51" s="151"/>
      <c r="AT51" s="154"/>
      <c r="AU51" s="158"/>
      <c r="AV51" s="158"/>
      <c r="AW51" s="159"/>
      <c r="AX51" s="154"/>
      <c r="AY51" s="151"/>
      <c r="AZ51" s="151"/>
      <c r="BA51" s="151"/>
      <c r="BB51" s="150"/>
      <c r="BC51" s="150"/>
      <c r="BD51" s="146"/>
      <c r="BE51" s="154"/>
      <c r="BF51" s="146"/>
      <c r="BG51" s="157"/>
      <c r="BH51" s="146"/>
      <c r="BI51" s="147"/>
      <c r="BJ51" s="146"/>
      <c r="BK51" s="161"/>
      <c r="BL51" s="162"/>
    </row>
    <row customHeight="true" ht="13.333333333333332" r="52">
      <c r="A52" s="145">
        <v>46041</v>
      </c>
      <c r="B52" s="146" t="s">
        <v>146</v>
      </c>
      <c r="C52" s="147"/>
      <c r="D52" s="146"/>
      <c r="E52" s="148"/>
      <c r="F52" s="148"/>
      <c r="G52" s="148"/>
      <c r="H52" s="146"/>
      <c r="I52" s="148"/>
      <c r="J52" s="150"/>
      <c r="K52" s="146"/>
      <c r="L52" s="146"/>
      <c r="M52" s="146"/>
      <c r="N52" s="148"/>
      <c r="O52" s="151"/>
      <c r="P52" s="151"/>
      <c r="Q52" s="146"/>
      <c r="R52" s="146"/>
      <c r="S52" s="146">
        <f>'法国ERP数据'!Z51</f>
      </c>
      <c r="T52" s="146"/>
      <c r="U52" s="146"/>
      <c r="V52" s="148"/>
      <c r="W52" s="146"/>
      <c r="X52" s="150"/>
      <c r="Y52" s="146"/>
      <c r="Z52" s="146"/>
      <c r="AA52" s="146"/>
      <c r="AB52" s="146"/>
      <c r="AC52" s="146"/>
      <c r="AD52" s="152"/>
      <c r="AE52" s="147"/>
      <c r="AF52" s="146"/>
      <c r="AG52" s="146"/>
      <c r="AH52" s="153"/>
      <c r="AI52" s="146"/>
      <c r="AJ52" s="154"/>
      <c r="AK52" s="146"/>
      <c r="AL52" s="155"/>
      <c r="AM52" s="156"/>
      <c r="AN52" s="148"/>
      <c r="AO52" s="154"/>
      <c r="AP52" s="155"/>
      <c r="AQ52" s="148"/>
      <c r="AR52" s="151"/>
      <c r="AS52" s="151"/>
      <c r="AT52" s="154"/>
      <c r="AU52" s="158"/>
      <c r="AV52" s="158"/>
      <c r="AW52" s="159"/>
      <c r="AX52" s="154"/>
      <c r="AY52" s="151"/>
      <c r="AZ52" s="151"/>
      <c r="BA52" s="151"/>
      <c r="BB52" s="150"/>
      <c r="BC52" s="150"/>
      <c r="BD52" s="146"/>
      <c r="BE52" s="154"/>
      <c r="BF52" s="146"/>
      <c r="BG52" s="157"/>
      <c r="BH52" s="146"/>
      <c r="BI52" s="147"/>
      <c r="BJ52" s="146"/>
      <c r="BK52" s="161"/>
      <c r="BL52" s="162"/>
    </row>
    <row customHeight="true" ht="13.333333333333332" r="53">
      <c r="A53" s="145">
        <v>46042</v>
      </c>
      <c r="B53" s="146" t="s">
        <v>148</v>
      </c>
      <c r="C53" s="147"/>
      <c r="D53" s="146"/>
      <c r="E53" s="148"/>
      <c r="F53" s="148"/>
      <c r="G53" s="148"/>
      <c r="H53" s="146"/>
      <c r="I53" s="148"/>
      <c r="J53" s="150"/>
      <c r="K53" s="146"/>
      <c r="L53" s="146"/>
      <c r="M53" s="146"/>
      <c r="N53" s="148"/>
      <c r="O53" s="151"/>
      <c r="P53" s="151"/>
      <c r="Q53" s="146"/>
      <c r="R53" s="146"/>
      <c r="S53" s="146">
        <f>'法国ERP数据'!Z52</f>
      </c>
      <c r="T53" s="146"/>
      <c r="U53" s="146"/>
      <c r="V53" s="148"/>
      <c r="W53" s="146"/>
      <c r="X53" s="150"/>
      <c r="Y53" s="146"/>
      <c r="Z53" s="146"/>
      <c r="AA53" s="146"/>
      <c r="AB53" s="146"/>
      <c r="AC53" s="146"/>
      <c r="AD53" s="152"/>
      <c r="AE53" s="147"/>
      <c r="AF53" s="146"/>
      <c r="AG53" s="146"/>
      <c r="AH53" s="153"/>
      <c r="AI53" s="146"/>
      <c r="AJ53" s="154"/>
      <c r="AK53" s="146"/>
      <c r="AL53" s="155"/>
      <c r="AM53" s="156"/>
      <c r="AN53" s="148"/>
      <c r="AO53" s="154"/>
      <c r="AP53" s="155"/>
      <c r="AQ53" s="148"/>
      <c r="AR53" s="151"/>
      <c r="AS53" s="151"/>
      <c r="AT53" s="154"/>
      <c r="AU53" s="158"/>
      <c r="AV53" s="158"/>
      <c r="AW53" s="159"/>
      <c r="AX53" s="154"/>
      <c r="AY53" s="151"/>
      <c r="AZ53" s="151"/>
      <c r="BA53" s="151"/>
      <c r="BB53" s="150"/>
      <c r="BC53" s="150"/>
      <c r="BD53" s="146"/>
      <c r="BE53" s="154"/>
      <c r="BF53" s="146"/>
      <c r="BG53" s="157"/>
      <c r="BH53" s="146"/>
      <c r="BI53" s="147"/>
      <c r="BJ53" s="146"/>
      <c r="BK53" s="161"/>
      <c r="BL53" s="162"/>
    </row>
    <row customHeight="true" ht="13.333333333333332" r="54">
      <c r="A54" s="145">
        <v>46043</v>
      </c>
      <c r="B54" s="146" t="s">
        <v>149</v>
      </c>
      <c r="C54" s="147"/>
      <c r="D54" s="146"/>
      <c r="E54" s="148"/>
      <c r="F54" s="148"/>
      <c r="G54" s="148"/>
      <c r="H54" s="146"/>
      <c r="I54" s="148"/>
      <c r="J54" s="150"/>
      <c r="K54" s="146"/>
      <c r="L54" s="146"/>
      <c r="M54" s="146"/>
      <c r="N54" s="148"/>
      <c r="O54" s="151"/>
      <c r="P54" s="151"/>
      <c r="Q54" s="146"/>
      <c r="R54" s="146"/>
      <c r="S54" s="146">
        <f>'法国ERP数据'!Z53</f>
      </c>
      <c r="T54" s="146"/>
      <c r="U54" s="146"/>
      <c r="V54" s="148"/>
      <c r="W54" s="146"/>
      <c r="X54" s="150"/>
      <c r="Y54" s="146"/>
      <c r="Z54" s="146"/>
      <c r="AA54" s="146"/>
      <c r="AB54" s="146"/>
      <c r="AC54" s="146"/>
      <c r="AD54" s="152"/>
      <c r="AE54" s="147"/>
      <c r="AF54" s="146"/>
      <c r="AG54" s="146"/>
      <c r="AH54" s="153"/>
      <c r="AI54" s="146"/>
      <c r="AJ54" s="154"/>
      <c r="AK54" s="146"/>
      <c r="AL54" s="155"/>
      <c r="AM54" s="156"/>
      <c r="AN54" s="148"/>
      <c r="AO54" s="154"/>
      <c r="AP54" s="155"/>
      <c r="AQ54" s="148"/>
      <c r="AR54" s="151"/>
      <c r="AS54" s="151"/>
      <c r="AT54" s="154"/>
      <c r="AU54" s="158"/>
      <c r="AV54" s="158"/>
      <c r="AW54" s="159"/>
      <c r="AX54" s="154"/>
      <c r="AY54" s="151"/>
      <c r="AZ54" s="151"/>
      <c r="BA54" s="151"/>
      <c r="BB54" s="150"/>
      <c r="BC54" s="150"/>
      <c r="BD54" s="146"/>
      <c r="BE54" s="154"/>
      <c r="BF54" s="146"/>
      <c r="BG54" s="157"/>
      <c r="BH54" s="146"/>
      <c r="BI54" s="147"/>
      <c r="BJ54" s="146"/>
      <c r="BK54" s="161"/>
      <c r="BL54" s="162"/>
    </row>
    <row customHeight="true" ht="13.333333333333332" r="55">
      <c r="A55" s="145">
        <v>46044</v>
      </c>
      <c r="B55" s="146" t="s">
        <v>150</v>
      </c>
      <c r="C55" s="147"/>
      <c r="D55" s="146"/>
      <c r="E55" s="148"/>
      <c r="F55" s="148"/>
      <c r="G55" s="148"/>
      <c r="H55" s="146"/>
      <c r="I55" s="148"/>
      <c r="J55" s="150"/>
      <c r="K55" s="146"/>
      <c r="L55" s="146"/>
      <c r="M55" s="146"/>
      <c r="N55" s="148"/>
      <c r="O55" s="151"/>
      <c r="P55" s="151"/>
      <c r="Q55" s="146"/>
      <c r="R55" s="146"/>
      <c r="S55" s="146">
        <f>'法国ERP数据'!Z54</f>
      </c>
      <c r="T55" s="146"/>
      <c r="U55" s="146"/>
      <c r="V55" s="148"/>
      <c r="W55" s="146"/>
      <c r="X55" s="150"/>
      <c r="Y55" s="146"/>
      <c r="Z55" s="146"/>
      <c r="AA55" s="146"/>
      <c r="AB55" s="146"/>
      <c r="AC55" s="146"/>
      <c r="AD55" s="152"/>
      <c r="AE55" s="147"/>
      <c r="AF55" s="146"/>
      <c r="AG55" s="146"/>
      <c r="AH55" s="153"/>
      <c r="AI55" s="146"/>
      <c r="AJ55" s="154"/>
      <c r="AK55" s="146"/>
      <c r="AL55" s="155"/>
      <c r="AM55" s="156"/>
      <c r="AN55" s="148"/>
      <c r="AO55" s="154"/>
      <c r="AP55" s="155"/>
      <c r="AQ55" s="148"/>
      <c r="AR55" s="151"/>
      <c r="AS55" s="151"/>
      <c r="AT55" s="154"/>
      <c r="AU55" s="158"/>
      <c r="AV55" s="158"/>
      <c r="AW55" s="159"/>
      <c r="AX55" s="154"/>
      <c r="AY55" s="151"/>
      <c r="AZ55" s="151"/>
      <c r="BA55" s="151"/>
      <c r="BB55" s="150"/>
      <c r="BC55" s="150"/>
      <c r="BD55" s="146"/>
      <c r="BE55" s="154"/>
      <c r="BF55" s="146"/>
      <c r="BG55" s="157"/>
      <c r="BH55" s="146"/>
      <c r="BI55" s="147"/>
      <c r="BJ55" s="146"/>
      <c r="BK55" s="161"/>
      <c r="BL55" s="162"/>
    </row>
    <row customHeight="true" ht="13.333333333333332" r="56">
      <c r="A56" s="145">
        <v>46045</v>
      </c>
      <c r="B56" s="146" t="s">
        <v>151</v>
      </c>
      <c r="C56" s="147"/>
      <c r="D56" s="146"/>
      <c r="E56" s="148"/>
      <c r="F56" s="148"/>
      <c r="G56" s="148"/>
      <c r="H56" s="146"/>
      <c r="I56" s="148"/>
      <c r="J56" s="150"/>
      <c r="K56" s="146"/>
      <c r="L56" s="146"/>
      <c r="M56" s="146"/>
      <c r="N56" s="148"/>
      <c r="O56" s="151"/>
      <c r="P56" s="151"/>
      <c r="Q56" s="146"/>
      <c r="R56" s="146"/>
      <c r="S56" s="146">
        <f>'法国ERP数据'!Z55</f>
      </c>
      <c r="T56" s="146"/>
      <c r="U56" s="146"/>
      <c r="V56" s="148"/>
      <c r="W56" s="146"/>
      <c r="X56" s="150"/>
      <c r="Y56" s="146"/>
      <c r="Z56" s="146"/>
      <c r="AA56" s="146"/>
      <c r="AB56" s="146"/>
      <c r="AC56" s="146"/>
      <c r="AD56" s="152"/>
      <c r="AE56" s="147"/>
      <c r="AF56" s="146"/>
      <c r="AG56" s="146"/>
      <c r="AH56" s="153"/>
      <c r="AI56" s="146"/>
      <c r="AJ56" s="154"/>
      <c r="AK56" s="146"/>
      <c r="AL56" s="155"/>
      <c r="AM56" s="156"/>
      <c r="AN56" s="148"/>
      <c r="AO56" s="154"/>
      <c r="AP56" s="155"/>
      <c r="AQ56" s="148"/>
      <c r="AR56" s="151"/>
      <c r="AS56" s="151"/>
      <c r="AT56" s="154"/>
      <c r="AU56" s="158"/>
      <c r="AV56" s="158"/>
      <c r="AW56" s="159"/>
      <c r="AX56" s="154"/>
      <c r="AY56" s="151"/>
      <c r="AZ56" s="151"/>
      <c r="BA56" s="151"/>
      <c r="BB56" s="150"/>
      <c r="BC56" s="150"/>
      <c r="BD56" s="146"/>
      <c r="BE56" s="154"/>
      <c r="BF56" s="146"/>
      <c r="BG56" s="157"/>
      <c r="BH56" s="146"/>
      <c r="BI56" s="147"/>
      <c r="BJ56" s="146"/>
      <c r="BK56" s="161"/>
      <c r="BL56" s="162"/>
    </row>
    <row customHeight="true" ht="13.333333333333332" r="57">
      <c r="A57" s="145">
        <v>46046</v>
      </c>
      <c r="B57" s="146" t="s">
        <v>152</v>
      </c>
      <c r="C57" s="147"/>
      <c r="D57" s="146"/>
      <c r="E57" s="148"/>
      <c r="F57" s="148"/>
      <c r="G57" s="148"/>
      <c r="H57" s="146"/>
      <c r="I57" s="148"/>
      <c r="J57" s="150"/>
      <c r="K57" s="146"/>
      <c r="L57" s="146"/>
      <c r="M57" s="146"/>
      <c r="N57" s="148"/>
      <c r="O57" s="151"/>
      <c r="P57" s="151"/>
      <c r="Q57" s="146"/>
      <c r="R57" s="146"/>
      <c r="S57" s="146">
        <f>'法国ERP数据'!Z56</f>
      </c>
      <c r="T57" s="146"/>
      <c r="U57" s="146"/>
      <c r="V57" s="148"/>
      <c r="W57" s="146"/>
      <c r="X57" s="150"/>
      <c r="Y57" s="146"/>
      <c r="Z57" s="146"/>
      <c r="AA57" s="146"/>
      <c r="AB57" s="146"/>
      <c r="AC57" s="146"/>
      <c r="AD57" s="152"/>
      <c r="AE57" s="147"/>
      <c r="AF57" s="146"/>
      <c r="AG57" s="146"/>
      <c r="AH57" s="153"/>
      <c r="AI57" s="146"/>
      <c r="AJ57" s="154"/>
      <c r="AK57" s="146"/>
      <c r="AL57" s="155"/>
      <c r="AM57" s="156"/>
      <c r="AN57" s="148"/>
      <c r="AO57" s="154"/>
      <c r="AP57" s="155"/>
      <c r="AQ57" s="148"/>
      <c r="AR57" s="151"/>
      <c r="AS57" s="151"/>
      <c r="AT57" s="154"/>
      <c r="AU57" s="158"/>
      <c r="AV57" s="158"/>
      <c r="AW57" s="159"/>
      <c r="AX57" s="154"/>
      <c r="AY57" s="151"/>
      <c r="AZ57" s="151"/>
      <c r="BA57" s="151"/>
      <c r="BB57" s="150"/>
      <c r="BC57" s="150"/>
      <c r="BD57" s="146"/>
      <c r="BE57" s="154"/>
      <c r="BF57" s="146"/>
      <c r="BG57" s="157"/>
      <c r="BH57" s="146"/>
      <c r="BI57" s="147"/>
      <c r="BJ57" s="146"/>
      <c r="BK57" s="161"/>
      <c r="BL57" s="162"/>
    </row>
    <row customHeight="true" ht="13.333333333333332" r="58">
      <c r="A58" s="145">
        <v>46047</v>
      </c>
      <c r="B58" s="146" t="s">
        <v>153</v>
      </c>
      <c r="C58" s="147"/>
      <c r="D58" s="146"/>
      <c r="E58" s="148"/>
      <c r="F58" s="148"/>
      <c r="G58" s="148"/>
      <c r="H58" s="146"/>
      <c r="I58" s="148"/>
      <c r="J58" s="150"/>
      <c r="K58" s="146"/>
      <c r="L58" s="146"/>
      <c r="M58" s="146"/>
      <c r="N58" s="148"/>
      <c r="O58" s="151"/>
      <c r="P58" s="151"/>
      <c r="Q58" s="146"/>
      <c r="R58" s="146"/>
      <c r="S58" s="146">
        <f>'法国ERP数据'!Z57</f>
      </c>
      <c r="T58" s="146"/>
      <c r="U58" s="146"/>
      <c r="V58" s="148"/>
      <c r="W58" s="146"/>
      <c r="X58" s="150"/>
      <c r="Y58" s="146"/>
      <c r="Z58" s="146"/>
      <c r="AA58" s="146"/>
      <c r="AB58" s="146"/>
      <c r="AC58" s="146"/>
      <c r="AD58" s="152"/>
      <c r="AE58" s="147"/>
      <c r="AF58" s="146"/>
      <c r="AG58" s="146"/>
      <c r="AH58" s="153"/>
      <c r="AI58" s="146"/>
      <c r="AJ58" s="154"/>
      <c r="AK58" s="146"/>
      <c r="AL58" s="155"/>
      <c r="AM58" s="156"/>
      <c r="AN58" s="148"/>
      <c r="AO58" s="154"/>
      <c r="AP58" s="155"/>
      <c r="AQ58" s="148"/>
      <c r="AR58" s="151"/>
      <c r="AS58" s="151"/>
      <c r="AT58" s="154"/>
      <c r="AU58" s="158"/>
      <c r="AV58" s="158"/>
      <c r="AW58" s="159"/>
      <c r="AX58" s="154"/>
      <c r="AY58" s="151"/>
      <c r="AZ58" s="151"/>
      <c r="BA58" s="151"/>
      <c r="BB58" s="150"/>
      <c r="BC58" s="150"/>
      <c r="BD58" s="146"/>
      <c r="BE58" s="154"/>
      <c r="BF58" s="146"/>
      <c r="BG58" s="157"/>
      <c r="BH58" s="146"/>
      <c r="BI58" s="147"/>
      <c r="BJ58" s="146"/>
      <c r="BK58" s="161"/>
      <c r="BL58" s="162"/>
    </row>
    <row customHeight="true" ht="13.333333333333332" r="59">
      <c r="A59" s="145">
        <v>46048</v>
      </c>
      <c r="B59" s="146" t="s">
        <v>146</v>
      </c>
      <c r="C59" s="147"/>
      <c r="D59" s="146"/>
      <c r="E59" s="148"/>
      <c r="F59" s="148"/>
      <c r="G59" s="148"/>
      <c r="H59" s="146"/>
      <c r="I59" s="148"/>
      <c r="J59" s="150"/>
      <c r="K59" s="146"/>
      <c r="L59" s="146"/>
      <c r="M59" s="146"/>
      <c r="N59" s="148"/>
      <c r="O59" s="151"/>
      <c r="P59" s="151"/>
      <c r="Q59" s="146"/>
      <c r="R59" s="146"/>
      <c r="S59" s="146">
        <f>'法国ERP数据'!Z58</f>
      </c>
      <c r="T59" s="146"/>
      <c r="U59" s="146"/>
      <c r="V59" s="148"/>
      <c r="W59" s="146"/>
      <c r="X59" s="150"/>
      <c r="Y59" s="146"/>
      <c r="Z59" s="146"/>
      <c r="AA59" s="146"/>
      <c r="AB59" s="146"/>
      <c r="AC59" s="146"/>
      <c r="AD59" s="152"/>
      <c r="AE59" s="147"/>
      <c r="AF59" s="146"/>
      <c r="AG59" s="146"/>
      <c r="AH59" s="153"/>
      <c r="AI59" s="146"/>
      <c r="AJ59" s="154"/>
      <c r="AK59" s="146"/>
      <c r="AL59" s="155"/>
      <c r="AM59" s="156"/>
      <c r="AN59" s="148"/>
      <c r="AO59" s="154"/>
      <c r="AP59" s="155"/>
      <c r="AQ59" s="148"/>
      <c r="AR59" s="151"/>
      <c r="AS59" s="151"/>
      <c r="AT59" s="154"/>
      <c r="AU59" s="158"/>
      <c r="AV59" s="158"/>
      <c r="AW59" s="159"/>
      <c r="AX59" s="154"/>
      <c r="AY59" s="151"/>
      <c r="AZ59" s="151"/>
      <c r="BA59" s="151"/>
      <c r="BB59" s="150"/>
      <c r="BC59" s="150"/>
      <c r="BD59" s="146"/>
      <c r="BE59" s="154"/>
      <c r="BF59" s="146"/>
      <c r="BG59" s="157"/>
      <c r="BH59" s="146"/>
      <c r="BI59" s="147"/>
      <c r="BJ59" s="146"/>
      <c r="BK59" s="161"/>
      <c r="BL59" s="162"/>
    </row>
    <row customHeight="true" ht="13.333333333333332" r="60">
      <c r="A60" s="145">
        <v>46049</v>
      </c>
      <c r="B60" s="146" t="s">
        <v>148</v>
      </c>
      <c r="C60" s="147"/>
      <c r="D60" s="146"/>
      <c r="E60" s="148"/>
      <c r="F60" s="148"/>
      <c r="G60" s="148"/>
      <c r="H60" s="146"/>
      <c r="I60" s="148"/>
      <c r="J60" s="150"/>
      <c r="K60" s="146"/>
      <c r="L60" s="146"/>
      <c r="M60" s="146"/>
      <c r="N60" s="148"/>
      <c r="O60" s="151"/>
      <c r="P60" s="151"/>
      <c r="Q60" s="146"/>
      <c r="R60" s="146"/>
      <c r="S60" s="146">
        <f>'法国ERP数据'!Z59</f>
      </c>
      <c r="T60" s="146"/>
      <c r="U60" s="146"/>
      <c r="V60" s="148"/>
      <c r="W60" s="146"/>
      <c r="X60" s="150"/>
      <c r="Y60" s="146"/>
      <c r="Z60" s="146"/>
      <c r="AA60" s="146"/>
      <c r="AB60" s="146"/>
      <c r="AC60" s="146"/>
      <c r="AD60" s="152"/>
      <c r="AE60" s="147"/>
      <c r="AF60" s="146"/>
      <c r="AG60" s="146"/>
      <c r="AH60" s="153"/>
      <c r="AI60" s="146"/>
      <c r="AJ60" s="154"/>
      <c r="AK60" s="146"/>
      <c r="AL60" s="155"/>
      <c r="AM60" s="156"/>
      <c r="AN60" s="148"/>
      <c r="AO60" s="154"/>
      <c r="AP60" s="155"/>
      <c r="AQ60" s="148"/>
      <c r="AR60" s="151"/>
      <c r="AS60" s="151"/>
      <c r="AT60" s="154"/>
      <c r="AU60" s="158"/>
      <c r="AV60" s="158"/>
      <c r="AW60" s="159"/>
      <c r="AX60" s="154"/>
      <c r="AY60" s="151"/>
      <c r="AZ60" s="151"/>
      <c r="BA60" s="151"/>
      <c r="BB60" s="150"/>
      <c r="BC60" s="150"/>
      <c r="BD60" s="146"/>
      <c r="BE60" s="154"/>
      <c r="BF60" s="146"/>
      <c r="BG60" s="157"/>
      <c r="BH60" s="146"/>
      <c r="BI60" s="147"/>
      <c r="BJ60" s="146"/>
      <c r="BK60" s="161"/>
      <c r="BL60" s="162"/>
    </row>
    <row customHeight="true" ht="13.333333333333332" r="61">
      <c r="A61" s="145">
        <v>46050</v>
      </c>
      <c r="B61" s="146" t="s">
        <v>149</v>
      </c>
      <c r="C61" s="147"/>
      <c r="D61" s="146"/>
      <c r="E61" s="148"/>
      <c r="F61" s="148"/>
      <c r="G61" s="148"/>
      <c r="H61" s="146"/>
      <c r="I61" s="148"/>
      <c r="J61" s="150"/>
      <c r="K61" s="146"/>
      <c r="L61" s="146"/>
      <c r="M61" s="146"/>
      <c r="N61" s="148"/>
      <c r="O61" s="151"/>
      <c r="P61" s="151"/>
      <c r="Q61" s="146"/>
      <c r="R61" s="146"/>
      <c r="S61" s="146">
        <f>'法国ERP数据'!Z60</f>
      </c>
      <c r="T61" s="146"/>
      <c r="U61" s="146"/>
      <c r="V61" s="148"/>
      <c r="W61" s="146"/>
      <c r="X61" s="150"/>
      <c r="Y61" s="146"/>
      <c r="Z61" s="146"/>
      <c r="AA61" s="146"/>
      <c r="AB61" s="146"/>
      <c r="AC61" s="146"/>
      <c r="AD61" s="152"/>
      <c r="AE61" s="147"/>
      <c r="AF61" s="146"/>
      <c r="AG61" s="146"/>
      <c r="AH61" s="153"/>
      <c r="AI61" s="146"/>
      <c r="AJ61" s="154"/>
      <c r="AK61" s="146"/>
      <c r="AL61" s="155"/>
      <c r="AM61" s="156"/>
      <c r="AN61" s="148"/>
      <c r="AO61" s="154"/>
      <c r="AP61" s="155"/>
      <c r="AQ61" s="148"/>
      <c r="AR61" s="151"/>
      <c r="AS61" s="151"/>
      <c r="AT61" s="154"/>
      <c r="AU61" s="158"/>
      <c r="AV61" s="158"/>
      <c r="AW61" s="159"/>
      <c r="AX61" s="154"/>
      <c r="AY61" s="151"/>
      <c r="AZ61" s="151"/>
      <c r="BA61" s="151"/>
      <c r="BB61" s="150"/>
      <c r="BC61" s="150"/>
      <c r="BD61" s="146"/>
      <c r="BE61" s="154"/>
      <c r="BF61" s="146"/>
      <c r="BG61" s="157"/>
      <c r="BH61" s="146"/>
      <c r="BI61" s="147"/>
      <c r="BJ61" s="146"/>
      <c r="BK61" s="161"/>
      <c r="BL61" s="162"/>
    </row>
    <row customHeight="true" ht="13.333333333333332" r="62">
      <c r="A62" s="145">
        <v>46051</v>
      </c>
      <c r="B62" s="146" t="s">
        <v>150</v>
      </c>
      <c r="C62" s="147"/>
      <c r="D62" s="146"/>
      <c r="E62" s="148"/>
      <c r="F62" s="148"/>
      <c r="G62" s="148"/>
      <c r="H62" s="146"/>
      <c r="I62" s="148"/>
      <c r="J62" s="150"/>
      <c r="K62" s="146"/>
      <c r="L62" s="146"/>
      <c r="M62" s="146"/>
      <c r="N62" s="148"/>
      <c r="O62" s="151"/>
      <c r="P62" s="151"/>
      <c r="Q62" s="146"/>
      <c r="R62" s="146"/>
      <c r="S62" s="146">
        <f>'法国ERP数据'!Z61</f>
      </c>
      <c r="T62" s="146"/>
      <c r="U62" s="146"/>
      <c r="V62" s="148"/>
      <c r="W62" s="146"/>
      <c r="X62" s="150"/>
      <c r="Y62" s="146"/>
      <c r="Z62" s="146"/>
      <c r="AA62" s="146"/>
      <c r="AB62" s="146"/>
      <c r="AC62" s="146"/>
      <c r="AD62" s="152"/>
      <c r="AE62" s="147"/>
      <c r="AF62" s="146"/>
      <c r="AG62" s="146"/>
      <c r="AH62" s="153"/>
      <c r="AI62" s="146"/>
      <c r="AJ62" s="154"/>
      <c r="AK62" s="146"/>
      <c r="AL62" s="155"/>
      <c r="AM62" s="156"/>
      <c r="AN62" s="148"/>
      <c r="AO62" s="154"/>
      <c r="AP62" s="155"/>
      <c r="AQ62" s="148"/>
      <c r="AR62" s="151"/>
      <c r="AS62" s="151"/>
      <c r="AT62" s="154"/>
      <c r="AU62" s="158"/>
      <c r="AV62" s="158"/>
      <c r="AW62" s="159"/>
      <c r="AX62" s="154"/>
      <c r="AY62" s="151"/>
      <c r="AZ62" s="151"/>
      <c r="BA62" s="151"/>
      <c r="BB62" s="150"/>
      <c r="BC62" s="150"/>
      <c r="BD62" s="146"/>
      <c r="BE62" s="154"/>
      <c r="BF62" s="146"/>
      <c r="BG62" s="157"/>
      <c r="BH62" s="146"/>
      <c r="BI62" s="147"/>
      <c r="BJ62" s="146"/>
      <c r="BK62" s="161"/>
      <c r="BL62" s="162"/>
    </row>
    <row customHeight="true" ht="13.333333333333332" r="63">
      <c r="A63" s="145">
        <v>46052</v>
      </c>
      <c r="B63" s="146" t="s">
        <v>151</v>
      </c>
      <c r="C63" s="147"/>
      <c r="D63" s="146"/>
      <c r="E63" s="148"/>
      <c r="F63" s="148"/>
      <c r="G63" s="148"/>
      <c r="H63" s="146"/>
      <c r="I63" s="148"/>
      <c r="J63" s="150"/>
      <c r="K63" s="146"/>
      <c r="L63" s="146"/>
      <c r="M63" s="146"/>
      <c r="N63" s="148"/>
      <c r="O63" s="151"/>
      <c r="P63" s="151"/>
      <c r="Q63" s="146"/>
      <c r="R63" s="146"/>
      <c r="S63" s="146">
        <f>'法国ERP数据'!Z62</f>
      </c>
      <c r="T63" s="146"/>
      <c r="U63" s="146"/>
      <c r="V63" s="148"/>
      <c r="W63" s="146"/>
      <c r="X63" s="150"/>
      <c r="Y63" s="146"/>
      <c r="Z63" s="146"/>
      <c r="AA63" s="146"/>
      <c r="AB63" s="146"/>
      <c r="AC63" s="146"/>
      <c r="AD63" s="152"/>
      <c r="AE63" s="147"/>
      <c r="AF63" s="146"/>
      <c r="AG63" s="146"/>
      <c r="AH63" s="153"/>
      <c r="AI63" s="146"/>
      <c r="AJ63" s="154"/>
      <c r="AK63" s="146"/>
      <c r="AL63" s="155"/>
      <c r="AM63" s="156"/>
      <c r="AN63" s="148"/>
      <c r="AO63" s="154"/>
      <c r="AP63" s="155"/>
      <c r="AQ63" s="148"/>
      <c r="AR63" s="151"/>
      <c r="AS63" s="151"/>
      <c r="AT63" s="154"/>
      <c r="AU63" s="158"/>
      <c r="AV63" s="158"/>
      <c r="AW63" s="159"/>
      <c r="AX63" s="154"/>
      <c r="AY63" s="151"/>
      <c r="AZ63" s="151"/>
      <c r="BA63" s="151"/>
      <c r="BB63" s="150"/>
      <c r="BC63" s="150"/>
      <c r="BD63" s="146"/>
      <c r="BE63" s="154"/>
      <c r="BF63" s="146"/>
      <c r="BG63" s="157"/>
      <c r="BH63" s="146"/>
      <c r="BI63" s="147"/>
      <c r="BJ63" s="146"/>
      <c r="BK63" s="161"/>
      <c r="BL63" s="162"/>
    </row>
    <row customHeight="true" ht="13.333333333333332" r="64">
      <c r="A64" s="145">
        <v>46053</v>
      </c>
      <c r="B64" s="146" t="s">
        <v>152</v>
      </c>
      <c r="C64" s="147"/>
      <c r="D64" s="146"/>
      <c r="E64" s="148"/>
      <c r="F64" s="148"/>
      <c r="G64" s="148"/>
      <c r="H64" s="146"/>
      <c r="I64" s="148"/>
      <c r="J64" s="150"/>
      <c r="K64" s="146"/>
      <c r="L64" s="146"/>
      <c r="M64" s="146"/>
      <c r="N64" s="148"/>
      <c r="O64" s="151"/>
      <c r="P64" s="151"/>
      <c r="Q64" s="146"/>
      <c r="R64" s="146"/>
      <c r="S64" s="146">
        <f>'法国ERP数据'!Z63</f>
      </c>
      <c r="T64" s="146"/>
      <c r="U64" s="146"/>
      <c r="V64" s="148"/>
      <c r="W64" s="146"/>
      <c r="X64" s="150"/>
      <c r="Y64" s="146"/>
      <c r="Z64" s="146"/>
      <c r="AA64" s="146"/>
      <c r="AB64" s="146"/>
      <c r="AC64" s="146"/>
      <c r="AD64" s="152"/>
      <c r="AE64" s="147"/>
      <c r="AF64" s="146"/>
      <c r="AG64" s="146"/>
      <c r="AH64" s="153"/>
      <c r="AI64" s="146"/>
      <c r="AJ64" s="154"/>
      <c r="AK64" s="146"/>
      <c r="AL64" s="155"/>
      <c r="AM64" s="156"/>
      <c r="AN64" s="148"/>
      <c r="AO64" s="154"/>
      <c r="AP64" s="155"/>
      <c r="AQ64" s="148"/>
      <c r="AR64" s="151"/>
      <c r="AS64" s="151"/>
      <c r="AT64" s="154"/>
      <c r="AU64" s="158"/>
      <c r="AV64" s="158"/>
      <c r="AW64" s="159"/>
      <c r="AX64" s="154"/>
      <c r="AY64" s="151"/>
      <c r="AZ64" s="151"/>
      <c r="BA64" s="151"/>
      <c r="BB64" s="150"/>
      <c r="BC64" s="150"/>
      <c r="BD64" s="146"/>
      <c r="BE64" s="154"/>
      <c r="BF64" s="146"/>
      <c r="BG64" s="157"/>
      <c r="BH64" s="146"/>
      <c r="BI64" s="147"/>
      <c r="BJ64" s="146"/>
      <c r="BK64" s="161"/>
      <c r="BL64" s="162"/>
    </row>
    <row customHeight="true" ht="13.333333333333332" r="65">
      <c r="A65" s="145">
        <v>46054</v>
      </c>
      <c r="B65" s="146" t="s">
        <v>153</v>
      </c>
      <c r="C65" s="147"/>
      <c r="D65" s="146"/>
      <c r="E65" s="148"/>
      <c r="F65" s="148"/>
      <c r="G65" s="148"/>
      <c r="H65" s="146"/>
      <c r="I65" s="148"/>
      <c r="J65" s="150"/>
      <c r="K65" s="146"/>
      <c r="L65" s="146"/>
      <c r="M65" s="146"/>
      <c r="N65" s="148"/>
      <c r="O65" s="151"/>
      <c r="P65" s="151"/>
      <c r="Q65" s="146"/>
      <c r="R65" s="146"/>
      <c r="S65" s="146">
        <f>'法国ERP数据'!Z64</f>
      </c>
      <c r="T65" s="146"/>
      <c r="U65" s="146"/>
      <c r="V65" s="148"/>
      <c r="W65" s="146"/>
      <c r="X65" s="150"/>
      <c r="Y65" s="146"/>
      <c r="Z65" s="146"/>
      <c r="AA65" s="146"/>
      <c r="AB65" s="146"/>
      <c r="AC65" s="146"/>
      <c r="AD65" s="152"/>
      <c r="AE65" s="147"/>
      <c r="AF65" s="146"/>
      <c r="AG65" s="146"/>
      <c r="AH65" s="153"/>
      <c r="AI65" s="146"/>
      <c r="AJ65" s="154"/>
      <c r="AK65" s="146"/>
      <c r="AL65" s="155"/>
      <c r="AM65" s="156"/>
      <c r="AN65" s="148"/>
      <c r="AO65" s="154"/>
      <c r="AP65" s="155"/>
      <c r="AQ65" s="148"/>
      <c r="AR65" s="151"/>
      <c r="AS65" s="151"/>
      <c r="AT65" s="154"/>
      <c r="AU65" s="158"/>
      <c r="AV65" s="158"/>
      <c r="AW65" s="159"/>
      <c r="AX65" s="154"/>
      <c r="AY65" s="151"/>
      <c r="AZ65" s="151"/>
      <c r="BA65" s="151"/>
      <c r="BB65" s="150"/>
      <c r="BC65" s="150"/>
      <c r="BD65" s="146"/>
      <c r="BE65" s="154"/>
      <c r="BF65" s="146"/>
      <c r="BG65" s="157"/>
      <c r="BH65" s="146"/>
      <c r="BI65" s="147"/>
      <c r="BJ65" s="146"/>
      <c r="BK65" s="161"/>
      <c r="BL65" s="162"/>
    </row>
    <row customHeight="true" ht="13.333333333333332" r="66">
      <c r="A66" s="145">
        <v>46055</v>
      </c>
      <c r="B66" s="146" t="s">
        <v>146</v>
      </c>
      <c r="C66" s="147"/>
      <c r="D66" s="146"/>
      <c r="E66" s="148"/>
      <c r="F66" s="148"/>
      <c r="G66" s="148"/>
      <c r="H66" s="146"/>
      <c r="I66" s="148"/>
      <c r="J66" s="150"/>
      <c r="K66" s="146"/>
      <c r="L66" s="146"/>
      <c r="M66" s="146"/>
      <c r="N66" s="148"/>
      <c r="O66" s="151"/>
      <c r="P66" s="151"/>
      <c r="Q66" s="146"/>
      <c r="R66" s="146"/>
      <c r="S66" s="146">
        <f>'法国ERP数据'!Z65</f>
      </c>
      <c r="T66" s="146"/>
      <c r="U66" s="146"/>
      <c r="V66" s="148"/>
      <c r="W66" s="146"/>
      <c r="X66" s="150"/>
      <c r="Y66" s="146"/>
      <c r="Z66" s="146"/>
      <c r="AA66" s="146"/>
      <c r="AB66" s="146"/>
      <c r="AC66" s="146"/>
      <c r="AD66" s="152"/>
      <c r="AE66" s="147"/>
      <c r="AF66" s="146"/>
      <c r="AG66" s="146"/>
      <c r="AH66" s="153"/>
      <c r="AI66" s="146"/>
      <c r="AJ66" s="154"/>
      <c r="AK66" s="146"/>
      <c r="AL66" s="155"/>
      <c r="AM66" s="156"/>
      <c r="AN66" s="148"/>
      <c r="AO66" s="154"/>
      <c r="AP66" s="155"/>
      <c r="AQ66" s="148"/>
      <c r="AR66" s="151"/>
      <c r="AS66" s="151"/>
      <c r="AT66" s="154"/>
      <c r="AU66" s="158"/>
      <c r="AV66" s="158"/>
      <c r="AW66" s="159"/>
      <c r="AX66" s="154"/>
      <c r="AY66" s="151"/>
      <c r="AZ66" s="151"/>
      <c r="BA66" s="151"/>
      <c r="BB66" s="150"/>
      <c r="BC66" s="150"/>
      <c r="BD66" s="146"/>
      <c r="BE66" s="154"/>
      <c r="BF66" s="146"/>
      <c r="BG66" s="157"/>
      <c r="BH66" s="146"/>
      <c r="BI66" s="147"/>
      <c r="BJ66" s="146"/>
      <c r="BK66" s="161"/>
      <c r="BL66" s="162"/>
    </row>
    <row customHeight="true" ht="13.333333333333332" r="67">
      <c r="A67" s="145">
        <v>46056</v>
      </c>
      <c r="B67" s="146" t="s">
        <v>148</v>
      </c>
      <c r="C67" s="147"/>
      <c r="D67" s="146"/>
      <c r="E67" s="148"/>
      <c r="F67" s="148"/>
      <c r="G67" s="148"/>
      <c r="H67" s="146"/>
      <c r="I67" s="148"/>
      <c r="J67" s="150"/>
      <c r="K67" s="146"/>
      <c r="L67" s="146"/>
      <c r="M67" s="146"/>
      <c r="N67" s="148"/>
      <c r="O67" s="151"/>
      <c r="P67" s="151"/>
      <c r="Q67" s="146"/>
      <c r="R67" s="146"/>
      <c r="S67" s="146">
        <f>'法国ERP数据'!Z66</f>
      </c>
      <c r="T67" s="146"/>
      <c r="U67" s="146"/>
      <c r="V67" s="148"/>
      <c r="W67" s="146"/>
      <c r="X67" s="150"/>
      <c r="Y67" s="146"/>
      <c r="Z67" s="146"/>
      <c r="AA67" s="146"/>
      <c r="AB67" s="146"/>
      <c r="AC67" s="146"/>
      <c r="AD67" s="152"/>
      <c r="AE67" s="147"/>
      <c r="AF67" s="146"/>
      <c r="AG67" s="146"/>
      <c r="AH67" s="153"/>
      <c r="AI67" s="146"/>
      <c r="AJ67" s="154"/>
      <c r="AK67" s="146"/>
      <c r="AL67" s="155"/>
      <c r="AM67" s="156"/>
      <c r="AN67" s="148"/>
      <c r="AO67" s="154"/>
      <c r="AP67" s="155"/>
      <c r="AQ67" s="148"/>
      <c r="AR67" s="151"/>
      <c r="AS67" s="151"/>
      <c r="AT67" s="154"/>
      <c r="AU67" s="158"/>
      <c r="AV67" s="158"/>
      <c r="AW67" s="159"/>
      <c r="AX67" s="154"/>
      <c r="AY67" s="151"/>
      <c r="AZ67" s="151"/>
      <c r="BA67" s="151"/>
      <c r="BB67" s="150"/>
      <c r="BC67" s="150"/>
      <c r="BD67" s="146"/>
      <c r="BE67" s="154"/>
      <c r="BF67" s="146"/>
      <c r="BG67" s="157"/>
      <c r="BH67" s="146"/>
      <c r="BI67" s="147"/>
      <c r="BJ67" s="146"/>
      <c r="BK67" s="161"/>
      <c r="BL67" s="162"/>
    </row>
    <row customHeight="true" ht="13.333333333333332" r="68">
      <c r="A68" s="145">
        <v>46057</v>
      </c>
      <c r="B68" s="146" t="s">
        <v>149</v>
      </c>
      <c r="C68" s="147"/>
      <c r="D68" s="146"/>
      <c r="E68" s="148"/>
      <c r="F68" s="148"/>
      <c r="G68" s="148"/>
      <c r="H68" s="146"/>
      <c r="I68" s="148"/>
      <c r="J68" s="150"/>
      <c r="K68" s="146"/>
      <c r="L68" s="146"/>
      <c r="M68" s="146"/>
      <c r="N68" s="148"/>
      <c r="O68" s="151"/>
      <c r="P68" s="151"/>
      <c r="Q68" s="146"/>
      <c r="R68" s="146"/>
      <c r="S68" s="146">
        <f>'法国ERP数据'!Z67</f>
      </c>
      <c r="T68" s="146"/>
      <c r="U68" s="146"/>
      <c r="V68" s="148"/>
      <c r="W68" s="146"/>
      <c r="X68" s="150"/>
      <c r="Y68" s="146"/>
      <c r="Z68" s="146"/>
      <c r="AA68" s="146"/>
      <c r="AB68" s="146"/>
      <c r="AC68" s="146"/>
      <c r="AD68" s="152"/>
      <c r="AE68" s="147"/>
      <c r="AF68" s="146"/>
      <c r="AG68" s="146"/>
      <c r="AH68" s="153"/>
      <c r="AI68" s="146"/>
      <c r="AJ68" s="154"/>
      <c r="AK68" s="146"/>
      <c r="AL68" s="155"/>
      <c r="AM68" s="156"/>
      <c r="AN68" s="148"/>
      <c r="AO68" s="154"/>
      <c r="AP68" s="155"/>
      <c r="AQ68" s="148"/>
      <c r="AR68" s="151"/>
      <c r="AS68" s="151"/>
      <c r="AT68" s="154"/>
      <c r="AU68" s="158"/>
      <c r="AV68" s="158"/>
      <c r="AW68" s="159"/>
      <c r="AX68" s="154"/>
      <c r="AY68" s="151"/>
      <c r="AZ68" s="151"/>
      <c r="BA68" s="151"/>
      <c r="BB68" s="150"/>
      <c r="BC68" s="150"/>
      <c r="BD68" s="146"/>
      <c r="BE68" s="154"/>
      <c r="BF68" s="146"/>
      <c r="BG68" s="157"/>
      <c r="BH68" s="146"/>
      <c r="BI68" s="147"/>
      <c r="BJ68" s="146"/>
      <c r="BK68" s="161"/>
      <c r="BL68" s="163"/>
    </row>
    <row customHeight="true" ht="13.333333333333332" r="69">
      <c r="A69" s="145">
        <v>46058</v>
      </c>
      <c r="B69" s="146" t="s">
        <v>150</v>
      </c>
      <c r="C69" s="164"/>
      <c r="D69" s="146"/>
      <c r="E69" s="148"/>
      <c r="F69" s="148"/>
      <c r="G69" s="148"/>
      <c r="H69" s="146"/>
      <c r="I69" s="148"/>
      <c r="J69" s="150"/>
      <c r="K69" s="146"/>
      <c r="L69" s="146"/>
      <c r="M69" s="146"/>
      <c r="N69" s="148"/>
      <c r="O69" s="151"/>
      <c r="P69" s="151"/>
      <c r="Q69" s="146"/>
      <c r="R69" s="146"/>
      <c r="S69" s="146">
        <f>'法国ERP数据'!Z68</f>
      </c>
      <c r="T69" s="146"/>
      <c r="U69" s="146"/>
      <c r="V69" s="148"/>
      <c r="W69" s="146"/>
      <c r="X69" s="150"/>
      <c r="Y69" s="146"/>
      <c r="Z69" s="146"/>
      <c r="AA69" s="146"/>
      <c r="AB69" s="146"/>
      <c r="AC69" s="146"/>
      <c r="AD69" s="152"/>
      <c r="AE69" s="147"/>
      <c r="AF69" s="146"/>
      <c r="AG69" s="146"/>
      <c r="AH69" s="153"/>
      <c r="AI69" s="146"/>
      <c r="AJ69" s="154"/>
      <c r="AK69" s="146"/>
      <c r="AL69" s="155"/>
      <c r="AM69" s="156"/>
      <c r="AN69" s="148"/>
      <c r="AO69" s="154"/>
      <c r="AP69" s="155"/>
      <c r="AQ69" s="148"/>
      <c r="AR69" s="151"/>
      <c r="AS69" s="151"/>
      <c r="AT69" s="154"/>
      <c r="AU69" s="158"/>
      <c r="AV69" s="158"/>
      <c r="AW69" s="159"/>
      <c r="AX69" s="154"/>
      <c r="AY69" s="151"/>
      <c r="AZ69" s="151"/>
      <c r="BA69" s="151"/>
      <c r="BB69" s="150"/>
      <c r="BC69" s="150"/>
      <c r="BD69" s="146"/>
      <c r="BE69" s="154"/>
      <c r="BF69" s="146"/>
      <c r="BG69" s="157"/>
      <c r="BH69" s="146"/>
      <c r="BI69" s="147"/>
      <c r="BJ69" s="146"/>
      <c r="BK69" s="161"/>
      <c r="BL69" s="163"/>
    </row>
    <row customHeight="true" ht="13.333333333333332" r="70">
      <c r="A70" s="145">
        <v>46059</v>
      </c>
      <c r="B70" s="146" t="s">
        <v>151</v>
      </c>
      <c r="C70" s="164"/>
      <c r="D70" s="146"/>
      <c r="E70" s="148"/>
      <c r="F70" s="148"/>
      <c r="G70" s="148"/>
      <c r="H70" s="146"/>
      <c r="I70" s="148"/>
      <c r="J70" s="150"/>
      <c r="K70" s="146"/>
      <c r="L70" s="146"/>
      <c r="M70" s="146"/>
      <c r="N70" s="148"/>
      <c r="O70" s="151"/>
      <c r="P70" s="151"/>
      <c r="Q70" s="146"/>
      <c r="R70" s="146"/>
      <c r="S70" s="146">
        <f>'法国ERP数据'!Z69</f>
      </c>
      <c r="T70" s="146"/>
      <c r="U70" s="146"/>
      <c r="V70" s="148"/>
      <c r="W70" s="146"/>
      <c r="X70" s="150"/>
      <c r="Y70" s="146"/>
      <c r="Z70" s="146"/>
      <c r="AA70" s="146"/>
      <c r="AB70" s="146"/>
      <c r="AC70" s="146"/>
      <c r="AD70" s="152"/>
      <c r="AE70" s="147"/>
      <c r="AF70" s="146"/>
      <c r="AG70" s="146"/>
      <c r="AH70" s="153"/>
      <c r="AI70" s="146"/>
      <c r="AJ70" s="154"/>
      <c r="AK70" s="146"/>
      <c r="AL70" s="155"/>
      <c r="AM70" s="156"/>
      <c r="AN70" s="148"/>
      <c r="AO70" s="154"/>
      <c r="AP70" s="155"/>
      <c r="AQ70" s="148"/>
      <c r="AR70" s="151"/>
      <c r="AS70" s="151"/>
      <c r="AT70" s="154"/>
      <c r="AU70" s="158"/>
      <c r="AV70" s="158"/>
      <c r="AW70" s="159"/>
      <c r="AX70" s="154"/>
      <c r="AY70" s="151"/>
      <c r="AZ70" s="151"/>
      <c r="BA70" s="151"/>
      <c r="BB70" s="150"/>
      <c r="BC70" s="150"/>
      <c r="BD70" s="146"/>
      <c r="BE70" s="154"/>
      <c r="BF70" s="146"/>
      <c r="BG70" s="157"/>
      <c r="BH70" s="146"/>
      <c r="BI70" s="147"/>
      <c r="BJ70" s="146"/>
      <c r="BK70" s="161"/>
      <c r="BL70" s="163"/>
    </row>
    <row customHeight="true" ht="13.333333333333332" r="71">
      <c r="A71" s="145">
        <v>46060</v>
      </c>
      <c r="B71" s="146" t="s">
        <v>152</v>
      </c>
      <c r="C71" s="164"/>
      <c r="D71" s="146"/>
      <c r="E71" s="148"/>
      <c r="F71" s="148"/>
      <c r="G71" s="148"/>
      <c r="H71" s="146"/>
      <c r="I71" s="148"/>
      <c r="J71" s="150"/>
      <c r="K71" s="146"/>
      <c r="L71" s="146"/>
      <c r="M71" s="146"/>
      <c r="N71" s="148"/>
      <c r="O71" s="151"/>
      <c r="P71" s="151"/>
      <c r="Q71" s="146"/>
      <c r="R71" s="146"/>
      <c r="S71" s="146">
        <f>'法国ERP数据'!Z70</f>
      </c>
      <c r="T71" s="146"/>
      <c r="U71" s="146"/>
      <c r="V71" s="148"/>
      <c r="W71" s="146"/>
      <c r="X71" s="150"/>
      <c r="Y71" s="146"/>
      <c r="Z71" s="146"/>
      <c r="AA71" s="146"/>
      <c r="AB71" s="146"/>
      <c r="AC71" s="146"/>
      <c r="AD71" s="152"/>
      <c r="AE71" s="147"/>
      <c r="AF71" s="146"/>
      <c r="AG71" s="146"/>
      <c r="AH71" s="153"/>
      <c r="AI71" s="146"/>
      <c r="AJ71" s="154"/>
      <c r="AK71" s="146"/>
      <c r="AL71" s="155"/>
      <c r="AM71" s="156"/>
      <c r="AN71" s="148"/>
      <c r="AO71" s="154"/>
      <c r="AP71" s="155"/>
      <c r="AQ71" s="148"/>
      <c r="AR71" s="151"/>
      <c r="AS71" s="151"/>
      <c r="AT71" s="154"/>
      <c r="AU71" s="158"/>
      <c r="AV71" s="158"/>
      <c r="AW71" s="159"/>
      <c r="AX71" s="154"/>
      <c r="AY71" s="151"/>
      <c r="AZ71" s="151"/>
      <c r="BA71" s="151"/>
      <c r="BB71" s="150"/>
      <c r="BC71" s="150"/>
      <c r="BD71" s="146"/>
      <c r="BE71" s="154"/>
      <c r="BF71" s="146"/>
      <c r="BG71" s="157"/>
      <c r="BH71" s="146"/>
      <c r="BI71" s="147"/>
      <c r="BJ71" s="146"/>
      <c r="BK71" s="161"/>
      <c r="BL71" s="163"/>
    </row>
    <row customHeight="true" ht="13.333333333333332" r="72">
      <c r="A72" s="145">
        <v>46061</v>
      </c>
      <c r="B72" s="146" t="s">
        <v>153</v>
      </c>
      <c r="C72" s="164"/>
      <c r="D72" s="146"/>
      <c r="E72" s="148"/>
      <c r="F72" s="148"/>
      <c r="G72" s="148"/>
      <c r="H72" s="146"/>
      <c r="I72" s="148"/>
      <c r="J72" s="150"/>
      <c r="K72" s="146"/>
      <c r="L72" s="146"/>
      <c r="M72" s="146"/>
      <c r="N72" s="148"/>
      <c r="O72" s="151"/>
      <c r="P72" s="151"/>
      <c r="Q72" s="146"/>
      <c r="R72" s="146"/>
      <c r="S72" s="146">
        <f>'法国ERP数据'!Z71</f>
      </c>
      <c r="T72" s="146"/>
      <c r="U72" s="146"/>
      <c r="V72" s="148"/>
      <c r="W72" s="146"/>
      <c r="X72" s="150"/>
      <c r="Y72" s="146"/>
      <c r="Z72" s="146"/>
      <c r="AA72" s="146"/>
      <c r="AB72" s="146"/>
      <c r="AC72" s="146"/>
      <c r="AD72" s="152"/>
      <c r="AE72" s="147"/>
      <c r="AF72" s="146"/>
      <c r="AG72" s="146"/>
      <c r="AH72" s="153"/>
      <c r="AI72" s="146"/>
      <c r="AJ72" s="154"/>
      <c r="AK72" s="146"/>
      <c r="AL72" s="155"/>
      <c r="AM72" s="156"/>
      <c r="AN72" s="148"/>
      <c r="AO72" s="154"/>
      <c r="AP72" s="155"/>
      <c r="AQ72" s="148"/>
      <c r="AR72" s="151"/>
      <c r="AS72" s="151"/>
      <c r="AT72" s="154"/>
      <c r="AU72" s="158"/>
      <c r="AV72" s="158"/>
      <c r="AW72" s="159"/>
      <c r="AX72" s="154"/>
      <c r="AY72" s="151"/>
      <c r="AZ72" s="151"/>
      <c r="BA72" s="151"/>
      <c r="BB72" s="150"/>
      <c r="BC72" s="150"/>
      <c r="BD72" s="146"/>
      <c r="BE72" s="154"/>
      <c r="BF72" s="146"/>
      <c r="BG72" s="157"/>
      <c r="BH72" s="146"/>
      <c r="BI72" s="147"/>
      <c r="BJ72" s="146"/>
      <c r="BK72" s="161"/>
      <c r="BL72" s="163"/>
    </row>
    <row customHeight="true" ht="13.333333333333332" r="73">
      <c r="A73" s="145">
        <v>46062</v>
      </c>
      <c r="B73" s="146" t="s">
        <v>146</v>
      </c>
      <c r="C73" s="164"/>
      <c r="D73" s="146"/>
      <c r="E73" s="148"/>
      <c r="F73" s="148"/>
      <c r="G73" s="148"/>
      <c r="H73" s="146"/>
      <c r="I73" s="148"/>
      <c r="J73" s="150"/>
      <c r="K73" s="146"/>
      <c r="L73" s="146"/>
      <c r="M73" s="146"/>
      <c r="N73" s="148"/>
      <c r="O73" s="151"/>
      <c r="P73" s="151"/>
      <c r="Q73" s="146"/>
      <c r="R73" s="146"/>
      <c r="S73" s="146">
        <f>'法国ERP数据'!Z72</f>
      </c>
      <c r="T73" s="146"/>
      <c r="U73" s="146"/>
      <c r="V73" s="148"/>
      <c r="W73" s="146"/>
      <c r="X73" s="150"/>
      <c r="Y73" s="146"/>
      <c r="Z73" s="146"/>
      <c r="AA73" s="146"/>
      <c r="AB73" s="146"/>
      <c r="AC73" s="146"/>
      <c r="AD73" s="152"/>
      <c r="AE73" s="147"/>
      <c r="AF73" s="146"/>
      <c r="AG73" s="146"/>
      <c r="AH73" s="153"/>
      <c r="AI73" s="146"/>
      <c r="AJ73" s="154"/>
      <c r="AK73" s="146"/>
      <c r="AL73" s="155"/>
      <c r="AM73" s="156"/>
      <c r="AN73" s="148"/>
      <c r="AO73" s="154"/>
      <c r="AP73" s="155"/>
      <c r="AQ73" s="148"/>
      <c r="AR73" s="151"/>
      <c r="AS73" s="151"/>
      <c r="AT73" s="154"/>
      <c r="AU73" s="158"/>
      <c r="AV73" s="158"/>
      <c r="AW73" s="159"/>
      <c r="AX73" s="154"/>
      <c r="AY73" s="151"/>
      <c r="AZ73" s="151"/>
      <c r="BA73" s="151"/>
      <c r="BB73" s="150"/>
      <c r="BC73" s="150"/>
      <c r="BD73" s="146"/>
      <c r="BE73" s="154"/>
      <c r="BF73" s="146"/>
      <c r="BG73" s="157"/>
      <c r="BH73" s="146"/>
      <c r="BI73" s="147"/>
      <c r="BJ73" s="146"/>
      <c r="BK73" s="161"/>
      <c r="BL73" s="163"/>
    </row>
    <row customHeight="true" ht="13.333333333333332" r="74">
      <c r="A74" s="145">
        <v>46063</v>
      </c>
      <c r="B74" s="146" t="s">
        <v>148</v>
      </c>
      <c r="C74" s="164"/>
      <c r="D74" s="146"/>
      <c r="E74" s="148"/>
      <c r="F74" s="148"/>
      <c r="G74" s="148"/>
      <c r="H74" s="146"/>
      <c r="I74" s="148"/>
      <c r="J74" s="150"/>
      <c r="K74" s="146"/>
      <c r="L74" s="146"/>
      <c r="M74" s="146"/>
      <c r="N74" s="148"/>
      <c r="O74" s="151"/>
      <c r="P74" s="151"/>
      <c r="Q74" s="146"/>
      <c r="R74" s="146"/>
      <c r="S74" s="146">
        <f>'法国ERP数据'!Z73</f>
      </c>
      <c r="T74" s="146"/>
      <c r="U74" s="146"/>
      <c r="V74" s="148"/>
      <c r="W74" s="146"/>
      <c r="X74" s="150"/>
      <c r="Y74" s="146"/>
      <c r="Z74" s="146"/>
      <c r="AA74" s="146"/>
      <c r="AB74" s="146"/>
      <c r="AC74" s="146"/>
      <c r="AD74" s="152"/>
      <c r="AE74" s="147"/>
      <c r="AF74" s="146"/>
      <c r="AG74" s="146"/>
      <c r="AH74" s="153"/>
      <c r="AI74" s="146"/>
      <c r="AJ74" s="154"/>
      <c r="AK74" s="146"/>
      <c r="AL74" s="155"/>
      <c r="AM74" s="156"/>
      <c r="AN74" s="148"/>
      <c r="AO74" s="154"/>
      <c r="AP74" s="155"/>
      <c r="AQ74" s="148"/>
      <c r="AR74" s="151"/>
      <c r="AS74" s="151"/>
      <c r="AT74" s="154"/>
      <c r="AU74" s="158"/>
      <c r="AV74" s="158"/>
      <c r="AW74" s="159"/>
      <c r="AX74" s="154"/>
      <c r="AY74" s="151"/>
      <c r="AZ74" s="151"/>
      <c r="BA74" s="151"/>
      <c r="BB74" s="150"/>
      <c r="BC74" s="150"/>
      <c r="BD74" s="146"/>
      <c r="BE74" s="154"/>
      <c r="BF74" s="146"/>
      <c r="BG74" s="157"/>
      <c r="BH74" s="146"/>
      <c r="BI74" s="146"/>
      <c r="BJ74" s="146"/>
      <c r="BK74" s="161"/>
      <c r="BL74" s="163"/>
    </row>
    <row customHeight="true" ht="13.333333333333332" r="75">
      <c r="A75" s="145">
        <v>46064</v>
      </c>
      <c r="B75" s="146" t="s">
        <v>149</v>
      </c>
      <c r="C75" s="164"/>
      <c r="D75" s="146"/>
      <c r="E75" s="148"/>
      <c r="F75" s="148"/>
      <c r="G75" s="148"/>
      <c r="H75" s="146"/>
      <c r="I75" s="148"/>
      <c r="J75" s="150"/>
      <c r="K75" s="146"/>
      <c r="L75" s="146"/>
      <c r="M75" s="146"/>
      <c r="N75" s="148"/>
      <c r="O75" s="151"/>
      <c r="P75" s="151"/>
      <c r="Q75" s="146"/>
      <c r="R75" s="146"/>
      <c r="S75" s="146">
        <f>'法国ERP数据'!Z74</f>
      </c>
      <c r="T75" s="146"/>
      <c r="U75" s="146"/>
      <c r="V75" s="148"/>
      <c r="W75" s="146"/>
      <c r="X75" s="150"/>
      <c r="Y75" s="146"/>
      <c r="Z75" s="146"/>
      <c r="AA75" s="146"/>
      <c r="AB75" s="146"/>
      <c r="AC75" s="146"/>
      <c r="AD75" s="152"/>
      <c r="AE75" s="147"/>
      <c r="AF75" s="146"/>
      <c r="AG75" s="146"/>
      <c r="AH75" s="153"/>
      <c r="AI75" s="146"/>
      <c r="AJ75" s="154"/>
      <c r="AK75" s="146"/>
      <c r="AL75" s="155"/>
      <c r="AM75" s="156"/>
      <c r="AN75" s="148"/>
      <c r="AO75" s="154"/>
      <c r="AP75" s="155"/>
      <c r="AQ75" s="148"/>
      <c r="AR75" s="151"/>
      <c r="AS75" s="151"/>
      <c r="AT75" s="154"/>
      <c r="AU75" s="158"/>
      <c r="AV75" s="158"/>
      <c r="AW75" s="159"/>
      <c r="AX75" s="154"/>
      <c r="AY75" s="151"/>
      <c r="AZ75" s="151"/>
      <c r="BA75" s="151"/>
      <c r="BB75" s="150"/>
      <c r="BC75" s="150"/>
      <c r="BD75" s="146"/>
      <c r="BE75" s="154"/>
      <c r="BF75" s="146"/>
      <c r="BG75" s="157"/>
      <c r="BH75" s="146"/>
      <c r="BI75" s="146"/>
      <c r="BJ75" s="146"/>
      <c r="BK75" s="161"/>
      <c r="BL75" s="163"/>
    </row>
    <row customHeight="true" ht="13.333333333333332" r="76">
      <c r="A76" s="145">
        <v>46065</v>
      </c>
      <c r="B76" s="146" t="s">
        <v>150</v>
      </c>
      <c r="C76" s="164"/>
      <c r="D76" s="146"/>
      <c r="E76" s="148"/>
      <c r="F76" s="148"/>
      <c r="G76" s="148"/>
      <c r="H76" s="146"/>
      <c r="I76" s="148"/>
      <c r="J76" s="150"/>
      <c r="K76" s="146"/>
      <c r="L76" s="146"/>
      <c r="M76" s="146"/>
      <c r="N76" s="148"/>
      <c r="O76" s="151"/>
      <c r="P76" s="151"/>
      <c r="Q76" s="146"/>
      <c r="R76" s="146"/>
      <c r="S76" s="146">
        <f>'法国ERP数据'!Z75</f>
      </c>
      <c r="T76" s="146"/>
      <c r="U76" s="146"/>
      <c r="V76" s="148"/>
      <c r="W76" s="146"/>
      <c r="X76" s="150"/>
      <c r="Y76" s="146"/>
      <c r="Z76" s="146"/>
      <c r="AA76" s="146"/>
      <c r="AB76" s="146"/>
      <c r="AC76" s="146"/>
      <c r="AD76" s="152"/>
      <c r="AE76" s="147"/>
      <c r="AF76" s="146"/>
      <c r="AG76" s="146"/>
      <c r="AH76" s="153"/>
      <c r="AI76" s="146"/>
      <c r="AJ76" s="154"/>
      <c r="AK76" s="146"/>
      <c r="AL76" s="155"/>
      <c r="AM76" s="156"/>
      <c r="AN76" s="148"/>
      <c r="AO76" s="154"/>
      <c r="AP76" s="155"/>
      <c r="AQ76" s="148"/>
      <c r="AR76" s="151"/>
      <c r="AS76" s="151"/>
      <c r="AT76" s="154"/>
      <c r="AU76" s="158"/>
      <c r="AV76" s="158"/>
      <c r="AW76" s="159"/>
      <c r="AX76" s="154"/>
      <c r="AY76" s="151"/>
      <c r="AZ76" s="151"/>
      <c r="BA76" s="165"/>
      <c r="BB76" s="166"/>
      <c r="BC76" s="167"/>
      <c r="BD76" s="167"/>
      <c r="BE76" s="168"/>
      <c r="BF76" s="146"/>
      <c r="BG76" s="157"/>
      <c r="BH76" s="146"/>
      <c r="BI76" s="146"/>
      <c r="BJ76" s="146"/>
      <c r="BK76" s="161"/>
      <c r="BL76" s="163"/>
    </row>
    <row customHeight="true" ht="13.333333333333332" r="77">
      <c r="A77" s="145">
        <v>46066</v>
      </c>
      <c r="B77" s="146" t="s">
        <v>151</v>
      </c>
      <c r="C77" s="164"/>
      <c r="D77" s="146"/>
      <c r="E77" s="148"/>
      <c r="F77" s="148"/>
      <c r="G77" s="148"/>
      <c r="H77" s="146"/>
      <c r="I77" s="148"/>
      <c r="J77" s="150"/>
      <c r="K77" s="146"/>
      <c r="L77" s="146"/>
      <c r="M77" s="146"/>
      <c r="N77" s="148"/>
      <c r="O77" s="151"/>
      <c r="P77" s="151"/>
      <c r="Q77" s="146"/>
      <c r="R77" s="146"/>
      <c r="S77" s="146">
        <f>'法国ERP数据'!Z76</f>
      </c>
      <c r="T77" s="146"/>
      <c r="U77" s="146"/>
      <c r="V77" s="148"/>
      <c r="W77" s="146"/>
      <c r="X77" s="150"/>
      <c r="Y77" s="146"/>
      <c r="Z77" s="146"/>
      <c r="AA77" s="146"/>
      <c r="AB77" s="146"/>
      <c r="AC77" s="146"/>
      <c r="AD77" s="152"/>
      <c r="AE77" s="147"/>
      <c r="AF77" s="146"/>
      <c r="AG77" s="146"/>
      <c r="AH77" s="153"/>
      <c r="AI77" s="146"/>
      <c r="AJ77" s="154"/>
      <c r="AK77" s="146"/>
      <c r="AL77" s="155"/>
      <c r="AM77" s="156"/>
      <c r="AN77" s="148"/>
      <c r="AO77" s="154"/>
      <c r="AP77" s="155"/>
      <c r="AQ77" s="148"/>
      <c r="AR77" s="151"/>
      <c r="AS77" s="151"/>
      <c r="AT77" s="154"/>
      <c r="AU77" s="158"/>
      <c r="AV77" s="158"/>
      <c r="AW77" s="159"/>
      <c r="AX77" s="154"/>
      <c r="AY77" s="151"/>
      <c r="AZ77" s="151"/>
      <c r="BA77" s="165"/>
      <c r="BB77" s="166"/>
      <c r="BC77" s="167"/>
      <c r="BD77" s="167"/>
      <c r="BE77" s="168"/>
      <c r="BF77" s="146"/>
      <c r="BG77" s="157"/>
      <c r="BH77" s="146"/>
      <c r="BI77" s="146"/>
      <c r="BJ77" s="146"/>
      <c r="BK77" s="161"/>
      <c r="BL77" s="163"/>
    </row>
    <row customHeight="true" ht="13.333333333333332" r="78">
      <c r="A78" s="145">
        <v>46067</v>
      </c>
      <c r="B78" s="146" t="s">
        <v>152</v>
      </c>
      <c r="C78" s="164"/>
      <c r="D78" s="146"/>
      <c r="E78" s="148"/>
      <c r="F78" s="148"/>
      <c r="G78" s="148"/>
      <c r="H78" s="146"/>
      <c r="I78" s="148"/>
      <c r="J78" s="150"/>
      <c r="K78" s="146"/>
      <c r="L78" s="146"/>
      <c r="M78" s="146"/>
      <c r="N78" s="148"/>
      <c r="O78" s="151"/>
      <c r="P78" s="151"/>
      <c r="Q78" s="146"/>
      <c r="R78" s="146"/>
      <c r="S78" s="146">
        <f>'法国ERP数据'!Z77</f>
      </c>
      <c r="T78" s="146"/>
      <c r="U78" s="146"/>
      <c r="V78" s="148"/>
      <c r="W78" s="146"/>
      <c r="X78" s="150"/>
      <c r="Y78" s="146"/>
      <c r="Z78" s="146"/>
      <c r="AA78" s="146"/>
      <c r="AB78" s="146"/>
      <c r="AC78" s="146"/>
      <c r="AD78" s="152"/>
      <c r="AE78" s="147"/>
      <c r="AF78" s="146"/>
      <c r="AG78" s="146"/>
      <c r="AH78" s="153"/>
      <c r="AI78" s="146"/>
      <c r="AJ78" s="154"/>
      <c r="AK78" s="146"/>
      <c r="AL78" s="155"/>
      <c r="AM78" s="156"/>
      <c r="AN78" s="148"/>
      <c r="AO78" s="154"/>
      <c r="AP78" s="155"/>
      <c r="AQ78" s="148"/>
      <c r="AR78" s="151"/>
      <c r="AS78" s="151"/>
      <c r="AT78" s="154"/>
      <c r="AU78" s="158"/>
      <c r="AV78" s="158"/>
      <c r="AW78" s="159"/>
      <c r="AX78" s="154"/>
      <c r="AY78" s="151"/>
      <c r="AZ78" s="151"/>
      <c r="BA78" s="165"/>
      <c r="BB78" s="166"/>
      <c r="BC78" s="167"/>
      <c r="BD78" s="167"/>
      <c r="BE78" s="168"/>
      <c r="BF78" s="146"/>
      <c r="BG78" s="157"/>
      <c r="BH78" s="146"/>
      <c r="BI78" s="146"/>
      <c r="BJ78" s="146"/>
      <c r="BK78" s="161"/>
      <c r="BL78" s="163"/>
    </row>
    <row customHeight="true" ht="13.333333333333332" r="79">
      <c r="A79" s="145">
        <v>46068</v>
      </c>
      <c r="B79" s="146" t="s">
        <v>153</v>
      </c>
      <c r="C79" s="164"/>
      <c r="D79" s="146"/>
      <c r="E79" s="148"/>
      <c r="F79" s="148"/>
      <c r="G79" s="148"/>
      <c r="H79" s="146"/>
      <c r="I79" s="148"/>
      <c r="J79" s="150"/>
      <c r="K79" s="146"/>
      <c r="L79" s="146"/>
      <c r="M79" s="146"/>
      <c r="N79" s="148"/>
      <c r="O79" s="151"/>
      <c r="P79" s="151"/>
      <c r="Q79" s="146"/>
      <c r="R79" s="146"/>
      <c r="S79" s="146">
        <f>'法国ERP数据'!Z78</f>
      </c>
      <c r="T79" s="146"/>
      <c r="U79" s="146"/>
      <c r="V79" s="148"/>
      <c r="W79" s="146"/>
      <c r="X79" s="150"/>
      <c r="Y79" s="146"/>
      <c r="Z79" s="146"/>
      <c r="AA79" s="146"/>
      <c r="AB79" s="146"/>
      <c r="AC79" s="146"/>
      <c r="AD79" s="152"/>
      <c r="AE79" s="147"/>
      <c r="AF79" s="146"/>
      <c r="AG79" s="146"/>
      <c r="AH79" s="153"/>
      <c r="AI79" s="146"/>
      <c r="AJ79" s="154"/>
      <c r="AK79" s="146"/>
      <c r="AL79" s="155"/>
      <c r="AM79" s="156"/>
      <c r="AN79" s="148"/>
      <c r="AO79" s="154"/>
      <c r="AP79" s="155"/>
      <c r="AQ79" s="148"/>
      <c r="AR79" s="151"/>
      <c r="AS79" s="151"/>
      <c r="AT79" s="154"/>
      <c r="AU79" s="158"/>
      <c r="AV79" s="158"/>
      <c r="AW79" s="159"/>
      <c r="AX79" s="154"/>
      <c r="AY79" s="151"/>
      <c r="AZ79" s="151"/>
      <c r="BA79" s="165"/>
      <c r="BB79" s="166"/>
      <c r="BC79" s="167"/>
      <c r="BD79" s="167"/>
      <c r="BE79" s="168"/>
      <c r="BF79" s="146"/>
      <c r="BG79" s="157"/>
      <c r="BH79" s="146"/>
      <c r="BI79" s="146"/>
      <c r="BJ79" s="146"/>
      <c r="BK79" s="161"/>
      <c r="BL79" s="163"/>
    </row>
    <row customHeight="true" ht="13.333333333333332" r="80">
      <c r="A80" s="145">
        <v>46069</v>
      </c>
      <c r="B80" s="146" t="s">
        <v>146</v>
      </c>
      <c r="C80" s="164"/>
      <c r="D80" s="146"/>
      <c r="E80" s="148"/>
      <c r="F80" s="148"/>
      <c r="G80" s="148"/>
      <c r="H80" s="146"/>
      <c r="I80" s="148"/>
      <c r="J80" s="150"/>
      <c r="K80" s="146"/>
      <c r="L80" s="146"/>
      <c r="M80" s="146"/>
      <c r="N80" s="148"/>
      <c r="O80" s="151"/>
      <c r="P80" s="151"/>
      <c r="Q80" s="146"/>
      <c r="R80" s="146"/>
      <c r="S80" s="146">
        <f>'法国ERP数据'!Z79</f>
      </c>
      <c r="T80" s="146"/>
      <c r="U80" s="146"/>
      <c r="V80" s="148"/>
      <c r="W80" s="146"/>
      <c r="X80" s="150"/>
      <c r="Y80" s="146"/>
      <c r="Z80" s="146"/>
      <c r="AA80" s="146"/>
      <c r="AB80" s="146"/>
      <c r="AC80" s="146"/>
      <c r="AD80" s="152"/>
      <c r="AE80" s="147"/>
      <c r="AF80" s="146"/>
      <c r="AG80" s="146"/>
      <c r="AH80" s="153"/>
      <c r="AI80" s="146"/>
      <c r="AJ80" s="154"/>
      <c r="AK80" s="146"/>
      <c r="AL80" s="155"/>
      <c r="AM80" s="156"/>
      <c r="AN80" s="148"/>
      <c r="AO80" s="154"/>
      <c r="AP80" s="155"/>
      <c r="AQ80" s="148"/>
      <c r="AR80" s="151"/>
      <c r="AS80" s="151"/>
      <c r="AT80" s="154"/>
      <c r="AU80" s="158"/>
      <c r="AV80" s="158"/>
      <c r="AW80" s="159"/>
      <c r="AX80" s="154"/>
      <c r="AY80" s="151"/>
      <c r="AZ80" s="151"/>
      <c r="BA80" s="165"/>
      <c r="BB80" s="166"/>
      <c r="BC80" s="167"/>
      <c r="BD80" s="167"/>
      <c r="BE80" s="168"/>
      <c r="BF80" s="146"/>
      <c r="BG80" s="157"/>
      <c r="BH80" s="146"/>
      <c r="BI80" s="146"/>
      <c r="BJ80" s="146"/>
      <c r="BK80" s="161"/>
      <c r="BL80" s="163"/>
    </row>
    <row customHeight="true" ht="13.333333333333332" r="81">
      <c r="A81" s="145">
        <v>46070</v>
      </c>
      <c r="B81" s="146" t="s">
        <v>148</v>
      </c>
      <c r="C81" s="164"/>
      <c r="D81" s="146"/>
      <c r="E81" s="148"/>
      <c r="F81" s="148"/>
      <c r="G81" s="148"/>
      <c r="H81" s="146"/>
      <c r="I81" s="148"/>
      <c r="J81" s="150"/>
      <c r="K81" s="146"/>
      <c r="L81" s="146"/>
      <c r="M81" s="146"/>
      <c r="N81" s="148"/>
      <c r="O81" s="151"/>
      <c r="P81" s="151"/>
      <c r="Q81" s="146"/>
      <c r="R81" s="146"/>
      <c r="S81" s="146">
        <f>'法国ERP数据'!Z80</f>
      </c>
      <c r="T81" s="146"/>
      <c r="U81" s="146"/>
      <c r="V81" s="148"/>
      <c r="W81" s="146"/>
      <c r="X81" s="150"/>
      <c r="Y81" s="146"/>
      <c r="Z81" s="146"/>
      <c r="AA81" s="146"/>
      <c r="AB81" s="146"/>
      <c r="AC81" s="146"/>
      <c r="AD81" s="152"/>
      <c r="AE81" s="147"/>
      <c r="AF81" s="146"/>
      <c r="AG81" s="146"/>
      <c r="AH81" s="153"/>
      <c r="AI81" s="146"/>
      <c r="AJ81" s="154"/>
      <c r="AK81" s="146"/>
      <c r="AL81" s="155"/>
      <c r="AM81" s="156"/>
      <c r="AN81" s="148"/>
      <c r="AO81" s="154"/>
      <c r="AP81" s="155"/>
      <c r="AQ81" s="148"/>
      <c r="AR81" s="151"/>
      <c r="AS81" s="151"/>
      <c r="AT81" s="154"/>
      <c r="AU81" s="158"/>
      <c r="AV81" s="158"/>
      <c r="AW81" s="159"/>
      <c r="AX81" s="154"/>
      <c r="AY81" s="151"/>
      <c r="AZ81" s="151"/>
      <c r="BA81" s="165"/>
      <c r="BB81" s="166"/>
      <c r="BC81" s="167"/>
      <c r="BD81" s="167"/>
      <c r="BE81" s="168"/>
      <c r="BF81" s="146"/>
      <c r="BG81" s="157"/>
      <c r="BH81" s="146"/>
      <c r="BI81" s="146"/>
      <c r="BJ81" s="146"/>
      <c r="BK81" s="161"/>
      <c r="BL81" s="163"/>
    </row>
    <row customHeight="true" ht="13.333333333333332" r="82">
      <c r="A82" s="145">
        <v>46071</v>
      </c>
      <c r="B82" s="146" t="s">
        <v>149</v>
      </c>
      <c r="C82" s="164"/>
      <c r="D82" s="146"/>
      <c r="E82" s="148"/>
      <c r="F82" s="148"/>
      <c r="G82" s="148"/>
      <c r="H82" s="146"/>
      <c r="I82" s="148"/>
      <c r="J82" s="150"/>
      <c r="K82" s="146"/>
      <c r="L82" s="146"/>
      <c r="M82" s="146"/>
      <c r="N82" s="148"/>
      <c r="O82" s="151"/>
      <c r="P82" s="151"/>
      <c r="Q82" s="146"/>
      <c r="R82" s="146"/>
      <c r="S82" s="146">
        <f>'法国ERP数据'!Z81</f>
      </c>
      <c r="T82" s="146"/>
      <c r="U82" s="146"/>
      <c r="V82" s="148"/>
      <c r="W82" s="146"/>
      <c r="X82" s="150"/>
      <c r="Y82" s="146"/>
      <c r="Z82" s="146"/>
      <c r="AA82" s="146"/>
      <c r="AB82" s="146"/>
      <c r="AC82" s="146"/>
      <c r="AD82" s="152"/>
      <c r="AE82" s="147"/>
      <c r="AF82" s="146"/>
      <c r="AG82" s="146"/>
      <c r="AH82" s="153"/>
      <c r="AI82" s="146"/>
      <c r="AJ82" s="154"/>
      <c r="AK82" s="146"/>
      <c r="AL82" s="155"/>
      <c r="AM82" s="156"/>
      <c r="AN82" s="148"/>
      <c r="AO82" s="154"/>
      <c r="AP82" s="155"/>
      <c r="AQ82" s="148"/>
      <c r="AR82" s="151"/>
      <c r="AS82" s="151"/>
      <c r="AT82" s="154"/>
      <c r="AU82" s="158"/>
      <c r="AV82" s="158"/>
      <c r="AW82" s="159"/>
      <c r="AX82" s="154"/>
      <c r="AY82" s="151"/>
      <c r="AZ82" s="151"/>
      <c r="BA82" s="165"/>
      <c r="BB82" s="166"/>
      <c r="BC82" s="167"/>
      <c r="BD82" s="167"/>
      <c r="BE82" s="168"/>
      <c r="BF82" s="146"/>
      <c r="BG82" s="157"/>
      <c r="BH82" s="146"/>
      <c r="BI82" s="146"/>
      <c r="BJ82" s="146"/>
      <c r="BK82" s="161"/>
      <c r="BL82" s="163"/>
    </row>
    <row customHeight="true" ht="13.333333333333332" r="83">
      <c r="A83" s="145">
        <v>46072</v>
      </c>
      <c r="B83" s="146" t="s">
        <v>150</v>
      </c>
      <c r="C83" s="164"/>
      <c r="D83" s="146"/>
      <c r="E83" s="148"/>
      <c r="F83" s="148"/>
      <c r="G83" s="148"/>
      <c r="H83" s="146"/>
      <c r="I83" s="148"/>
      <c r="J83" s="150"/>
      <c r="K83" s="146"/>
      <c r="L83" s="146"/>
      <c r="M83" s="146"/>
      <c r="N83" s="148"/>
      <c r="O83" s="151"/>
      <c r="P83" s="151"/>
      <c r="Q83" s="146"/>
      <c r="R83" s="146"/>
      <c r="S83" s="146">
        <f>'法国ERP数据'!Z82</f>
      </c>
      <c r="T83" s="146"/>
      <c r="U83" s="146"/>
      <c r="V83" s="148"/>
      <c r="W83" s="146"/>
      <c r="X83" s="150"/>
      <c r="Y83" s="146"/>
      <c r="Z83" s="146"/>
      <c r="AA83" s="146"/>
      <c r="AB83" s="146"/>
      <c r="AC83" s="146"/>
      <c r="AD83" s="152"/>
      <c r="AE83" s="147"/>
      <c r="AF83" s="146"/>
      <c r="AG83" s="146"/>
      <c r="AH83" s="153"/>
      <c r="AI83" s="146"/>
      <c r="AJ83" s="154"/>
      <c r="AK83" s="146"/>
      <c r="AL83" s="155"/>
      <c r="AM83" s="156"/>
      <c r="AN83" s="148"/>
      <c r="AO83" s="154"/>
      <c r="AP83" s="155"/>
      <c r="AQ83" s="148"/>
      <c r="AR83" s="151"/>
      <c r="AS83" s="151"/>
      <c r="AT83" s="154"/>
      <c r="AU83" s="158"/>
      <c r="AV83" s="158"/>
      <c r="AW83" s="159"/>
      <c r="AX83" s="154"/>
      <c r="AY83" s="151"/>
      <c r="AZ83" s="151"/>
      <c r="BA83" s="165"/>
      <c r="BB83" s="166"/>
      <c r="BC83" s="167"/>
      <c r="BD83" s="167"/>
      <c r="BE83" s="168"/>
      <c r="BF83" s="146"/>
      <c r="BG83" s="157"/>
      <c r="BH83" s="146"/>
      <c r="BI83" s="146"/>
      <c r="BJ83" s="146"/>
      <c r="BL83" s="169"/>
    </row>
    <row customHeight="true" ht="13.333333333333332" r="84">
      <c r="A84" s="145">
        <v>46073</v>
      </c>
      <c r="B84" s="146" t="s">
        <v>151</v>
      </c>
      <c r="C84" s="164"/>
      <c r="D84" s="146"/>
      <c r="E84" s="148"/>
      <c r="F84" s="148"/>
      <c r="G84" s="148"/>
      <c r="H84" s="146"/>
      <c r="I84" s="148"/>
      <c r="J84" s="150"/>
      <c r="K84" s="146"/>
      <c r="L84" s="146"/>
      <c r="M84" s="146"/>
      <c r="N84" s="148"/>
      <c r="O84" s="151"/>
      <c r="P84" s="151"/>
      <c r="Q84" s="146"/>
      <c r="R84" s="146"/>
      <c r="S84" s="146">
        <f>'法国ERP数据'!Z83</f>
      </c>
      <c r="T84" s="146"/>
      <c r="U84" s="146"/>
      <c r="V84" s="148"/>
      <c r="W84" s="146"/>
      <c r="X84" s="150"/>
      <c r="Y84" s="146"/>
      <c r="Z84" s="146"/>
      <c r="AA84" s="146"/>
      <c r="AB84" s="146"/>
      <c r="AC84" s="146"/>
      <c r="AD84" s="152"/>
      <c r="AE84" s="147"/>
      <c r="AF84" s="146"/>
      <c r="AG84" s="146"/>
      <c r="AH84" s="153"/>
      <c r="AI84" s="146"/>
      <c r="AJ84" s="154"/>
      <c r="AK84" s="146"/>
      <c r="AL84" s="155"/>
      <c r="AM84" s="156"/>
      <c r="AN84" s="148"/>
      <c r="AO84" s="154"/>
      <c r="AP84" s="155"/>
      <c r="AQ84" s="148"/>
      <c r="AR84" s="151"/>
      <c r="AS84" s="151"/>
      <c r="AT84" s="154"/>
      <c r="AU84" s="158"/>
      <c r="AV84" s="158"/>
      <c r="AW84" s="159"/>
      <c r="AX84" s="154"/>
      <c r="AY84" s="151"/>
      <c r="AZ84" s="151"/>
      <c r="BA84" s="165"/>
      <c r="BB84" s="166"/>
      <c r="BC84" s="167"/>
      <c r="BD84" s="167"/>
      <c r="BE84" s="168"/>
      <c r="BF84" s="146"/>
      <c r="BG84" s="157"/>
      <c r="BH84" s="146"/>
      <c r="BI84" s="146"/>
      <c r="BJ84" s="146"/>
      <c r="BL84" s="169"/>
    </row>
    <row customHeight="true" ht="13.333333333333332" r="85">
      <c r="A85" s="145">
        <v>46074</v>
      </c>
      <c r="B85" s="146" t="s">
        <v>152</v>
      </c>
      <c r="C85" s="164"/>
      <c r="D85" s="146"/>
      <c r="E85" s="148"/>
      <c r="F85" s="148"/>
      <c r="G85" s="148"/>
      <c r="H85" s="146"/>
      <c r="I85" s="148"/>
      <c r="J85" s="150"/>
      <c r="K85" s="146"/>
      <c r="L85" s="146"/>
      <c r="M85" s="146"/>
      <c r="N85" s="148"/>
      <c r="O85" s="151"/>
      <c r="P85" s="151"/>
      <c r="Q85" s="146"/>
      <c r="R85" s="146"/>
      <c r="S85" s="146">
        <f>'法国ERP数据'!Z84</f>
      </c>
      <c r="T85" s="146"/>
      <c r="U85" s="146"/>
      <c r="V85" s="148"/>
      <c r="W85" s="146"/>
      <c r="X85" s="150"/>
      <c r="Y85" s="146"/>
      <c r="Z85" s="146"/>
      <c r="AA85" s="146"/>
      <c r="AB85" s="146"/>
      <c r="AC85" s="146"/>
      <c r="AD85" s="152"/>
      <c r="AE85" s="147"/>
      <c r="AF85" s="146"/>
      <c r="AG85" s="146"/>
      <c r="AH85" s="153"/>
      <c r="AI85" s="146"/>
      <c r="AJ85" s="154"/>
      <c r="AK85" s="146"/>
      <c r="AL85" s="155"/>
      <c r="AM85" s="156"/>
      <c r="AN85" s="148"/>
      <c r="AO85" s="154"/>
      <c r="AP85" s="155"/>
      <c r="AQ85" s="148"/>
      <c r="AR85" s="151"/>
      <c r="AS85" s="151"/>
      <c r="AT85" s="154"/>
      <c r="AU85" s="158"/>
      <c r="AV85" s="158"/>
      <c r="AW85" s="159"/>
      <c r="AX85" s="154"/>
      <c r="AY85" s="151"/>
      <c r="AZ85" s="151"/>
      <c r="BA85" s="165"/>
      <c r="BB85" s="166"/>
      <c r="BC85" s="167"/>
      <c r="BD85" s="167"/>
      <c r="BE85" s="168"/>
      <c r="BF85" s="146"/>
      <c r="BG85" s="157"/>
      <c r="BH85" s="146"/>
      <c r="BI85" s="146"/>
      <c r="BJ85" s="146"/>
      <c r="BL85" s="169"/>
    </row>
    <row customHeight="true" ht="13.333333333333332" r="86">
      <c r="A86" s="145">
        <v>46075</v>
      </c>
      <c r="B86" s="146" t="s">
        <v>153</v>
      </c>
      <c r="C86" s="164"/>
      <c r="D86" s="146"/>
      <c r="E86" s="148"/>
      <c r="F86" s="148"/>
      <c r="G86" s="148"/>
      <c r="H86" s="146"/>
      <c r="I86" s="148"/>
      <c r="J86" s="150"/>
      <c r="K86" s="146"/>
      <c r="L86" s="146"/>
      <c r="M86" s="146"/>
      <c r="N86" s="148"/>
      <c r="O86" s="151"/>
      <c r="P86" s="151"/>
      <c r="Q86" s="146"/>
      <c r="R86" s="146"/>
      <c r="S86" s="146">
        <f>'法国ERP数据'!Z85</f>
      </c>
      <c r="T86" s="146"/>
      <c r="U86" s="146"/>
      <c r="V86" s="148"/>
      <c r="W86" s="146"/>
      <c r="X86" s="150"/>
      <c r="Y86" s="146"/>
      <c r="Z86" s="146"/>
      <c r="AA86" s="146"/>
      <c r="AB86" s="146"/>
      <c r="AC86" s="146"/>
      <c r="AD86" s="152"/>
      <c r="AE86" s="147"/>
      <c r="AF86" s="146"/>
      <c r="AG86" s="146"/>
      <c r="AH86" s="153"/>
      <c r="AI86" s="146"/>
      <c r="AJ86" s="154"/>
      <c r="AK86" s="146"/>
      <c r="AL86" s="155"/>
      <c r="AM86" s="156"/>
      <c r="AN86" s="148"/>
      <c r="AO86" s="154"/>
      <c r="AP86" s="155"/>
      <c r="AQ86" s="148"/>
      <c r="AR86" s="151"/>
      <c r="AS86" s="151"/>
      <c r="AT86" s="154"/>
      <c r="AU86" s="158"/>
      <c r="AV86" s="158"/>
      <c r="AW86" s="159"/>
      <c r="AX86" s="154"/>
      <c r="AY86" s="151"/>
      <c r="AZ86" s="151"/>
      <c r="BA86" s="165"/>
      <c r="BB86" s="166"/>
      <c r="BC86" s="167"/>
      <c r="BD86" s="167"/>
      <c r="BE86" s="168"/>
      <c r="BF86" s="146"/>
      <c r="BG86" s="157"/>
      <c r="BH86" s="146"/>
      <c r="BI86" s="146"/>
      <c r="BJ86" s="146"/>
      <c r="BL86" s="169"/>
    </row>
    <row customHeight="true" ht="13.333333333333332" r="87">
      <c r="A87" s="145">
        <v>46076</v>
      </c>
      <c r="B87" s="146" t="s">
        <v>146</v>
      </c>
      <c r="C87" s="164"/>
      <c r="D87" s="146"/>
      <c r="E87" s="148"/>
      <c r="F87" s="148"/>
      <c r="G87" s="148"/>
      <c r="H87" s="146"/>
      <c r="I87" s="148"/>
      <c r="J87" s="150"/>
      <c r="K87" s="146"/>
      <c r="L87" s="146"/>
      <c r="M87" s="146"/>
      <c r="N87" s="148"/>
      <c r="O87" s="151"/>
      <c r="P87" s="151"/>
      <c r="Q87" s="146"/>
      <c r="R87" s="146"/>
      <c r="S87" s="146">
        <f>'法国ERP数据'!Z86</f>
      </c>
      <c r="T87" s="146"/>
      <c r="U87" s="146"/>
      <c r="V87" s="148"/>
      <c r="W87" s="146"/>
      <c r="X87" s="150"/>
      <c r="Y87" s="146"/>
      <c r="Z87" s="146"/>
      <c r="AA87" s="146"/>
      <c r="AB87" s="146"/>
      <c r="AC87" s="146"/>
      <c r="AD87" s="152"/>
      <c r="AE87" s="147"/>
      <c r="AF87" s="146"/>
      <c r="AG87" s="146"/>
      <c r="AH87" s="153"/>
      <c r="AI87" s="146"/>
      <c r="AJ87" s="154"/>
      <c r="AK87" s="146"/>
      <c r="AL87" s="155"/>
      <c r="AM87" s="156"/>
      <c r="AN87" s="148"/>
      <c r="AO87" s="154"/>
      <c r="AP87" s="155"/>
      <c r="AQ87" s="148"/>
      <c r="AR87" s="151"/>
      <c r="AS87" s="151"/>
      <c r="AT87" s="154"/>
      <c r="AU87" s="158"/>
      <c r="AV87" s="158"/>
      <c r="AW87" s="159"/>
      <c r="AX87" s="154"/>
      <c r="AY87" s="151"/>
      <c r="AZ87" s="151"/>
      <c r="BA87" s="165"/>
      <c r="BB87" s="166"/>
      <c r="BC87" s="167"/>
      <c r="BD87" s="167"/>
      <c r="BE87" s="168"/>
      <c r="BF87" s="146"/>
      <c r="BG87" s="157"/>
      <c r="BH87" s="146"/>
      <c r="BI87" s="146"/>
      <c r="BJ87" s="146"/>
      <c r="BL87" s="169"/>
    </row>
    <row customHeight="true" ht="13.333333333333332" r="88">
      <c r="A88" s="145">
        <v>46077</v>
      </c>
      <c r="B88" s="146" t="s">
        <v>148</v>
      </c>
      <c r="C88" s="164"/>
      <c r="D88" s="146"/>
      <c r="E88" s="148"/>
      <c r="F88" s="148"/>
      <c r="G88" s="148"/>
      <c r="H88" s="146"/>
      <c r="I88" s="148"/>
      <c r="J88" s="150"/>
      <c r="K88" s="146"/>
      <c r="L88" s="146"/>
      <c r="M88" s="146"/>
      <c r="N88" s="148"/>
      <c r="O88" s="151"/>
      <c r="P88" s="151"/>
      <c r="Q88" s="146"/>
      <c r="R88" s="146"/>
      <c r="S88" s="146">
        <f>'法国ERP数据'!Z87</f>
      </c>
      <c r="T88" s="146"/>
      <c r="U88" s="146"/>
      <c r="V88" s="148"/>
      <c r="W88" s="146"/>
      <c r="X88" s="150"/>
      <c r="Y88" s="146"/>
      <c r="Z88" s="146"/>
      <c r="AA88" s="146"/>
      <c r="AB88" s="146"/>
      <c r="AC88" s="146"/>
      <c r="AD88" s="152"/>
      <c r="AE88" s="147"/>
      <c r="AF88" s="146"/>
      <c r="AG88" s="146"/>
      <c r="AH88" s="153"/>
      <c r="AI88" s="146"/>
      <c r="AJ88" s="154"/>
      <c r="AK88" s="146"/>
      <c r="AL88" s="155"/>
      <c r="AM88" s="156"/>
      <c r="AN88" s="148"/>
      <c r="AO88" s="154"/>
      <c r="AP88" s="155"/>
      <c r="AQ88" s="148"/>
      <c r="AR88" s="151"/>
      <c r="AS88" s="151"/>
      <c r="AT88" s="154"/>
      <c r="AU88" s="158"/>
      <c r="AV88" s="158"/>
      <c r="AW88" s="159"/>
      <c r="AX88" s="154"/>
      <c r="AY88" s="151"/>
      <c r="AZ88" s="151"/>
      <c r="BA88" s="165"/>
      <c r="BB88" s="166"/>
      <c r="BC88" s="167"/>
      <c r="BD88" s="167"/>
      <c r="BE88" s="168"/>
      <c r="BF88" s="146"/>
      <c r="BG88" s="157"/>
      <c r="BH88" s="146"/>
      <c r="BI88" s="146"/>
      <c r="BJ88" s="146"/>
      <c r="BL88" s="169"/>
    </row>
    <row customHeight="true" ht="13.333333333333332" r="89">
      <c r="A89" s="145">
        <v>46078</v>
      </c>
      <c r="B89" s="146" t="s">
        <v>149</v>
      </c>
      <c r="C89" s="164"/>
      <c r="D89" s="146"/>
      <c r="E89" s="148"/>
      <c r="F89" s="148"/>
      <c r="G89" s="148"/>
      <c r="H89" s="146"/>
      <c r="I89" s="148"/>
      <c r="J89" s="150"/>
      <c r="K89" s="146"/>
      <c r="L89" s="146"/>
      <c r="M89" s="146"/>
      <c r="N89" s="148"/>
      <c r="O89" s="151"/>
      <c r="P89" s="151"/>
      <c r="Q89" s="146"/>
      <c r="R89" s="146"/>
      <c r="S89" s="146">
        <f>'法国ERP数据'!Z88</f>
      </c>
      <c r="T89" s="146"/>
      <c r="U89" s="146"/>
      <c r="V89" s="148"/>
      <c r="W89" s="146"/>
      <c r="X89" s="150"/>
      <c r="Y89" s="146"/>
      <c r="Z89" s="146"/>
      <c r="AA89" s="146"/>
      <c r="AB89" s="146"/>
      <c r="AC89" s="146"/>
      <c r="AD89" s="152"/>
      <c r="AE89" s="147"/>
      <c r="AF89" s="146"/>
      <c r="AG89" s="146"/>
      <c r="AH89" s="153"/>
      <c r="AI89" s="146"/>
      <c r="AJ89" s="154"/>
      <c r="AK89" s="146"/>
      <c r="AL89" s="155"/>
      <c r="AM89" s="156"/>
      <c r="AN89" s="148"/>
      <c r="AO89" s="154"/>
      <c r="AP89" s="155"/>
      <c r="AQ89" s="148"/>
      <c r="AR89" s="151"/>
      <c r="AS89" s="151"/>
      <c r="AT89" s="154"/>
      <c r="AU89" s="158"/>
      <c r="AV89" s="158"/>
      <c r="AW89" s="159"/>
      <c r="AX89" s="154"/>
      <c r="AY89" s="151"/>
      <c r="AZ89" s="151"/>
      <c r="BA89" s="165"/>
      <c r="BB89" s="166"/>
      <c r="BC89" s="167"/>
      <c r="BD89" s="167"/>
      <c r="BE89" s="168"/>
      <c r="BF89" s="146"/>
      <c r="BG89" s="157"/>
      <c r="BH89" s="146"/>
      <c r="BI89" s="146"/>
      <c r="BJ89" s="146"/>
      <c r="BL89" s="169"/>
    </row>
    <row customHeight="true" ht="13.333333333333332" r="90">
      <c r="A90" s="145">
        <v>46079</v>
      </c>
      <c r="B90" s="146" t="s">
        <v>150</v>
      </c>
      <c r="C90" s="164"/>
      <c r="D90" s="146"/>
      <c r="E90" s="148"/>
      <c r="F90" s="148"/>
      <c r="G90" s="148"/>
      <c r="H90" s="146"/>
      <c r="I90" s="148"/>
      <c r="J90" s="150"/>
      <c r="K90" s="146"/>
      <c r="L90" s="146"/>
      <c r="M90" s="146"/>
      <c r="N90" s="148"/>
      <c r="O90" s="151"/>
      <c r="P90" s="151"/>
      <c r="Q90" s="146"/>
      <c r="R90" s="146"/>
      <c r="S90" s="146">
        <f>'法国ERP数据'!Z89</f>
      </c>
      <c r="T90" s="146"/>
      <c r="U90" s="146"/>
      <c r="V90" s="148"/>
      <c r="W90" s="146"/>
      <c r="X90" s="150"/>
      <c r="Y90" s="146"/>
      <c r="Z90" s="146"/>
      <c r="AA90" s="146"/>
      <c r="AB90" s="146"/>
      <c r="AC90" s="146"/>
      <c r="AD90" s="152"/>
      <c r="AE90" s="147"/>
      <c r="AF90" s="146"/>
      <c r="AG90" s="146"/>
      <c r="AH90" s="153"/>
      <c r="AI90" s="146"/>
      <c r="AJ90" s="154"/>
      <c r="AK90" s="146"/>
      <c r="AL90" s="155"/>
      <c r="AM90" s="156"/>
      <c r="AN90" s="148"/>
      <c r="AO90" s="154"/>
      <c r="AP90" s="155"/>
      <c r="AQ90" s="148"/>
      <c r="AR90" s="151"/>
      <c r="AS90" s="151"/>
      <c r="AT90" s="154"/>
      <c r="AU90" s="158"/>
      <c r="AV90" s="158"/>
      <c r="AW90" s="159"/>
      <c r="AX90" s="154"/>
      <c r="AY90" s="151"/>
      <c r="AZ90" s="151"/>
      <c r="BA90" s="165"/>
      <c r="BB90" s="166"/>
      <c r="BC90" s="167"/>
      <c r="BD90" s="167"/>
      <c r="BE90" s="168"/>
      <c r="BF90" s="146"/>
      <c r="BG90" s="157"/>
      <c r="BH90" s="146"/>
      <c r="BI90" s="146"/>
      <c r="BJ90" s="146"/>
      <c r="BL90" s="169"/>
    </row>
    <row customHeight="true" ht="13.333333333333332" r="91">
      <c r="A91" s="145">
        <v>46080</v>
      </c>
      <c r="B91" s="146" t="s">
        <v>151</v>
      </c>
      <c r="C91" s="164"/>
      <c r="D91" s="146"/>
      <c r="E91" s="148"/>
      <c r="F91" s="148"/>
      <c r="G91" s="148"/>
      <c r="H91" s="146"/>
      <c r="I91" s="148"/>
      <c r="J91" s="150"/>
      <c r="K91" s="146"/>
      <c r="L91" s="146"/>
      <c r="M91" s="146"/>
      <c r="N91" s="148"/>
      <c r="O91" s="151"/>
      <c r="P91" s="151"/>
      <c r="Q91" s="146"/>
      <c r="R91" s="146"/>
      <c r="S91" s="146">
        <f>'法国ERP数据'!Z90</f>
      </c>
      <c r="T91" s="146"/>
      <c r="U91" s="146"/>
      <c r="V91" s="148"/>
      <c r="W91" s="146"/>
      <c r="X91" s="150"/>
      <c r="Y91" s="146"/>
      <c r="Z91" s="146"/>
      <c r="AA91" s="146"/>
      <c r="AB91" s="146"/>
      <c r="AC91" s="146"/>
      <c r="AD91" s="152"/>
      <c r="AE91" s="147"/>
      <c r="AF91" s="146"/>
      <c r="AG91" s="146"/>
      <c r="AH91" s="153"/>
      <c r="AI91" s="146"/>
      <c r="AJ91" s="154"/>
      <c r="AK91" s="146"/>
      <c r="AL91" s="155"/>
      <c r="AM91" s="156"/>
      <c r="AN91" s="148"/>
      <c r="AO91" s="154"/>
      <c r="AP91" s="155"/>
      <c r="AQ91" s="148"/>
      <c r="AR91" s="151"/>
      <c r="AS91" s="151"/>
      <c r="AT91" s="154"/>
      <c r="AU91" s="158"/>
      <c r="AV91" s="158"/>
      <c r="AW91" s="159"/>
      <c r="AX91" s="154"/>
      <c r="AY91" s="151"/>
      <c r="AZ91" s="151"/>
      <c r="BA91" s="165"/>
      <c r="BB91" s="166"/>
      <c r="BC91" s="167"/>
      <c r="BD91" s="167"/>
      <c r="BE91" s="168"/>
      <c r="BF91" s="146"/>
      <c r="BG91" s="157"/>
      <c r="BH91" s="146"/>
      <c r="BI91" s="146"/>
      <c r="BJ91" s="146"/>
      <c r="BL91" s="169"/>
    </row>
    <row customHeight="true" ht="13.333333333333332" r="92">
      <c r="A92" s="145">
        <v>46081</v>
      </c>
      <c r="B92" s="146" t="s">
        <v>152</v>
      </c>
      <c r="C92" s="164"/>
      <c r="D92" s="146"/>
      <c r="E92" s="148"/>
      <c r="F92" s="148"/>
      <c r="G92" s="148"/>
      <c r="H92" s="146"/>
      <c r="I92" s="148"/>
      <c r="J92" s="150"/>
      <c r="K92" s="146"/>
      <c r="L92" s="146"/>
      <c r="M92" s="146"/>
      <c r="N92" s="148"/>
      <c r="O92" s="151"/>
      <c r="P92" s="151"/>
      <c r="Q92" s="146"/>
      <c r="R92" s="146"/>
      <c r="S92" s="146">
        <f>'法国ERP数据'!Z91</f>
      </c>
      <c r="T92" s="146"/>
      <c r="U92" s="146"/>
      <c r="V92" s="148"/>
      <c r="W92" s="146"/>
      <c r="X92" s="150"/>
      <c r="Y92" s="146"/>
      <c r="Z92" s="146"/>
      <c r="AA92" s="146"/>
      <c r="AB92" s="146"/>
      <c r="AC92" s="146"/>
      <c r="AD92" s="152"/>
      <c r="AE92" s="147"/>
      <c r="AF92" s="146"/>
      <c r="AG92" s="146"/>
      <c r="AH92" s="153"/>
      <c r="AI92" s="146"/>
      <c r="AJ92" s="154"/>
      <c r="AK92" s="146"/>
      <c r="AL92" s="155"/>
      <c r="AM92" s="156"/>
      <c r="AN92" s="148"/>
      <c r="AO92" s="154"/>
      <c r="AP92" s="155"/>
      <c r="AQ92" s="148"/>
      <c r="AR92" s="151"/>
      <c r="AS92" s="151"/>
      <c r="AT92" s="154"/>
      <c r="AU92" s="158"/>
      <c r="AV92" s="158"/>
      <c r="AW92" s="159"/>
      <c r="AX92" s="154"/>
      <c r="AY92" s="151"/>
      <c r="AZ92" s="151"/>
      <c r="BA92" s="165"/>
      <c r="BB92" s="166"/>
      <c r="BC92" s="167"/>
      <c r="BD92" s="167"/>
      <c r="BE92" s="168"/>
      <c r="BF92" s="146"/>
      <c r="BG92" s="157"/>
      <c r="BH92" s="146"/>
      <c r="BI92" s="146"/>
      <c r="BJ92" s="146"/>
      <c r="BL92" s="169"/>
    </row>
    <row customHeight="true" ht="13.333333333333332" r="93">
      <c r="A93" s="145">
        <v>46082</v>
      </c>
      <c r="B93" s="146" t="s">
        <v>153</v>
      </c>
      <c r="C93" s="164"/>
      <c r="D93" s="146"/>
      <c r="E93" s="148"/>
      <c r="F93" s="148"/>
      <c r="G93" s="148"/>
      <c r="H93" s="146"/>
      <c r="I93" s="148"/>
      <c r="J93" s="150"/>
      <c r="K93" s="146"/>
      <c r="L93" s="146"/>
      <c r="M93" s="146"/>
      <c r="N93" s="148"/>
      <c r="O93" s="151"/>
      <c r="P93" s="151"/>
      <c r="Q93" s="146"/>
      <c r="R93" s="146"/>
      <c r="S93" s="146">
        <f>'法国ERP数据'!Z92</f>
      </c>
      <c r="T93" s="146"/>
      <c r="U93" s="146"/>
      <c r="V93" s="148"/>
      <c r="W93" s="146"/>
      <c r="X93" s="150"/>
      <c r="Y93" s="146"/>
      <c r="Z93" s="146"/>
      <c r="AA93" s="146"/>
      <c r="AB93" s="146"/>
      <c r="AC93" s="146"/>
      <c r="AD93" s="152"/>
      <c r="AE93" s="147"/>
      <c r="AF93" s="146"/>
      <c r="AG93" s="146"/>
      <c r="AH93" s="153"/>
      <c r="AI93" s="146"/>
      <c r="AJ93" s="154"/>
      <c r="AK93" s="146"/>
      <c r="AL93" s="155"/>
      <c r="AM93" s="156"/>
      <c r="AN93" s="148"/>
      <c r="AO93" s="154"/>
      <c r="AP93" s="155"/>
      <c r="AQ93" s="148"/>
      <c r="AR93" s="151"/>
      <c r="AS93" s="151"/>
      <c r="AT93" s="154"/>
      <c r="AU93" s="158"/>
      <c r="AV93" s="158"/>
      <c r="AW93" s="159"/>
      <c r="AX93" s="154"/>
      <c r="AY93" s="151"/>
      <c r="AZ93" s="151"/>
      <c r="BA93" s="165"/>
      <c r="BB93" s="166"/>
      <c r="BC93" s="167"/>
      <c r="BD93" s="167"/>
      <c r="BE93" s="168"/>
      <c r="BF93" s="146"/>
      <c r="BG93" s="157"/>
      <c r="BH93" s="146"/>
      <c r="BI93" s="146"/>
      <c r="BJ93" s="146"/>
      <c r="BL93" s="169"/>
    </row>
    <row customHeight="true" ht="13.333333333333332" r="94">
      <c r="A94" s="145">
        <v>46083</v>
      </c>
      <c r="B94" s="146" t="s">
        <v>146</v>
      </c>
      <c r="C94" s="164"/>
      <c r="D94" s="146"/>
      <c r="E94" s="148"/>
      <c r="F94" s="148"/>
      <c r="G94" s="148"/>
      <c r="H94" s="146"/>
      <c r="I94" s="148"/>
      <c r="J94" s="150"/>
      <c r="K94" s="146"/>
      <c r="L94" s="146"/>
      <c r="M94" s="146"/>
      <c r="N94" s="148"/>
      <c r="O94" s="151"/>
      <c r="P94" s="151"/>
      <c r="Q94" s="146"/>
      <c r="R94" s="146"/>
      <c r="S94" s="146">
        <f>'法国ERP数据'!Z93</f>
      </c>
      <c r="T94" s="146"/>
      <c r="U94" s="146"/>
      <c r="V94" s="148"/>
      <c r="W94" s="146"/>
      <c r="X94" s="150"/>
      <c r="Y94" s="146"/>
      <c r="Z94" s="146"/>
      <c r="AA94" s="146"/>
      <c r="AB94" s="146"/>
      <c r="AC94" s="146"/>
      <c r="AD94" s="152"/>
      <c r="AE94" s="147"/>
      <c r="AF94" s="146"/>
      <c r="AG94" s="146"/>
      <c r="AH94" s="153"/>
      <c r="AI94" s="146"/>
      <c r="AJ94" s="154"/>
      <c r="AK94" s="146"/>
      <c r="AL94" s="155"/>
      <c r="AM94" s="156"/>
      <c r="AN94" s="148"/>
      <c r="AO94" s="154"/>
      <c r="AP94" s="155"/>
      <c r="AQ94" s="148"/>
      <c r="AR94" s="151"/>
      <c r="AS94" s="151"/>
      <c r="AT94" s="154"/>
      <c r="AU94" s="158"/>
      <c r="AV94" s="158"/>
      <c r="AW94" s="159"/>
      <c r="AX94" s="154"/>
      <c r="AY94" s="151"/>
      <c r="AZ94" s="151"/>
      <c r="BA94" s="165"/>
      <c r="BB94" s="166"/>
      <c r="BC94" s="167"/>
      <c r="BD94" s="167"/>
      <c r="BE94" s="168"/>
      <c r="BF94" s="146"/>
      <c r="BG94" s="157"/>
      <c r="BH94" s="146"/>
      <c r="BI94" s="146"/>
      <c r="BJ94" s="146"/>
      <c r="BL94" s="169"/>
    </row>
    <row customHeight="true" ht="13.333333333333332" r="95">
      <c r="A95" s="145">
        <v>46084</v>
      </c>
      <c r="B95" s="146" t="s">
        <v>148</v>
      </c>
      <c r="C95" s="164"/>
      <c r="D95" s="146"/>
      <c r="E95" s="148"/>
      <c r="F95" s="148"/>
      <c r="G95" s="148"/>
      <c r="H95" s="146"/>
      <c r="I95" s="148"/>
      <c r="J95" s="150"/>
      <c r="K95" s="146"/>
      <c r="L95" s="146"/>
      <c r="M95" s="146"/>
      <c r="N95" s="148"/>
      <c r="O95" s="151"/>
      <c r="P95" s="151"/>
      <c r="Q95" s="146"/>
      <c r="R95" s="146"/>
      <c r="S95" s="146">
        <f>'法国ERP数据'!Z94</f>
      </c>
      <c r="T95" s="146"/>
      <c r="U95" s="146"/>
      <c r="V95" s="148"/>
      <c r="W95" s="146"/>
      <c r="X95" s="150"/>
      <c r="Y95" s="146"/>
      <c r="Z95" s="146"/>
      <c r="AA95" s="146"/>
      <c r="AB95" s="146"/>
      <c r="AC95" s="146"/>
      <c r="AD95" s="152"/>
      <c r="AE95" s="147"/>
      <c r="AF95" s="146"/>
      <c r="AG95" s="146"/>
      <c r="AH95" s="153"/>
      <c r="AI95" s="146"/>
      <c r="AJ95" s="154"/>
      <c r="AK95" s="146"/>
      <c r="AL95" s="155"/>
      <c r="AM95" s="156"/>
      <c r="AN95" s="148"/>
      <c r="AO95" s="154"/>
      <c r="AP95" s="155"/>
      <c r="AQ95" s="148"/>
      <c r="AR95" s="151"/>
      <c r="AS95" s="151"/>
      <c r="AT95" s="154"/>
      <c r="AU95" s="158"/>
      <c r="AV95" s="158"/>
      <c r="AW95" s="159"/>
      <c r="AX95" s="154"/>
      <c r="AY95" s="151"/>
      <c r="AZ95" s="151"/>
      <c r="BA95" s="165"/>
      <c r="BB95" s="166"/>
      <c r="BC95" s="167"/>
      <c r="BD95" s="167"/>
      <c r="BE95" s="168"/>
      <c r="BF95" s="146"/>
      <c r="BG95" s="157"/>
      <c r="BH95" s="146"/>
      <c r="BI95" s="146"/>
      <c r="BJ95" s="146"/>
      <c r="BL95" s="169"/>
    </row>
    <row customHeight="true" ht="13.333333333333332" r="96">
      <c r="A96" s="145">
        <v>46085</v>
      </c>
      <c r="B96" s="146" t="s">
        <v>149</v>
      </c>
      <c r="C96" s="164"/>
      <c r="D96" s="146"/>
      <c r="E96" s="148"/>
      <c r="F96" s="148"/>
      <c r="G96" s="148"/>
      <c r="H96" s="146"/>
      <c r="I96" s="148"/>
      <c r="J96" s="150"/>
      <c r="K96" s="146"/>
      <c r="L96" s="146"/>
      <c r="M96" s="146"/>
      <c r="N96" s="148"/>
      <c r="O96" s="151"/>
      <c r="P96" s="151"/>
      <c r="Q96" s="146"/>
      <c r="R96" s="146"/>
      <c r="S96" s="146">
        <f>'法国ERP数据'!Z95</f>
      </c>
      <c r="T96" s="146"/>
      <c r="U96" s="146"/>
      <c r="V96" s="148"/>
      <c r="W96" s="146"/>
      <c r="X96" s="150"/>
      <c r="Y96" s="146"/>
      <c r="Z96" s="146"/>
      <c r="AA96" s="146"/>
      <c r="AB96" s="146"/>
      <c r="AC96" s="146"/>
      <c r="AD96" s="152"/>
      <c r="AE96" s="147"/>
      <c r="AF96" s="146"/>
      <c r="AG96" s="146"/>
      <c r="AH96" s="153"/>
      <c r="AI96" s="146"/>
      <c r="AJ96" s="154"/>
      <c r="AK96" s="146"/>
      <c r="AL96" s="155"/>
      <c r="AM96" s="156"/>
      <c r="AN96" s="148"/>
      <c r="AO96" s="154"/>
      <c r="AP96" s="155"/>
      <c r="AQ96" s="148"/>
      <c r="AR96" s="151"/>
      <c r="AS96" s="151"/>
      <c r="AT96" s="154"/>
      <c r="AU96" s="158"/>
      <c r="AV96" s="158"/>
      <c r="AW96" s="159"/>
      <c r="AX96" s="154"/>
      <c r="AY96" s="151"/>
      <c r="AZ96" s="151"/>
      <c r="BA96" s="165"/>
      <c r="BB96" s="166"/>
      <c r="BC96" s="167"/>
      <c r="BD96" s="167"/>
      <c r="BE96" s="168"/>
      <c r="BF96" s="146"/>
      <c r="BG96" s="157"/>
      <c r="BH96" s="146"/>
      <c r="BI96" s="146"/>
      <c r="BJ96" s="146"/>
      <c r="BL96" s="169"/>
    </row>
    <row customHeight="true" ht="13.333333333333332" r="97">
      <c r="A97" s="145">
        <v>46086</v>
      </c>
      <c r="B97" s="146" t="s">
        <v>150</v>
      </c>
      <c r="C97" s="164"/>
      <c r="D97" s="146"/>
      <c r="E97" s="148"/>
      <c r="F97" s="148"/>
      <c r="G97" s="148"/>
      <c r="H97" s="146"/>
      <c r="I97" s="148"/>
      <c r="J97" s="150"/>
      <c r="K97" s="146"/>
      <c r="L97" s="146"/>
      <c r="M97" s="146"/>
      <c r="N97" s="148"/>
      <c r="O97" s="151"/>
      <c r="P97" s="151"/>
      <c r="Q97" s="146"/>
      <c r="R97" s="146"/>
      <c r="S97" s="146">
        <f>'法国ERP数据'!Z96</f>
      </c>
      <c r="T97" s="146"/>
      <c r="U97" s="146"/>
      <c r="V97" s="148"/>
      <c r="W97" s="146"/>
      <c r="X97" s="150"/>
      <c r="Y97" s="146"/>
      <c r="Z97" s="146"/>
      <c r="AA97" s="146"/>
      <c r="AB97" s="146"/>
      <c r="AC97" s="146"/>
      <c r="AD97" s="152"/>
      <c r="AE97" s="147"/>
      <c r="AF97" s="146"/>
      <c r="AG97" s="146"/>
      <c r="AH97" s="153"/>
      <c r="AI97" s="146"/>
      <c r="AJ97" s="154"/>
      <c r="AK97" s="146"/>
      <c r="AL97" s="155"/>
      <c r="AM97" s="156"/>
      <c r="AN97" s="148"/>
      <c r="AO97" s="154"/>
      <c r="AP97" s="155"/>
      <c r="AQ97" s="148"/>
      <c r="AR97" s="151"/>
      <c r="AS97" s="151"/>
      <c r="AT97" s="154"/>
      <c r="AU97" s="158"/>
      <c r="AV97" s="158"/>
      <c r="AW97" s="159"/>
      <c r="AX97" s="154"/>
      <c r="AY97" s="151"/>
      <c r="AZ97" s="151"/>
      <c r="BA97" s="165"/>
      <c r="BB97" s="166"/>
      <c r="BC97" s="167"/>
      <c r="BD97" s="167"/>
      <c r="BE97" s="168"/>
      <c r="BF97" s="146"/>
      <c r="BG97" s="157"/>
      <c r="BH97" s="146"/>
      <c r="BI97" s="146"/>
      <c r="BJ97" s="146"/>
      <c r="BL97" s="169"/>
    </row>
    <row customHeight="true" ht="13.333333333333332" r="98">
      <c r="A98" s="145">
        <v>46087</v>
      </c>
      <c r="B98" s="146" t="s">
        <v>151</v>
      </c>
      <c r="C98" s="164"/>
      <c r="D98" s="146"/>
      <c r="E98" s="148"/>
      <c r="F98" s="148"/>
      <c r="G98" s="148"/>
      <c r="H98" s="146"/>
      <c r="I98" s="148"/>
      <c r="J98" s="150"/>
      <c r="K98" s="146"/>
      <c r="L98" s="146"/>
      <c r="M98" s="146"/>
      <c r="N98" s="148"/>
      <c r="O98" s="151"/>
      <c r="P98" s="151"/>
      <c r="Q98" s="146"/>
      <c r="R98" s="146"/>
      <c r="S98" s="146">
        <f>'法国ERP数据'!Z97</f>
      </c>
      <c r="T98" s="146"/>
      <c r="U98" s="146"/>
      <c r="V98" s="148"/>
      <c r="W98" s="146"/>
      <c r="X98" s="150"/>
      <c r="Y98" s="146"/>
      <c r="Z98" s="146"/>
      <c r="AA98" s="146"/>
      <c r="AB98" s="146"/>
      <c r="AC98" s="146"/>
      <c r="AD98" s="152"/>
      <c r="AE98" s="147"/>
      <c r="AF98" s="146"/>
      <c r="AG98" s="146"/>
      <c r="AH98" s="153"/>
      <c r="AI98" s="146"/>
      <c r="AJ98" s="154"/>
      <c r="AK98" s="146"/>
      <c r="AL98" s="155"/>
      <c r="AM98" s="156"/>
      <c r="AN98" s="148"/>
      <c r="AO98" s="154"/>
      <c r="AP98" s="155"/>
      <c r="AQ98" s="148"/>
      <c r="AR98" s="151"/>
      <c r="AS98" s="151"/>
      <c r="AT98" s="154"/>
      <c r="AU98" s="158"/>
      <c r="AV98" s="158"/>
      <c r="AW98" s="159"/>
      <c r="AX98" s="154"/>
      <c r="AY98" s="151"/>
      <c r="AZ98" s="151"/>
      <c r="BA98" s="165"/>
      <c r="BB98" s="166"/>
      <c r="BC98" s="167"/>
      <c r="BD98" s="167"/>
      <c r="BE98" s="168"/>
      <c r="BF98" s="146"/>
      <c r="BG98" s="157"/>
      <c r="BH98" s="146"/>
      <c r="BI98" s="146"/>
      <c r="BJ98" s="146"/>
      <c r="BL98" s="169"/>
    </row>
    <row customHeight="true" ht="13.333333333333332" r="99">
      <c r="A99" s="145">
        <v>46088</v>
      </c>
      <c r="B99" s="146" t="s">
        <v>152</v>
      </c>
      <c r="C99" s="164"/>
      <c r="D99" s="146"/>
      <c r="E99" s="148"/>
      <c r="F99" s="148"/>
      <c r="G99" s="148"/>
      <c r="H99" s="146"/>
      <c r="I99" s="148"/>
      <c r="J99" s="150"/>
      <c r="K99" s="146"/>
      <c r="L99" s="146"/>
      <c r="M99" s="146"/>
      <c r="N99" s="148"/>
      <c r="O99" s="151"/>
      <c r="P99" s="151"/>
      <c r="Q99" s="146"/>
      <c r="R99" s="146"/>
      <c r="S99" s="146">
        <f>'法国ERP数据'!Z98</f>
      </c>
      <c r="T99" s="146"/>
      <c r="U99" s="146"/>
      <c r="V99" s="148"/>
      <c r="W99" s="146"/>
      <c r="X99" s="150"/>
      <c r="Y99" s="146"/>
      <c r="Z99" s="146"/>
      <c r="AA99" s="146"/>
      <c r="AB99" s="146"/>
      <c r="AC99" s="146"/>
      <c r="AD99" s="152"/>
      <c r="AE99" s="147"/>
      <c r="AF99" s="146"/>
      <c r="AG99" s="146"/>
      <c r="AH99" s="153"/>
      <c r="AI99" s="146"/>
      <c r="AJ99" s="154"/>
      <c r="AK99" s="146"/>
      <c r="AL99" s="155"/>
      <c r="AM99" s="156"/>
      <c r="AN99" s="148"/>
      <c r="AO99" s="154"/>
      <c r="AP99" s="155"/>
      <c r="AQ99" s="148"/>
      <c r="AR99" s="151"/>
      <c r="AS99" s="151"/>
      <c r="AT99" s="154"/>
      <c r="AU99" s="158"/>
      <c r="AV99" s="158"/>
      <c r="AW99" s="159"/>
      <c r="AX99" s="154"/>
      <c r="AY99" s="151"/>
      <c r="AZ99" s="151"/>
      <c r="BA99" s="165"/>
      <c r="BB99" s="166"/>
      <c r="BC99" s="167"/>
      <c r="BD99" s="167"/>
      <c r="BE99" s="168"/>
      <c r="BF99" s="146"/>
      <c r="BG99" s="157"/>
      <c r="BH99" s="146"/>
      <c r="BI99" s="146"/>
      <c r="BJ99" s="146"/>
      <c r="BL99" s="169"/>
    </row>
    <row customHeight="true" ht="13.333333333333332" r="100">
      <c r="A100" s="145">
        <v>46089</v>
      </c>
      <c r="B100" s="146" t="s">
        <v>153</v>
      </c>
      <c r="C100" s="164"/>
      <c r="D100" s="146"/>
      <c r="E100" s="148"/>
      <c r="F100" s="148"/>
      <c r="G100" s="148"/>
      <c r="H100" s="146"/>
      <c r="I100" s="148"/>
      <c r="J100" s="150"/>
      <c r="K100" s="146"/>
      <c r="L100" s="146"/>
      <c r="M100" s="146"/>
      <c r="N100" s="148"/>
      <c r="O100" s="151"/>
      <c r="P100" s="151"/>
      <c r="Q100" s="146"/>
      <c r="R100" s="146"/>
      <c r="S100" s="146">
        <f>'法国ERP数据'!Z99</f>
      </c>
      <c r="T100" s="146"/>
      <c r="U100" s="146"/>
      <c r="V100" s="148"/>
      <c r="W100" s="146"/>
      <c r="X100" s="150"/>
      <c r="Y100" s="146"/>
      <c r="Z100" s="146"/>
      <c r="AA100" s="146"/>
      <c r="AB100" s="146"/>
      <c r="AC100" s="146"/>
      <c r="AD100" s="152"/>
      <c r="AE100" s="147"/>
      <c r="AF100" s="146"/>
      <c r="AG100" s="146"/>
      <c r="AH100" s="153"/>
      <c r="AI100" s="146"/>
      <c r="AJ100" s="154"/>
      <c r="AK100" s="146"/>
      <c r="AL100" s="155"/>
      <c r="AM100" s="156"/>
      <c r="AN100" s="148"/>
      <c r="AO100" s="154"/>
      <c r="AP100" s="155"/>
      <c r="AQ100" s="148"/>
      <c r="AR100" s="151"/>
      <c r="AS100" s="151"/>
      <c r="AT100" s="154"/>
      <c r="AU100" s="158"/>
      <c r="AV100" s="158"/>
      <c r="AW100" s="159"/>
      <c r="AX100" s="154"/>
      <c r="AY100" s="151"/>
      <c r="AZ100" s="151"/>
      <c r="BA100" s="165"/>
      <c r="BB100" s="166"/>
      <c r="BC100" s="167"/>
      <c r="BD100" s="167"/>
      <c r="BE100" s="168"/>
      <c r="BF100" s="146"/>
      <c r="BG100" s="157"/>
      <c r="BH100" s="146"/>
      <c r="BI100" s="146"/>
      <c r="BJ100" s="146"/>
      <c r="BL100" s="169"/>
    </row>
    <row customHeight="true" ht="13.333333333333332" r="101">
      <c r="A101" s="145">
        <v>46090</v>
      </c>
      <c r="B101" s="146" t="s">
        <v>146</v>
      </c>
      <c r="C101" s="164"/>
      <c r="D101" s="146"/>
      <c r="E101" s="148"/>
      <c r="F101" s="148"/>
      <c r="G101" s="148"/>
      <c r="H101" s="146"/>
      <c r="I101" s="148"/>
      <c r="J101" s="150"/>
      <c r="K101" s="146"/>
      <c r="L101" s="146"/>
      <c r="M101" s="146"/>
      <c r="N101" s="148"/>
      <c r="O101" s="151"/>
      <c r="P101" s="151"/>
      <c r="Q101" s="146"/>
      <c r="R101" s="146"/>
      <c r="S101" s="146">
        <f>'法国ERP数据'!Z100</f>
      </c>
      <c r="T101" s="146"/>
      <c r="U101" s="146"/>
      <c r="V101" s="148"/>
      <c r="W101" s="146"/>
      <c r="X101" s="150"/>
      <c r="Y101" s="146"/>
      <c r="Z101" s="146"/>
      <c r="AA101" s="146"/>
      <c r="AB101" s="146"/>
      <c r="AC101" s="146"/>
      <c r="AD101" s="152"/>
      <c r="AE101" s="147"/>
      <c r="AF101" s="146"/>
      <c r="AG101" s="146"/>
      <c r="AH101" s="153"/>
      <c r="AI101" s="146"/>
      <c r="AJ101" s="154"/>
      <c r="AK101" s="146"/>
      <c r="AL101" s="155"/>
      <c r="AM101" s="156"/>
      <c r="AN101" s="148"/>
      <c r="AO101" s="154"/>
      <c r="AP101" s="155"/>
      <c r="AQ101" s="148"/>
      <c r="AR101" s="151"/>
      <c r="AS101" s="151"/>
      <c r="AT101" s="154"/>
      <c r="AU101" s="158"/>
      <c r="AV101" s="158"/>
      <c r="AW101" s="159"/>
      <c r="AX101" s="154"/>
      <c r="AY101" s="151"/>
      <c r="AZ101" s="151"/>
      <c r="BA101" s="165"/>
      <c r="BB101" s="166"/>
      <c r="BC101" s="167"/>
      <c r="BD101" s="167"/>
      <c r="BE101" s="168"/>
      <c r="BF101" s="146"/>
      <c r="BG101" s="157"/>
      <c r="BH101" s="146"/>
      <c r="BI101" s="146"/>
      <c r="BJ101" s="146"/>
      <c r="BL101" s="169"/>
    </row>
    <row customHeight="true" ht="13.333333333333332" r="102">
      <c r="A102" s="145">
        <v>46091</v>
      </c>
      <c r="B102" s="146" t="s">
        <v>148</v>
      </c>
      <c r="C102" s="164"/>
      <c r="D102" s="146"/>
      <c r="E102" s="148"/>
      <c r="F102" s="148"/>
      <c r="G102" s="148"/>
      <c r="H102" s="146"/>
      <c r="I102" s="148"/>
      <c r="J102" s="150"/>
      <c r="K102" s="146"/>
      <c r="L102" s="146"/>
      <c r="M102" s="146"/>
      <c r="N102" s="148"/>
      <c r="O102" s="151"/>
      <c r="P102" s="151"/>
      <c r="Q102" s="146"/>
      <c r="R102" s="146"/>
      <c r="S102" s="146">
        <f>'法国ERP数据'!Z101</f>
      </c>
      <c r="T102" s="146"/>
      <c r="U102" s="146"/>
      <c r="V102" s="148"/>
      <c r="W102" s="146"/>
      <c r="X102" s="150"/>
      <c r="Y102" s="146"/>
      <c r="Z102" s="146"/>
      <c r="AA102" s="146"/>
      <c r="AB102" s="146"/>
      <c r="AC102" s="146"/>
      <c r="AD102" s="152"/>
      <c r="AE102" s="147"/>
      <c r="AF102" s="146"/>
      <c r="AG102" s="146"/>
      <c r="AH102" s="153"/>
      <c r="AI102" s="146"/>
      <c r="AJ102" s="154"/>
      <c r="AK102" s="146"/>
      <c r="AL102" s="155"/>
      <c r="AM102" s="156"/>
      <c r="AN102" s="148"/>
      <c r="AO102" s="154"/>
      <c r="AP102" s="155"/>
      <c r="AQ102" s="148"/>
      <c r="AR102" s="151"/>
      <c r="AS102" s="151"/>
      <c r="AT102" s="154"/>
      <c r="AU102" s="158"/>
      <c r="AV102" s="158"/>
      <c r="AW102" s="159"/>
      <c r="AX102" s="154"/>
      <c r="AY102" s="151"/>
      <c r="AZ102" s="151"/>
      <c r="BA102" s="165"/>
      <c r="BB102" s="166"/>
      <c r="BC102" s="167"/>
      <c r="BD102" s="167"/>
      <c r="BE102" s="168"/>
      <c r="BF102" s="146"/>
      <c r="BG102" s="157"/>
      <c r="BH102" s="146"/>
      <c r="BI102" s="146"/>
      <c r="BJ102" s="146"/>
      <c r="BL102" s="169"/>
    </row>
    <row customHeight="true" ht="13.333333333333332" r="103">
      <c r="A103" s="145">
        <v>46092</v>
      </c>
      <c r="B103" s="146" t="s">
        <v>149</v>
      </c>
      <c r="C103" s="164"/>
      <c r="D103" s="146"/>
      <c r="E103" s="148"/>
      <c r="F103" s="148"/>
      <c r="G103" s="148"/>
      <c r="H103" s="146"/>
      <c r="I103" s="148"/>
      <c r="J103" s="150"/>
      <c r="K103" s="146"/>
      <c r="L103" s="146"/>
      <c r="M103" s="146"/>
      <c r="N103" s="148"/>
      <c r="O103" s="151"/>
      <c r="P103" s="151"/>
      <c r="Q103" s="146"/>
      <c r="R103" s="146"/>
      <c r="S103" s="146">
        <f>'法国ERP数据'!Z102</f>
      </c>
      <c r="T103" s="146"/>
      <c r="U103" s="146"/>
      <c r="V103" s="148"/>
      <c r="W103" s="146"/>
      <c r="X103" s="150"/>
      <c r="Y103" s="146"/>
      <c r="Z103" s="146"/>
      <c r="AA103" s="146"/>
      <c r="AB103" s="146"/>
      <c r="AC103" s="146"/>
      <c r="AD103" s="152"/>
      <c r="AE103" s="147"/>
      <c r="AF103" s="146"/>
      <c r="AG103" s="146"/>
      <c r="AH103" s="153"/>
      <c r="AI103" s="146"/>
      <c r="AJ103" s="154"/>
      <c r="AK103" s="146"/>
      <c r="AL103" s="155"/>
      <c r="AM103" s="156"/>
      <c r="AN103" s="148"/>
      <c r="AO103" s="154"/>
      <c r="AP103" s="155"/>
      <c r="AQ103" s="148"/>
      <c r="AR103" s="151"/>
      <c r="AS103" s="151"/>
      <c r="AT103" s="154"/>
      <c r="AU103" s="158"/>
      <c r="AV103" s="158"/>
      <c r="AW103" s="159"/>
      <c r="AX103" s="154"/>
      <c r="AY103" s="151"/>
      <c r="AZ103" s="151"/>
      <c r="BA103" s="165"/>
      <c r="BB103" s="166"/>
      <c r="BC103" s="167"/>
      <c r="BD103" s="167"/>
      <c r="BE103" s="168"/>
      <c r="BF103" s="146"/>
      <c r="BG103" s="157"/>
      <c r="BH103" s="146"/>
      <c r="BI103" s="146"/>
      <c r="BJ103" s="146"/>
      <c r="BL103" s="170"/>
    </row>
    <row customHeight="true" ht="13.333333333333332" r="104">
      <c r="A104" s="145">
        <v>46093</v>
      </c>
      <c r="B104" s="146" t="s">
        <v>150</v>
      </c>
      <c r="C104" s="164"/>
      <c r="D104" s="146"/>
      <c r="E104" s="148"/>
      <c r="F104" s="148"/>
      <c r="G104" s="148"/>
      <c r="H104" s="146"/>
      <c r="I104" s="148"/>
      <c r="J104" s="150"/>
      <c r="K104" s="146"/>
      <c r="L104" s="146"/>
      <c r="M104" s="146"/>
      <c r="N104" s="148"/>
      <c r="O104" s="151"/>
      <c r="P104" s="151"/>
      <c r="Q104" s="146"/>
      <c r="R104" s="146"/>
      <c r="S104" s="146">
        <f>'法国ERP数据'!Z103</f>
      </c>
      <c r="T104" s="146"/>
      <c r="U104" s="146"/>
      <c r="V104" s="148"/>
      <c r="W104" s="146"/>
      <c r="X104" s="150"/>
      <c r="Y104" s="146"/>
      <c r="Z104" s="146"/>
      <c r="AA104" s="146"/>
      <c r="AB104" s="146"/>
      <c r="AC104" s="146"/>
      <c r="AD104" s="152"/>
      <c r="AE104" s="147"/>
      <c r="AF104" s="146"/>
      <c r="AG104" s="146"/>
      <c r="AH104" s="153"/>
      <c r="AI104" s="146"/>
      <c r="AJ104" s="154"/>
      <c r="AK104" s="146"/>
      <c r="AL104" s="155"/>
      <c r="AM104" s="156"/>
      <c r="AN104" s="148"/>
      <c r="AO104" s="154"/>
      <c r="AP104" s="155"/>
      <c r="AQ104" s="148"/>
      <c r="AR104" s="151"/>
      <c r="AS104" s="151"/>
      <c r="AT104" s="154"/>
      <c r="AU104" s="158"/>
      <c r="AV104" s="158"/>
      <c r="AW104" s="159"/>
      <c r="AX104" s="154"/>
      <c r="AY104" s="151"/>
      <c r="AZ104" s="151"/>
      <c r="BA104" s="165"/>
      <c r="BB104" s="166"/>
      <c r="BC104" s="167"/>
      <c r="BD104" s="167"/>
      <c r="BE104" s="168"/>
      <c r="BF104" s="146"/>
      <c r="BG104" s="157"/>
      <c r="BH104" s="146"/>
      <c r="BI104" s="146"/>
      <c r="BJ104" s="146"/>
      <c r="BL104" s="170"/>
    </row>
    <row customHeight="true" ht="13.333333333333332" r="105">
      <c r="A105" s="145">
        <v>46094</v>
      </c>
      <c r="B105" s="146" t="s">
        <v>151</v>
      </c>
      <c r="C105" s="164"/>
      <c r="D105" s="146"/>
      <c r="E105" s="148"/>
      <c r="F105" s="148"/>
      <c r="G105" s="148"/>
      <c r="H105" s="146"/>
      <c r="I105" s="148"/>
      <c r="J105" s="150"/>
      <c r="K105" s="146"/>
      <c r="L105" s="146"/>
      <c r="M105" s="146"/>
      <c r="N105" s="148"/>
      <c r="O105" s="151"/>
      <c r="P105" s="151"/>
      <c r="Q105" s="146"/>
      <c r="R105" s="146"/>
      <c r="S105" s="146">
        <f>'法国ERP数据'!Z104</f>
      </c>
      <c r="T105" s="146"/>
      <c r="U105" s="146"/>
      <c r="V105" s="148"/>
      <c r="W105" s="146"/>
      <c r="X105" s="150"/>
      <c r="Y105" s="146"/>
      <c r="Z105" s="146"/>
      <c r="AA105" s="146"/>
      <c r="AB105" s="146"/>
      <c r="AC105" s="146"/>
      <c r="AD105" s="152"/>
      <c r="AE105" s="147"/>
      <c r="AF105" s="146"/>
      <c r="AG105" s="146"/>
      <c r="AH105" s="153"/>
      <c r="AI105" s="146"/>
      <c r="AJ105" s="154"/>
      <c r="AK105" s="146"/>
      <c r="AL105" s="155"/>
      <c r="AM105" s="156"/>
      <c r="AN105" s="148"/>
      <c r="AO105" s="154"/>
      <c r="AP105" s="155"/>
      <c r="AQ105" s="148"/>
      <c r="AR105" s="151"/>
      <c r="AS105" s="151"/>
      <c r="AT105" s="154"/>
      <c r="AU105" s="158"/>
      <c r="AV105" s="158"/>
      <c r="AW105" s="159"/>
      <c r="AX105" s="154"/>
      <c r="AY105" s="151"/>
      <c r="AZ105" s="151"/>
      <c r="BA105" s="165"/>
      <c r="BB105" s="166"/>
      <c r="BC105" s="167"/>
      <c r="BD105" s="167"/>
      <c r="BE105" s="168"/>
      <c r="BF105" s="146"/>
      <c r="BG105" s="157"/>
      <c r="BH105" s="146"/>
      <c r="BI105" s="146"/>
      <c r="BJ105" s="146"/>
      <c r="BL105" s="170"/>
    </row>
    <row customHeight="true" ht="13.333333333333332" r="106">
      <c r="A106" s="145">
        <v>46095</v>
      </c>
      <c r="B106" s="146" t="s">
        <v>152</v>
      </c>
      <c r="C106" s="164"/>
      <c r="D106" s="146"/>
      <c r="E106" s="148"/>
      <c r="F106" s="148"/>
      <c r="G106" s="148"/>
      <c r="H106" s="146"/>
      <c r="I106" s="148"/>
      <c r="J106" s="150"/>
      <c r="K106" s="146"/>
      <c r="L106" s="146"/>
      <c r="M106" s="146"/>
      <c r="N106" s="148"/>
      <c r="O106" s="151"/>
      <c r="P106" s="151"/>
      <c r="Q106" s="146"/>
      <c r="R106" s="146"/>
      <c r="S106" s="146">
        <f>'法国ERP数据'!Z105</f>
      </c>
      <c r="T106" s="146"/>
      <c r="U106" s="146"/>
      <c r="V106" s="148"/>
      <c r="W106" s="146"/>
      <c r="X106" s="150"/>
      <c r="Y106" s="146"/>
      <c r="Z106" s="146"/>
      <c r="AA106" s="146"/>
      <c r="AB106" s="146"/>
      <c r="AC106" s="146"/>
      <c r="AD106" s="152"/>
      <c r="AE106" s="147"/>
      <c r="AF106" s="146"/>
      <c r="AG106" s="146"/>
      <c r="AH106" s="153"/>
      <c r="AI106" s="146"/>
      <c r="AJ106" s="154"/>
      <c r="AK106" s="146"/>
      <c r="AL106" s="155"/>
      <c r="AM106" s="156"/>
      <c r="AN106" s="148"/>
      <c r="AO106" s="154"/>
      <c r="AP106" s="155"/>
      <c r="AQ106" s="148"/>
      <c r="AR106" s="151"/>
      <c r="AS106" s="151"/>
      <c r="AT106" s="154"/>
      <c r="AU106" s="158"/>
      <c r="AV106" s="158"/>
      <c r="AW106" s="159"/>
      <c r="AX106" s="154"/>
      <c r="AY106" s="151"/>
      <c r="AZ106" s="151"/>
      <c r="BA106" s="165"/>
      <c r="BB106" s="166"/>
      <c r="BC106" s="167"/>
      <c r="BD106" s="167"/>
      <c r="BE106" s="168"/>
      <c r="BF106" s="146"/>
      <c r="BG106" s="157"/>
      <c r="BH106" s="146"/>
      <c r="BI106" s="146"/>
      <c r="BJ106" s="146"/>
      <c r="BL106" s="170"/>
    </row>
    <row customHeight="true" ht="13.333333333333332" r="107">
      <c r="A107" s="145">
        <v>46096</v>
      </c>
      <c r="B107" s="146" t="s">
        <v>153</v>
      </c>
      <c r="C107" s="164"/>
      <c r="D107" s="146"/>
      <c r="E107" s="148"/>
      <c r="F107" s="148"/>
      <c r="G107" s="148"/>
      <c r="H107" s="146"/>
      <c r="I107" s="148"/>
      <c r="J107" s="150"/>
      <c r="K107" s="146"/>
      <c r="L107" s="146"/>
      <c r="M107" s="146"/>
      <c r="N107" s="148"/>
      <c r="O107" s="151"/>
      <c r="P107" s="151"/>
      <c r="Q107" s="146"/>
      <c r="R107" s="146"/>
      <c r="S107" s="146">
        <f>'法国ERP数据'!Z106</f>
      </c>
      <c r="T107" s="146"/>
      <c r="U107" s="146"/>
      <c r="V107" s="148"/>
      <c r="W107" s="146"/>
      <c r="X107" s="150"/>
      <c r="Y107" s="146"/>
      <c r="Z107" s="146"/>
      <c r="AA107" s="146"/>
      <c r="AB107" s="146"/>
      <c r="AC107" s="146"/>
      <c r="AD107" s="152"/>
      <c r="AE107" s="147"/>
      <c r="AF107" s="146"/>
      <c r="AG107" s="146"/>
      <c r="AH107" s="153"/>
      <c r="AI107" s="146"/>
      <c r="AJ107" s="154"/>
      <c r="AK107" s="146"/>
      <c r="AL107" s="155"/>
      <c r="AM107" s="156"/>
      <c r="AN107" s="148"/>
      <c r="AO107" s="154"/>
      <c r="AP107" s="155"/>
      <c r="AQ107" s="148"/>
      <c r="AR107" s="151"/>
      <c r="AS107" s="151"/>
      <c r="AT107" s="154"/>
      <c r="AU107" s="158"/>
      <c r="AV107" s="158"/>
      <c r="AW107" s="159"/>
      <c r="AX107" s="154"/>
      <c r="AY107" s="151"/>
      <c r="AZ107" s="151"/>
      <c r="BA107" s="165"/>
      <c r="BB107" s="166"/>
      <c r="BC107" s="167"/>
      <c r="BD107" s="167"/>
      <c r="BE107" s="168"/>
      <c r="BF107" s="146"/>
      <c r="BG107" s="157"/>
      <c r="BH107" s="146"/>
      <c r="BI107" s="146"/>
      <c r="BJ107" s="146"/>
      <c r="BK107" s="170"/>
      <c r="BL107" s="170"/>
    </row>
    <row customHeight="true" ht="13.333333333333332" r="108">
      <c r="A108" s="145">
        <v>46097</v>
      </c>
      <c r="B108" s="146" t="s">
        <v>146</v>
      </c>
      <c r="C108" s="164"/>
      <c r="D108" s="146"/>
      <c r="E108" s="148"/>
      <c r="F108" s="148"/>
      <c r="G108" s="148"/>
      <c r="H108" s="146"/>
      <c r="I108" s="148"/>
      <c r="J108" s="150"/>
      <c r="K108" s="146"/>
      <c r="L108" s="146"/>
      <c r="M108" s="146"/>
      <c r="N108" s="148"/>
      <c r="O108" s="151"/>
      <c r="P108" s="151"/>
      <c r="Q108" s="146"/>
      <c r="R108" s="146"/>
      <c r="S108" s="146">
        <f>'法国ERP数据'!Z107</f>
      </c>
      <c r="T108" s="146"/>
      <c r="U108" s="146"/>
      <c r="V108" s="148"/>
      <c r="W108" s="146"/>
      <c r="X108" s="150"/>
      <c r="Y108" s="146"/>
      <c r="Z108" s="146"/>
      <c r="AA108" s="146"/>
      <c r="AB108" s="146"/>
      <c r="AC108" s="146"/>
      <c r="AD108" s="152"/>
      <c r="AE108" s="147"/>
      <c r="AF108" s="146"/>
      <c r="AG108" s="146"/>
      <c r="AH108" s="153"/>
      <c r="AI108" s="146"/>
      <c r="AJ108" s="154"/>
      <c r="AK108" s="146"/>
      <c r="AL108" s="155"/>
      <c r="AM108" s="156"/>
      <c r="AN108" s="148"/>
      <c r="AO108" s="154"/>
      <c r="AP108" s="155"/>
      <c r="AQ108" s="148"/>
      <c r="AR108" s="151"/>
      <c r="AS108" s="151"/>
      <c r="AT108" s="154"/>
      <c r="AU108" s="158"/>
      <c r="AV108" s="158"/>
      <c r="AW108" s="159"/>
      <c r="AX108" s="154"/>
      <c r="AY108" s="151"/>
      <c r="AZ108" s="151"/>
      <c r="BA108" s="165"/>
      <c r="BB108" s="166"/>
      <c r="BC108" s="167"/>
      <c r="BD108" s="167"/>
      <c r="BE108" s="168"/>
      <c r="BF108" s="146"/>
      <c r="BG108" s="157"/>
      <c r="BH108" s="146"/>
      <c r="BI108" s="146"/>
      <c r="BJ108" s="146"/>
      <c r="BK108" s="170"/>
      <c r="BL108" s="170"/>
    </row>
    <row customHeight="true" ht="13.333333333333332" r="109">
      <c r="A109" s="145">
        <v>46098</v>
      </c>
      <c r="B109" s="146" t="s">
        <v>148</v>
      </c>
      <c r="C109" s="147"/>
      <c r="D109" s="146"/>
      <c r="E109" s="148"/>
      <c r="F109" s="148"/>
      <c r="G109" s="148"/>
      <c r="H109" s="146"/>
      <c r="I109" s="148"/>
      <c r="J109" s="150"/>
      <c r="K109" s="146"/>
      <c r="L109" s="146"/>
      <c r="M109" s="146"/>
      <c r="N109" s="148"/>
      <c r="O109" s="151"/>
      <c r="P109" s="151"/>
      <c r="Q109" s="146"/>
      <c r="R109" s="146"/>
      <c r="S109" s="146">
        <f>'法国ERP数据'!Z108</f>
      </c>
      <c r="T109" s="146"/>
      <c r="U109" s="146"/>
      <c r="V109" s="148"/>
      <c r="W109" s="146"/>
      <c r="X109" s="150"/>
      <c r="Y109" s="146"/>
      <c r="Z109" s="146"/>
      <c r="AA109" s="146"/>
      <c r="AB109" s="146"/>
      <c r="AC109" s="146"/>
      <c r="AD109" s="152"/>
      <c r="AE109" s="147"/>
      <c r="AF109" s="146"/>
      <c r="AG109" s="146"/>
      <c r="AH109" s="153"/>
      <c r="AI109" s="146"/>
      <c r="AJ109" s="154"/>
      <c r="AK109" s="146"/>
      <c r="AL109" s="155"/>
      <c r="AM109" s="156"/>
      <c r="AN109" s="148"/>
      <c r="AO109" s="154"/>
      <c r="AP109" s="155"/>
      <c r="AQ109" s="148"/>
      <c r="AR109" s="151"/>
      <c r="AS109" s="151"/>
      <c r="AT109" s="154"/>
      <c r="AU109" s="158"/>
      <c r="AV109" s="158"/>
      <c r="AW109" s="159"/>
      <c r="AX109" s="154"/>
      <c r="AY109" s="151"/>
      <c r="AZ109" s="151"/>
      <c r="BA109" s="165"/>
      <c r="BB109" s="166"/>
      <c r="BC109" s="167"/>
      <c r="BD109" s="167"/>
      <c r="BE109" s="168"/>
      <c r="BF109" s="146"/>
      <c r="BG109" s="157"/>
      <c r="BH109" s="146"/>
      <c r="BI109" s="146"/>
      <c r="BJ109" s="146"/>
      <c r="BK109" s="170"/>
      <c r="BL109" s="170"/>
    </row>
    <row customHeight="true" ht="13.333333333333332" r="110">
      <c r="A110" s="145">
        <v>46099</v>
      </c>
      <c r="B110" s="146" t="s">
        <v>149</v>
      </c>
      <c r="C110" s="147"/>
      <c r="D110" s="146"/>
      <c r="E110" s="148"/>
      <c r="F110" s="148"/>
      <c r="G110" s="148"/>
      <c r="H110" s="146"/>
      <c r="I110" s="148"/>
      <c r="J110" s="150"/>
      <c r="K110" s="146"/>
      <c r="L110" s="146"/>
      <c r="M110" s="146"/>
      <c r="N110" s="148"/>
      <c r="O110" s="151"/>
      <c r="P110" s="151"/>
      <c r="Q110" s="146"/>
      <c r="R110" s="146"/>
      <c r="S110" s="146">
        <f>'法国ERP数据'!Z109</f>
      </c>
      <c r="T110" s="146"/>
      <c r="U110" s="146"/>
      <c r="V110" s="148"/>
      <c r="W110" s="146"/>
      <c r="X110" s="150"/>
      <c r="Y110" s="146"/>
      <c r="Z110" s="146"/>
      <c r="AA110" s="146"/>
      <c r="AB110" s="146"/>
      <c r="AC110" s="146"/>
      <c r="AD110" s="152"/>
      <c r="AE110" s="147"/>
      <c r="AF110" s="146"/>
      <c r="AG110" s="146"/>
      <c r="AH110" s="153"/>
      <c r="AI110" s="146"/>
      <c r="AJ110" s="154"/>
      <c r="AK110" s="146"/>
      <c r="AL110" s="155"/>
      <c r="AM110" s="156"/>
      <c r="AN110" s="148"/>
      <c r="AO110" s="154"/>
      <c r="AP110" s="155"/>
      <c r="AQ110" s="148"/>
      <c r="AR110" s="151"/>
      <c r="AS110" s="151"/>
      <c r="AT110" s="154"/>
      <c r="AU110" s="158"/>
      <c r="AV110" s="158"/>
      <c r="AW110" s="159"/>
      <c r="AX110" s="154"/>
      <c r="AY110" s="151"/>
      <c r="AZ110" s="151"/>
      <c r="BA110" s="165"/>
      <c r="BB110" s="166"/>
      <c r="BC110" s="167"/>
      <c r="BD110" s="167"/>
      <c r="BE110" s="168"/>
      <c r="BF110" s="146"/>
      <c r="BG110" s="157"/>
      <c r="BH110" s="146"/>
      <c r="BI110" s="146"/>
      <c r="BJ110" s="146"/>
      <c r="BK110" s="170"/>
      <c r="BL110" s="170"/>
    </row>
    <row customHeight="true" ht="13.333333333333332" r="111">
      <c r="A111" s="145">
        <v>46100</v>
      </c>
      <c r="B111" s="146" t="s">
        <v>150</v>
      </c>
      <c r="C111" s="147"/>
      <c r="D111" s="146"/>
      <c r="E111" s="148"/>
      <c r="F111" s="148"/>
      <c r="G111" s="148"/>
      <c r="H111" s="146"/>
      <c r="I111" s="148"/>
      <c r="J111" s="150"/>
      <c r="K111" s="146"/>
      <c r="L111" s="146"/>
      <c r="M111" s="146"/>
      <c r="N111" s="148"/>
      <c r="O111" s="151"/>
      <c r="P111" s="151"/>
      <c r="Q111" s="146"/>
      <c r="R111" s="146"/>
      <c r="S111" s="146">
        <f>'法国ERP数据'!Z110</f>
      </c>
      <c r="T111" s="146"/>
      <c r="U111" s="146"/>
      <c r="V111" s="148"/>
      <c r="W111" s="146"/>
      <c r="X111" s="150"/>
      <c r="Y111" s="146"/>
      <c r="Z111" s="146"/>
      <c r="AA111" s="146"/>
      <c r="AB111" s="146"/>
      <c r="AC111" s="146"/>
      <c r="AD111" s="152"/>
      <c r="AE111" s="147"/>
      <c r="AF111" s="146"/>
      <c r="AG111" s="146"/>
      <c r="AH111" s="153"/>
      <c r="AI111" s="146"/>
      <c r="AJ111" s="154"/>
      <c r="AK111" s="146"/>
      <c r="AL111" s="155"/>
      <c r="AM111" s="156"/>
      <c r="AN111" s="148"/>
      <c r="AO111" s="154"/>
      <c r="AP111" s="155"/>
      <c r="AQ111" s="148"/>
      <c r="AR111" s="151"/>
      <c r="AS111" s="151"/>
      <c r="AT111" s="154"/>
      <c r="AU111" s="158"/>
      <c r="AV111" s="158"/>
      <c r="AW111" s="159"/>
      <c r="AX111" s="154"/>
      <c r="AY111" s="151"/>
      <c r="AZ111" s="151"/>
      <c r="BA111" s="165"/>
      <c r="BB111" s="166"/>
      <c r="BC111" s="167"/>
      <c r="BD111" s="167"/>
      <c r="BE111" s="168"/>
      <c r="BF111" s="146"/>
      <c r="BG111" s="157"/>
      <c r="BH111" s="146"/>
      <c r="BI111" s="146"/>
      <c r="BJ111" s="146"/>
      <c r="BK111" s="170"/>
      <c r="BL111" s="170"/>
    </row>
    <row customHeight="true" ht="13.333333333333332" r="112">
      <c r="A112" s="145">
        <v>46101</v>
      </c>
      <c r="B112" s="146" t="s">
        <v>151</v>
      </c>
      <c r="C112" s="147"/>
      <c r="D112" s="146"/>
      <c r="E112" s="148"/>
      <c r="F112" s="148"/>
      <c r="G112" s="148"/>
      <c r="H112" s="146"/>
      <c r="I112" s="148"/>
      <c r="J112" s="150"/>
      <c r="K112" s="146"/>
      <c r="L112" s="146"/>
      <c r="M112" s="146"/>
      <c r="N112" s="148"/>
      <c r="O112" s="151"/>
      <c r="P112" s="151"/>
      <c r="Q112" s="146"/>
      <c r="R112" s="146"/>
      <c r="S112" s="146">
        <f>'法国ERP数据'!Z111</f>
      </c>
      <c r="T112" s="146"/>
      <c r="U112" s="146"/>
      <c r="V112" s="148"/>
      <c r="W112" s="146"/>
      <c r="X112" s="150"/>
      <c r="Y112" s="146"/>
      <c r="Z112" s="146"/>
      <c r="AA112" s="146"/>
      <c r="AB112" s="146"/>
      <c r="AC112" s="146"/>
      <c r="AD112" s="152"/>
      <c r="AE112" s="147"/>
      <c r="AF112" s="146"/>
      <c r="AG112" s="146"/>
      <c r="AH112" s="153"/>
      <c r="AI112" s="146"/>
      <c r="AJ112" s="154"/>
      <c r="AK112" s="146"/>
      <c r="AL112" s="155"/>
      <c r="AM112" s="156"/>
      <c r="AN112" s="148"/>
      <c r="AO112" s="154"/>
      <c r="AP112" s="155"/>
      <c r="AQ112" s="148"/>
      <c r="AR112" s="151"/>
      <c r="AS112" s="151"/>
      <c r="AT112" s="154"/>
      <c r="AU112" s="158"/>
      <c r="AV112" s="158"/>
      <c r="AW112" s="159"/>
      <c r="AX112" s="154"/>
      <c r="AY112" s="151"/>
      <c r="AZ112" s="151"/>
      <c r="BA112" s="165"/>
      <c r="BB112" s="166"/>
      <c r="BC112" s="167"/>
      <c r="BD112" s="167"/>
      <c r="BE112" s="168"/>
      <c r="BF112" s="146"/>
      <c r="BG112" s="157"/>
      <c r="BH112" s="146"/>
      <c r="BI112" s="146"/>
      <c r="BJ112" s="146"/>
      <c r="BK112" s="170"/>
      <c r="BL112" s="170"/>
    </row>
    <row customHeight="true" ht="13.333333333333332" r="113">
      <c r="A113" s="145">
        <v>46102</v>
      </c>
      <c r="B113" s="146" t="s">
        <v>152</v>
      </c>
      <c r="C113" s="164"/>
      <c r="D113" s="146"/>
      <c r="E113" s="148"/>
      <c r="F113" s="148"/>
      <c r="G113" s="148"/>
      <c r="H113" s="146"/>
      <c r="I113" s="148"/>
      <c r="J113" s="150"/>
      <c r="K113" s="146"/>
      <c r="L113" s="146"/>
      <c r="M113" s="146"/>
      <c r="N113" s="148"/>
      <c r="O113" s="151"/>
      <c r="P113" s="151"/>
      <c r="Q113" s="146"/>
      <c r="R113" s="146"/>
      <c r="S113" s="146">
        <f>'法国ERP数据'!Z112</f>
      </c>
      <c r="T113" s="146"/>
      <c r="U113" s="146"/>
      <c r="V113" s="148"/>
      <c r="W113" s="146"/>
      <c r="X113" s="150"/>
      <c r="Y113" s="146"/>
      <c r="Z113" s="146"/>
      <c r="AA113" s="146"/>
      <c r="AB113" s="146"/>
      <c r="AC113" s="146"/>
      <c r="AD113" s="152"/>
      <c r="AE113" s="147"/>
      <c r="AF113" s="146"/>
      <c r="AG113" s="146"/>
      <c r="AH113" s="153"/>
      <c r="AI113" s="146"/>
      <c r="AJ113" s="154"/>
      <c r="AK113" s="146"/>
      <c r="AL113" s="155"/>
      <c r="AM113" s="156"/>
      <c r="AN113" s="148"/>
      <c r="AO113" s="154"/>
      <c r="AP113" s="155"/>
      <c r="AQ113" s="148"/>
      <c r="AR113" s="151"/>
      <c r="AS113" s="151"/>
      <c r="AT113" s="154"/>
      <c r="AU113" s="158"/>
      <c r="AV113" s="158"/>
      <c r="AW113" s="159"/>
      <c r="AX113" s="154"/>
      <c r="AY113" s="151"/>
      <c r="AZ113" s="151"/>
      <c r="BA113" s="165"/>
      <c r="BB113" s="166"/>
      <c r="BC113" s="167"/>
      <c r="BD113" s="167"/>
      <c r="BE113" s="168"/>
      <c r="BF113" s="146"/>
      <c r="BG113" s="157"/>
      <c r="BH113" s="146"/>
      <c r="BI113" s="146"/>
      <c r="BJ113" s="146"/>
      <c r="BK113" s="170"/>
      <c r="BL113" s="170"/>
    </row>
    <row customHeight="true" ht="13.333333333333332" r="114">
      <c r="A114" s="145">
        <v>46103</v>
      </c>
      <c r="B114" s="146" t="s">
        <v>153</v>
      </c>
      <c r="C114" s="164"/>
      <c r="D114" s="146"/>
      <c r="E114" s="148"/>
      <c r="F114" s="148"/>
      <c r="G114" s="148"/>
      <c r="H114" s="146"/>
      <c r="I114" s="148"/>
      <c r="J114" s="150"/>
      <c r="K114" s="146"/>
      <c r="L114" s="146"/>
      <c r="M114" s="146"/>
      <c r="N114" s="148"/>
      <c r="O114" s="151"/>
      <c r="P114" s="151"/>
      <c r="Q114" s="146"/>
      <c r="R114" s="146"/>
      <c r="S114" s="146">
        <f>'法国ERP数据'!Z113</f>
      </c>
      <c r="T114" s="146"/>
      <c r="U114" s="146"/>
      <c r="V114" s="148"/>
      <c r="W114" s="146"/>
      <c r="X114" s="150"/>
      <c r="Y114" s="146"/>
      <c r="Z114" s="146"/>
      <c r="AA114" s="146"/>
      <c r="AB114" s="146"/>
      <c r="AC114" s="146"/>
      <c r="AD114" s="152"/>
      <c r="AE114" s="147"/>
      <c r="AF114" s="146"/>
      <c r="AG114" s="146"/>
      <c r="AH114" s="153"/>
      <c r="AI114" s="146"/>
      <c r="AJ114" s="154"/>
      <c r="AK114" s="146"/>
      <c r="AL114" s="155"/>
      <c r="AM114" s="156"/>
      <c r="AN114" s="148"/>
      <c r="AO114" s="154"/>
      <c r="AP114" s="155"/>
      <c r="AQ114" s="148"/>
      <c r="AR114" s="151"/>
      <c r="AS114" s="151"/>
      <c r="AT114" s="154"/>
      <c r="AU114" s="158"/>
      <c r="AV114" s="158"/>
      <c r="AW114" s="159"/>
      <c r="AX114" s="154"/>
      <c r="AY114" s="151"/>
      <c r="AZ114" s="151"/>
      <c r="BA114" s="165"/>
      <c r="BB114" s="166"/>
      <c r="BC114" s="167"/>
      <c r="BD114" s="167"/>
      <c r="BE114" s="168"/>
      <c r="BF114" s="146"/>
      <c r="BG114" s="157"/>
      <c r="BH114" s="146"/>
      <c r="BI114" s="146"/>
      <c r="BJ114" s="146"/>
      <c r="BK114" s="170"/>
      <c r="BL114" s="170"/>
    </row>
    <row customHeight="true" ht="13.333333333333332" r="115">
      <c r="A115" s="145">
        <v>46104</v>
      </c>
      <c r="B115" s="146" t="s">
        <v>146</v>
      </c>
      <c r="C115" s="147"/>
      <c r="D115" s="146"/>
      <c r="E115" s="148"/>
      <c r="F115" s="148"/>
      <c r="G115" s="148"/>
      <c r="H115" s="146"/>
      <c r="I115" s="148"/>
      <c r="J115" s="150"/>
      <c r="K115" s="146"/>
      <c r="L115" s="146"/>
      <c r="M115" s="146"/>
      <c r="N115" s="148"/>
      <c r="O115" s="151"/>
      <c r="P115" s="151"/>
      <c r="Q115" s="146"/>
      <c r="R115" s="146"/>
      <c r="S115" s="146">
        <f>'法国ERP数据'!Z114</f>
      </c>
      <c r="T115" s="146"/>
      <c r="U115" s="146"/>
      <c r="V115" s="148"/>
      <c r="W115" s="146"/>
      <c r="X115" s="150"/>
      <c r="Y115" s="146"/>
      <c r="Z115" s="146"/>
      <c r="AA115" s="146"/>
      <c r="AB115" s="146"/>
      <c r="AC115" s="146"/>
      <c r="AD115" s="152"/>
      <c r="AE115" s="147"/>
      <c r="AF115" s="146"/>
      <c r="AG115" s="146"/>
      <c r="AH115" s="153"/>
      <c r="AI115" s="146"/>
      <c r="AJ115" s="154"/>
      <c r="AK115" s="146"/>
      <c r="AL115" s="155"/>
      <c r="AM115" s="156"/>
      <c r="AN115" s="148"/>
      <c r="AO115" s="154"/>
      <c r="AP115" s="155"/>
      <c r="AQ115" s="148"/>
      <c r="AR115" s="151"/>
      <c r="AS115" s="151"/>
      <c r="AT115" s="154"/>
      <c r="AU115" s="158"/>
      <c r="AV115" s="158"/>
      <c r="AW115" s="159"/>
      <c r="AX115" s="154"/>
      <c r="AY115" s="151"/>
      <c r="AZ115" s="151"/>
      <c r="BA115" s="165"/>
      <c r="BB115" s="166"/>
      <c r="BC115" s="167"/>
      <c r="BD115" s="167"/>
      <c r="BE115" s="168"/>
      <c r="BF115" s="146"/>
      <c r="BG115" s="157"/>
      <c r="BH115" s="146"/>
      <c r="BI115" s="146"/>
      <c r="BJ115" s="146"/>
      <c r="BK115" s="170"/>
      <c r="BL115" s="170"/>
    </row>
    <row customHeight="true" ht="13.333333333333332" r="116">
      <c r="A116" s="145">
        <v>46105</v>
      </c>
      <c r="B116" s="146" t="s">
        <v>148</v>
      </c>
      <c r="C116" s="147"/>
      <c r="D116" s="146"/>
      <c r="E116" s="148"/>
      <c r="F116" s="148"/>
      <c r="G116" s="148"/>
      <c r="H116" s="146"/>
      <c r="I116" s="148"/>
      <c r="J116" s="150"/>
      <c r="K116" s="146"/>
      <c r="L116" s="146"/>
      <c r="M116" s="146"/>
      <c r="N116" s="148"/>
      <c r="O116" s="151"/>
      <c r="P116" s="151"/>
      <c r="Q116" s="146"/>
      <c r="R116" s="146"/>
      <c r="S116" s="146">
        <f>'法国ERP数据'!Z115</f>
      </c>
      <c r="T116" s="146"/>
      <c r="U116" s="146"/>
      <c r="V116" s="148"/>
      <c r="W116" s="146"/>
      <c r="X116" s="150"/>
      <c r="Y116" s="146"/>
      <c r="Z116" s="146"/>
      <c r="AA116" s="146"/>
      <c r="AB116" s="146"/>
      <c r="AC116" s="146"/>
      <c r="AD116" s="152"/>
      <c r="AE116" s="147"/>
      <c r="AF116" s="146"/>
      <c r="AG116" s="146"/>
      <c r="AH116" s="153"/>
      <c r="AI116" s="146"/>
      <c r="AJ116" s="154"/>
      <c r="AK116" s="146"/>
      <c r="AL116" s="155"/>
      <c r="AM116" s="156"/>
      <c r="AN116" s="148"/>
      <c r="AO116" s="154"/>
      <c r="AP116" s="155"/>
      <c r="AQ116" s="148"/>
      <c r="AR116" s="151"/>
      <c r="AS116" s="151"/>
      <c r="AT116" s="154"/>
      <c r="AU116" s="158"/>
      <c r="AV116" s="158"/>
      <c r="AW116" s="159"/>
      <c r="AX116" s="154"/>
      <c r="AY116" s="151"/>
      <c r="AZ116" s="151"/>
      <c r="BA116" s="165"/>
      <c r="BB116" s="166"/>
      <c r="BC116" s="167"/>
      <c r="BD116" s="167"/>
      <c r="BE116" s="168"/>
      <c r="BF116" s="146"/>
      <c r="BG116" s="157"/>
      <c r="BH116" s="146"/>
      <c r="BI116" s="146"/>
      <c r="BJ116" s="146"/>
      <c r="BK116" s="170"/>
      <c r="BL116" s="170"/>
    </row>
    <row customHeight="true" ht="13.333333333333332" r="117">
      <c r="A117" s="145">
        <v>46106</v>
      </c>
      <c r="B117" s="146" t="s">
        <v>149</v>
      </c>
      <c r="C117" s="147"/>
      <c r="D117" s="146"/>
      <c r="E117" s="148"/>
      <c r="F117" s="148"/>
      <c r="G117" s="148"/>
      <c r="H117" s="146"/>
      <c r="I117" s="148"/>
      <c r="J117" s="150"/>
      <c r="K117" s="146"/>
      <c r="L117" s="146"/>
      <c r="M117" s="146"/>
      <c r="N117" s="148"/>
      <c r="O117" s="151"/>
      <c r="P117" s="151"/>
      <c r="Q117" s="146"/>
      <c r="R117" s="146"/>
      <c r="S117" s="146">
        <f>'法国ERP数据'!Z116</f>
      </c>
      <c r="T117" s="146"/>
      <c r="U117" s="146"/>
      <c r="V117" s="148"/>
      <c r="W117" s="146"/>
      <c r="X117" s="150"/>
      <c r="Y117" s="146"/>
      <c r="Z117" s="146"/>
      <c r="AA117" s="146"/>
      <c r="AB117" s="146"/>
      <c r="AC117" s="146"/>
      <c r="AD117" s="152"/>
      <c r="AE117" s="147"/>
      <c r="AF117" s="146"/>
      <c r="AG117" s="146"/>
      <c r="AH117" s="153"/>
      <c r="AI117" s="146"/>
      <c r="AJ117" s="154"/>
      <c r="AK117" s="146"/>
      <c r="AL117" s="155"/>
      <c r="AM117" s="156"/>
      <c r="AN117" s="148"/>
      <c r="AO117" s="154"/>
      <c r="AP117" s="155"/>
      <c r="AQ117" s="148"/>
      <c r="AR117" s="151"/>
      <c r="AS117" s="151"/>
      <c r="AT117" s="154"/>
      <c r="AU117" s="158"/>
      <c r="AV117" s="158"/>
      <c r="AW117" s="159"/>
      <c r="AX117" s="154"/>
      <c r="AY117" s="151"/>
      <c r="AZ117" s="151"/>
      <c r="BA117" s="165"/>
      <c r="BB117" s="166"/>
      <c r="BC117" s="167"/>
      <c r="BD117" s="167"/>
      <c r="BE117" s="168"/>
      <c r="BF117" s="146"/>
      <c r="BG117" s="157"/>
      <c r="BH117" s="146"/>
      <c r="BI117" s="146"/>
      <c r="BJ117" s="146"/>
      <c r="BK117" s="170"/>
      <c r="BL117" s="170"/>
    </row>
    <row customHeight="true" ht="13.333333333333332" r="118">
      <c r="A118" s="145">
        <v>46107</v>
      </c>
      <c r="B118" s="146" t="s">
        <v>150</v>
      </c>
      <c r="C118" s="147"/>
      <c r="D118" s="146"/>
      <c r="E118" s="148"/>
      <c r="F118" s="148"/>
      <c r="G118" s="148"/>
      <c r="H118" s="146"/>
      <c r="I118" s="148"/>
      <c r="J118" s="150"/>
      <c r="K118" s="146"/>
      <c r="L118" s="146"/>
      <c r="M118" s="146"/>
      <c r="N118" s="148"/>
      <c r="O118" s="151"/>
      <c r="P118" s="151"/>
      <c r="Q118" s="146"/>
      <c r="R118" s="146"/>
      <c r="S118" s="146">
        <f>'法国ERP数据'!Z117</f>
      </c>
      <c r="T118" s="146"/>
      <c r="U118" s="146"/>
      <c r="V118" s="148"/>
      <c r="W118" s="146"/>
      <c r="X118" s="150"/>
      <c r="Y118" s="146"/>
      <c r="Z118" s="146"/>
      <c r="AA118" s="146"/>
      <c r="AB118" s="146"/>
      <c r="AC118" s="146"/>
      <c r="AD118" s="152"/>
      <c r="AE118" s="147"/>
      <c r="AF118" s="146"/>
      <c r="AG118" s="146"/>
      <c r="AH118" s="153"/>
      <c r="AI118" s="146"/>
      <c r="AJ118" s="154"/>
      <c r="AK118" s="146"/>
      <c r="AL118" s="155"/>
      <c r="AM118" s="156"/>
      <c r="AN118" s="148"/>
      <c r="AO118" s="154"/>
      <c r="AP118" s="155"/>
      <c r="AQ118" s="148"/>
      <c r="AR118" s="151"/>
      <c r="AS118" s="151"/>
      <c r="AT118" s="154"/>
      <c r="AU118" s="158"/>
      <c r="AV118" s="158"/>
      <c r="AW118" s="159"/>
      <c r="AX118" s="154"/>
      <c r="AY118" s="151"/>
      <c r="AZ118" s="151"/>
      <c r="BA118" s="165"/>
      <c r="BB118" s="166"/>
      <c r="BC118" s="167"/>
      <c r="BD118" s="167"/>
      <c r="BE118" s="168"/>
      <c r="BF118" s="146"/>
      <c r="BG118" s="157"/>
      <c r="BH118" s="146"/>
      <c r="BI118" s="146"/>
      <c r="BJ118" s="146"/>
      <c r="BK118" s="170"/>
      <c r="BL118" s="170"/>
    </row>
    <row customHeight="true" ht="13.333333333333332" r="119">
      <c r="A119" s="145">
        <v>46108</v>
      </c>
      <c r="B119" s="146" t="s">
        <v>151</v>
      </c>
      <c r="C119" s="164"/>
      <c r="D119" s="146"/>
      <c r="E119" s="148"/>
      <c r="F119" s="148"/>
      <c r="G119" s="148"/>
      <c r="H119" s="146"/>
      <c r="I119" s="148"/>
      <c r="J119" s="150"/>
      <c r="K119" s="146"/>
      <c r="L119" s="146"/>
      <c r="M119" s="146"/>
      <c r="N119" s="148"/>
      <c r="O119" s="151"/>
      <c r="P119" s="151"/>
      <c r="Q119" s="146"/>
      <c r="R119" s="146"/>
      <c r="S119" s="146">
        <f>'法国ERP数据'!Z118</f>
      </c>
      <c r="T119" s="146"/>
      <c r="U119" s="146"/>
      <c r="V119" s="148"/>
      <c r="W119" s="146"/>
      <c r="X119" s="150"/>
      <c r="Y119" s="146"/>
      <c r="Z119" s="146"/>
      <c r="AA119" s="146"/>
      <c r="AB119" s="146"/>
      <c r="AC119" s="146"/>
      <c r="AD119" s="152"/>
      <c r="AE119" s="147"/>
      <c r="AF119" s="146"/>
      <c r="AG119" s="146"/>
      <c r="AH119" s="153"/>
      <c r="AI119" s="146"/>
      <c r="AJ119" s="154"/>
      <c r="AK119" s="146"/>
      <c r="AL119" s="155"/>
      <c r="AM119" s="156"/>
      <c r="AN119" s="148"/>
      <c r="AO119" s="154"/>
      <c r="AP119" s="155"/>
      <c r="AQ119" s="148"/>
      <c r="AR119" s="151"/>
      <c r="AS119" s="151"/>
      <c r="AT119" s="154"/>
      <c r="AU119" s="158"/>
      <c r="AV119" s="158"/>
      <c r="AW119" s="159"/>
      <c r="AX119" s="154"/>
      <c r="AY119" s="151"/>
      <c r="AZ119" s="151"/>
      <c r="BA119" s="165"/>
      <c r="BB119" s="166"/>
      <c r="BC119" s="167"/>
      <c r="BD119" s="167"/>
      <c r="BE119" s="168"/>
      <c r="BF119" s="146"/>
      <c r="BG119" s="157"/>
      <c r="BH119" s="146"/>
      <c r="BI119" s="146"/>
      <c r="BJ119" s="146"/>
      <c r="BK119" s="170"/>
      <c r="BL119" s="170"/>
    </row>
    <row customHeight="true" ht="13.333333333333332" r="120">
      <c r="A120" s="145">
        <v>46109</v>
      </c>
      <c r="B120" s="146" t="s">
        <v>152</v>
      </c>
      <c r="C120" s="147"/>
      <c r="D120" s="146"/>
      <c r="E120" s="148"/>
      <c r="F120" s="148"/>
      <c r="G120" s="148"/>
      <c r="H120" s="146"/>
      <c r="I120" s="148"/>
      <c r="J120" s="150"/>
      <c r="K120" s="146"/>
      <c r="L120" s="146"/>
      <c r="M120" s="146"/>
      <c r="N120" s="148"/>
      <c r="O120" s="151"/>
      <c r="P120" s="151"/>
      <c r="Q120" s="146"/>
      <c r="R120" s="146"/>
      <c r="S120" s="146">
        <f>'法国ERP数据'!Z119</f>
      </c>
      <c r="T120" s="146"/>
      <c r="U120" s="146"/>
      <c r="V120" s="148"/>
      <c r="W120" s="146"/>
      <c r="X120" s="150"/>
      <c r="Y120" s="146"/>
      <c r="Z120" s="146"/>
      <c r="AA120" s="146"/>
      <c r="AB120" s="146"/>
      <c r="AC120" s="146"/>
      <c r="AD120" s="152"/>
      <c r="AE120" s="147"/>
      <c r="AF120" s="146"/>
      <c r="AG120" s="146"/>
      <c r="AH120" s="153"/>
      <c r="AI120" s="146"/>
      <c r="AJ120" s="154"/>
      <c r="AK120" s="146"/>
      <c r="AL120" s="155"/>
      <c r="AM120" s="156"/>
      <c r="AN120" s="148"/>
      <c r="AO120" s="154"/>
      <c r="AP120" s="155"/>
      <c r="AQ120" s="148"/>
      <c r="AR120" s="151"/>
      <c r="AS120" s="151"/>
      <c r="AT120" s="154"/>
      <c r="AU120" s="158"/>
      <c r="AV120" s="158"/>
      <c r="AW120" s="159"/>
      <c r="AX120" s="154"/>
      <c r="AY120" s="151"/>
      <c r="AZ120" s="151"/>
      <c r="BA120" s="165"/>
      <c r="BB120" s="166"/>
      <c r="BC120" s="167"/>
      <c r="BD120" s="167"/>
      <c r="BE120" s="168"/>
      <c r="BF120" s="146"/>
      <c r="BG120" s="157"/>
      <c r="BH120" s="146"/>
      <c r="BI120" s="146"/>
      <c r="BJ120" s="146"/>
      <c r="BK120" s="170"/>
      <c r="BL120" s="170"/>
    </row>
    <row customHeight="true" ht="13.333333333333332" r="121">
      <c r="A121" s="145">
        <v>46110</v>
      </c>
      <c r="B121" s="146" t="s">
        <v>153</v>
      </c>
      <c r="C121" s="164"/>
      <c r="D121" s="146"/>
      <c r="E121" s="148"/>
      <c r="F121" s="148"/>
      <c r="G121" s="148"/>
      <c r="H121" s="146"/>
      <c r="I121" s="148"/>
      <c r="J121" s="150"/>
      <c r="K121" s="146"/>
      <c r="L121" s="146"/>
      <c r="M121" s="146"/>
      <c r="N121" s="148"/>
      <c r="O121" s="151"/>
      <c r="P121" s="151"/>
      <c r="Q121" s="146"/>
      <c r="R121" s="146"/>
      <c r="S121" s="146">
        <f>'法国ERP数据'!Z120</f>
      </c>
      <c r="T121" s="146"/>
      <c r="U121" s="146"/>
      <c r="V121" s="148"/>
      <c r="W121" s="146"/>
      <c r="X121" s="150"/>
      <c r="Y121" s="146"/>
      <c r="Z121" s="146"/>
      <c r="AA121" s="146"/>
      <c r="AB121" s="146"/>
      <c r="AC121" s="146"/>
      <c r="AD121" s="152"/>
      <c r="AE121" s="147"/>
      <c r="AF121" s="146"/>
      <c r="AG121" s="146"/>
      <c r="AH121" s="153"/>
      <c r="AI121" s="146"/>
      <c r="AJ121" s="154"/>
      <c r="AK121" s="146"/>
      <c r="AL121" s="155"/>
      <c r="AM121" s="156"/>
      <c r="AN121" s="148"/>
      <c r="AO121" s="154"/>
      <c r="AP121" s="155"/>
      <c r="AQ121" s="148"/>
      <c r="AR121" s="151"/>
      <c r="AS121" s="151"/>
      <c r="AT121" s="154"/>
      <c r="AU121" s="158"/>
      <c r="AV121" s="158"/>
      <c r="AW121" s="159"/>
      <c r="AX121" s="154"/>
      <c r="AY121" s="151"/>
      <c r="AZ121" s="151"/>
      <c r="BA121" s="165"/>
      <c r="BB121" s="166"/>
      <c r="BC121" s="167"/>
      <c r="BD121" s="167"/>
      <c r="BE121" s="168"/>
      <c r="BF121" s="146"/>
      <c r="BG121" s="157"/>
      <c r="BH121" s="146"/>
      <c r="BI121" s="146"/>
      <c r="BJ121" s="146"/>
      <c r="BK121" s="170"/>
      <c r="BL121" s="170"/>
    </row>
    <row customHeight="true" ht="13.333333333333332" r="122">
      <c r="A122" s="145">
        <v>46111</v>
      </c>
      <c r="B122" s="146" t="s">
        <v>146</v>
      </c>
      <c r="C122" s="164"/>
      <c r="D122" s="146"/>
      <c r="E122" s="148"/>
      <c r="F122" s="148"/>
      <c r="G122" s="148"/>
      <c r="H122" s="146"/>
      <c r="I122" s="148"/>
      <c r="J122" s="150"/>
      <c r="K122" s="146"/>
      <c r="L122" s="146"/>
      <c r="M122" s="146"/>
      <c r="N122" s="148"/>
      <c r="O122" s="151"/>
      <c r="P122" s="151"/>
      <c r="Q122" s="146"/>
      <c r="R122" s="146"/>
      <c r="S122" s="146">
        <f>'法国ERP数据'!Z121</f>
      </c>
      <c r="T122" s="146"/>
      <c r="U122" s="146"/>
      <c r="V122" s="148"/>
      <c r="W122" s="146"/>
      <c r="X122" s="150"/>
      <c r="Y122" s="146"/>
      <c r="Z122" s="146"/>
      <c r="AA122" s="146"/>
      <c r="AB122" s="146"/>
      <c r="AC122" s="146"/>
      <c r="AD122" s="152"/>
      <c r="AE122" s="147"/>
      <c r="AF122" s="146"/>
      <c r="AG122" s="146"/>
      <c r="AH122" s="153"/>
      <c r="AI122" s="146"/>
      <c r="AJ122" s="154"/>
      <c r="AK122" s="146"/>
      <c r="AL122" s="155"/>
      <c r="AM122" s="156"/>
      <c r="AN122" s="148"/>
      <c r="AO122" s="154"/>
      <c r="AP122" s="155"/>
      <c r="AQ122" s="148"/>
      <c r="AR122" s="151"/>
      <c r="AS122" s="151"/>
      <c r="AT122" s="154"/>
      <c r="AU122" s="158"/>
      <c r="AV122" s="158"/>
      <c r="AW122" s="159"/>
      <c r="AX122" s="154"/>
      <c r="AY122" s="151"/>
      <c r="AZ122" s="151"/>
      <c r="BA122" s="165"/>
      <c r="BB122" s="166"/>
      <c r="BC122" s="167"/>
      <c r="BD122" s="167"/>
      <c r="BE122" s="168"/>
      <c r="BF122" s="146"/>
      <c r="BG122" s="157"/>
      <c r="BH122" s="146"/>
      <c r="BI122" s="146"/>
      <c r="BJ122" s="146"/>
      <c r="BK122" s="170"/>
      <c r="BL122" s="170"/>
    </row>
    <row customHeight="true" ht="13.333333333333332" r="123">
      <c r="A123" s="145">
        <v>46112</v>
      </c>
      <c r="B123" s="146" t="s">
        <v>148</v>
      </c>
      <c r="C123" s="164"/>
      <c r="D123" s="146"/>
      <c r="E123" s="148"/>
      <c r="F123" s="148"/>
      <c r="G123" s="148"/>
      <c r="H123" s="146"/>
      <c r="I123" s="148"/>
      <c r="J123" s="150"/>
      <c r="K123" s="146"/>
      <c r="L123" s="146"/>
      <c r="M123" s="146"/>
      <c r="N123" s="148"/>
      <c r="O123" s="151"/>
      <c r="P123" s="151"/>
      <c r="Q123" s="146"/>
      <c r="R123" s="146"/>
      <c r="S123" s="146">
        <f>'法国ERP数据'!Z122</f>
      </c>
      <c r="T123" s="146"/>
      <c r="U123" s="146"/>
      <c r="V123" s="148"/>
      <c r="W123" s="146"/>
      <c r="X123" s="150"/>
      <c r="Y123" s="146"/>
      <c r="Z123" s="146"/>
      <c r="AA123" s="146"/>
      <c r="AB123" s="146"/>
      <c r="AC123" s="146"/>
      <c r="AD123" s="152"/>
      <c r="AE123" s="147"/>
      <c r="AF123" s="146"/>
      <c r="AG123" s="146"/>
      <c r="AH123" s="153"/>
      <c r="AI123" s="146"/>
      <c r="AJ123" s="154"/>
      <c r="AK123" s="146"/>
      <c r="AL123" s="155"/>
      <c r="AM123" s="156"/>
      <c r="AN123" s="148"/>
      <c r="AO123" s="154"/>
      <c r="AP123" s="155"/>
      <c r="AQ123" s="148"/>
      <c r="AR123" s="151"/>
      <c r="AS123" s="151"/>
      <c r="AT123" s="154"/>
      <c r="AU123" s="158"/>
      <c r="AV123" s="158"/>
      <c r="AW123" s="159"/>
      <c r="AX123" s="154"/>
      <c r="AY123" s="151"/>
      <c r="AZ123" s="151"/>
      <c r="BA123" s="165"/>
      <c r="BB123" s="166"/>
      <c r="BC123" s="167"/>
      <c r="BD123" s="167"/>
      <c r="BE123" s="168"/>
      <c r="BF123" s="146"/>
      <c r="BG123" s="157"/>
      <c r="BH123" s="146"/>
      <c r="BI123" s="146"/>
      <c r="BJ123" s="146"/>
      <c r="BK123" s="170"/>
      <c r="BL123" s="170"/>
    </row>
    <row customHeight="true" ht="13.333333333333332" r="124">
      <c r="A124" s="145">
        <v>46113</v>
      </c>
      <c r="B124" s="146" t="s">
        <v>149</v>
      </c>
      <c r="C124" s="164"/>
      <c r="D124" s="146"/>
      <c r="E124" s="148"/>
      <c r="F124" s="148"/>
      <c r="G124" s="148"/>
      <c r="H124" s="146"/>
      <c r="I124" s="148"/>
      <c r="J124" s="150"/>
      <c r="K124" s="146"/>
      <c r="L124" s="146"/>
      <c r="M124" s="146"/>
      <c r="N124" s="148"/>
      <c r="O124" s="151"/>
      <c r="P124" s="151"/>
      <c r="Q124" s="146"/>
      <c r="R124" s="146"/>
      <c r="S124" s="146">
        <f>'法国ERP数据'!Z123</f>
      </c>
      <c r="T124" s="146"/>
      <c r="U124" s="146"/>
      <c r="V124" s="148"/>
      <c r="W124" s="146"/>
      <c r="X124" s="150"/>
      <c r="Y124" s="146"/>
      <c r="Z124" s="146"/>
      <c r="AA124" s="146"/>
      <c r="AB124" s="146"/>
      <c r="AC124" s="146"/>
      <c r="AD124" s="152"/>
      <c r="AE124" s="147"/>
      <c r="AF124" s="146"/>
      <c r="AG124" s="146"/>
      <c r="AH124" s="153"/>
      <c r="AI124" s="146"/>
      <c r="AJ124" s="154"/>
      <c r="AK124" s="146"/>
      <c r="AL124" s="155"/>
      <c r="AM124" s="156"/>
      <c r="AN124" s="148"/>
      <c r="AO124" s="154"/>
      <c r="AP124" s="155"/>
      <c r="AQ124" s="148"/>
      <c r="AR124" s="151"/>
      <c r="AS124" s="151"/>
      <c r="AT124" s="154"/>
      <c r="AU124" s="158"/>
      <c r="AV124" s="158"/>
      <c r="AW124" s="159"/>
      <c r="AX124" s="154"/>
      <c r="AY124" s="151"/>
      <c r="AZ124" s="151"/>
      <c r="BA124" s="165"/>
      <c r="BB124" s="166"/>
      <c r="BC124" s="167"/>
      <c r="BD124" s="167"/>
      <c r="BE124" s="168"/>
      <c r="BF124" s="146"/>
      <c r="BG124" s="157"/>
      <c r="BH124" s="146"/>
      <c r="BI124" s="146"/>
      <c r="BJ124" s="146"/>
      <c r="BK124" s="170"/>
      <c r="BL124" s="170"/>
    </row>
    <row customHeight="true" ht="13.333333333333332" r="125">
      <c r="A125" s="145">
        <v>46114</v>
      </c>
      <c r="B125" s="146" t="s">
        <v>150</v>
      </c>
      <c r="C125" s="164"/>
      <c r="D125" s="146"/>
      <c r="E125" s="148"/>
      <c r="F125" s="148"/>
      <c r="G125" s="148"/>
      <c r="H125" s="146"/>
      <c r="I125" s="148"/>
      <c r="J125" s="150"/>
      <c r="K125" s="146"/>
      <c r="L125" s="146"/>
      <c r="M125" s="146"/>
      <c r="N125" s="148"/>
      <c r="O125" s="151"/>
      <c r="P125" s="151"/>
      <c r="Q125" s="146"/>
      <c r="R125" s="146"/>
      <c r="S125" s="146">
        <f>'法国ERP数据'!Z124</f>
      </c>
      <c r="T125" s="146"/>
      <c r="U125" s="146"/>
      <c r="V125" s="148"/>
      <c r="W125" s="146"/>
      <c r="X125" s="150"/>
      <c r="Y125" s="146"/>
      <c r="Z125" s="146"/>
      <c r="AA125" s="146"/>
      <c r="AB125" s="146"/>
      <c r="AC125" s="146"/>
      <c r="AD125" s="152"/>
      <c r="AE125" s="147"/>
      <c r="AF125" s="146"/>
      <c r="AG125" s="146"/>
      <c r="AH125" s="153"/>
      <c r="AI125" s="146"/>
      <c r="AJ125" s="154"/>
      <c r="AK125" s="146"/>
      <c r="AL125" s="155"/>
      <c r="AM125" s="156"/>
      <c r="AN125" s="148"/>
      <c r="AO125" s="154"/>
      <c r="AP125" s="155"/>
      <c r="AQ125" s="148"/>
      <c r="AR125" s="151"/>
      <c r="AS125" s="151"/>
      <c r="AT125" s="154"/>
      <c r="AU125" s="158"/>
      <c r="AV125" s="158"/>
      <c r="AW125" s="159"/>
      <c r="AX125" s="154"/>
      <c r="AY125" s="151"/>
      <c r="AZ125" s="151"/>
      <c r="BA125" s="165"/>
      <c r="BB125" s="166"/>
      <c r="BC125" s="167"/>
      <c r="BD125" s="167"/>
      <c r="BE125" s="168"/>
      <c r="BF125" s="146"/>
      <c r="BG125" s="157"/>
      <c r="BH125" s="146"/>
      <c r="BI125" s="146"/>
      <c r="BJ125" s="146"/>
      <c r="BK125" s="170"/>
      <c r="BL125" s="170"/>
    </row>
    <row customHeight="true" ht="13.333333333333332" r="126">
      <c r="A126" s="145">
        <v>46115</v>
      </c>
      <c r="B126" s="146" t="s">
        <v>151</v>
      </c>
      <c r="C126" s="164"/>
      <c r="D126" s="146"/>
      <c r="E126" s="148"/>
      <c r="F126" s="148"/>
      <c r="G126" s="148"/>
      <c r="H126" s="146"/>
      <c r="I126" s="148"/>
      <c r="J126" s="150"/>
      <c r="K126" s="146"/>
      <c r="L126" s="146"/>
      <c r="M126" s="146"/>
      <c r="N126" s="148"/>
      <c r="O126" s="151"/>
      <c r="P126" s="151"/>
      <c r="Q126" s="146"/>
      <c r="R126" s="146"/>
      <c r="S126" s="146">
        <f>'法国ERP数据'!Z125</f>
      </c>
      <c r="T126" s="146"/>
      <c r="U126" s="146"/>
      <c r="V126" s="148"/>
      <c r="W126" s="146"/>
      <c r="X126" s="150"/>
      <c r="Y126" s="146"/>
      <c r="Z126" s="146"/>
      <c r="AA126" s="146"/>
      <c r="AB126" s="146"/>
      <c r="AC126" s="146"/>
      <c r="AD126" s="152"/>
      <c r="AE126" s="147"/>
      <c r="AF126" s="146"/>
      <c r="AG126" s="146"/>
      <c r="AH126" s="153"/>
      <c r="AI126" s="146"/>
      <c r="AJ126" s="154"/>
      <c r="AK126" s="146"/>
      <c r="AL126" s="155"/>
      <c r="AM126" s="156"/>
      <c r="AN126" s="148"/>
      <c r="AO126" s="154"/>
      <c r="AP126" s="155"/>
      <c r="AQ126" s="148"/>
      <c r="AR126" s="151"/>
      <c r="AS126" s="151"/>
      <c r="AT126" s="154"/>
      <c r="AU126" s="158"/>
      <c r="AV126" s="158"/>
      <c r="AW126" s="159"/>
      <c r="AX126" s="154"/>
      <c r="AY126" s="151"/>
      <c r="AZ126" s="151"/>
      <c r="BA126" s="165"/>
      <c r="BB126" s="166"/>
      <c r="BC126" s="167"/>
      <c r="BD126" s="167"/>
      <c r="BE126" s="168"/>
      <c r="BF126" s="146"/>
      <c r="BG126" s="157"/>
      <c r="BH126" s="146"/>
      <c r="BI126" s="146"/>
      <c r="BJ126" s="146"/>
      <c r="BK126" s="170"/>
      <c r="BL126" s="170"/>
    </row>
    <row customHeight="true" ht="13.333333333333332" r="127">
      <c r="A127" s="145">
        <v>46116</v>
      </c>
      <c r="B127" s="146" t="s">
        <v>152</v>
      </c>
      <c r="C127" s="164"/>
      <c r="D127" s="146"/>
      <c r="E127" s="148"/>
      <c r="F127" s="148"/>
      <c r="G127" s="148"/>
      <c r="H127" s="146"/>
      <c r="I127" s="148"/>
      <c r="J127" s="150"/>
      <c r="K127" s="146"/>
      <c r="L127" s="146"/>
      <c r="M127" s="146"/>
      <c r="N127" s="148"/>
      <c r="O127" s="151"/>
      <c r="P127" s="151"/>
      <c r="Q127" s="146"/>
      <c r="R127" s="146"/>
      <c r="S127" s="146">
        <f>'法国ERP数据'!Z126</f>
      </c>
      <c r="T127" s="146"/>
      <c r="U127" s="146"/>
      <c r="V127" s="148"/>
      <c r="W127" s="146"/>
      <c r="X127" s="150"/>
      <c r="Y127" s="146"/>
      <c r="Z127" s="146"/>
      <c r="AA127" s="146"/>
      <c r="AB127" s="146"/>
      <c r="AC127" s="146"/>
      <c r="AD127" s="152"/>
      <c r="AE127" s="147"/>
      <c r="AF127" s="146"/>
      <c r="AG127" s="146"/>
      <c r="AH127" s="153"/>
      <c r="AI127" s="146"/>
      <c r="AJ127" s="154"/>
      <c r="AK127" s="146"/>
      <c r="AL127" s="155"/>
      <c r="AM127" s="156"/>
      <c r="AN127" s="148"/>
      <c r="AO127" s="154"/>
      <c r="AP127" s="155"/>
      <c r="AQ127" s="148"/>
      <c r="AR127" s="151"/>
      <c r="AS127" s="151"/>
      <c r="AT127" s="154"/>
      <c r="AU127" s="158"/>
      <c r="AV127" s="158"/>
      <c r="AW127" s="159"/>
      <c r="AX127" s="154"/>
      <c r="AY127" s="151"/>
      <c r="AZ127" s="151"/>
      <c r="BA127" s="165"/>
      <c r="BB127" s="166"/>
      <c r="BC127" s="167"/>
      <c r="BD127" s="167"/>
      <c r="BE127" s="168"/>
      <c r="BF127" s="146"/>
      <c r="BG127" s="157"/>
      <c r="BH127" s="146"/>
      <c r="BI127" s="146"/>
      <c r="BJ127" s="146"/>
      <c r="BK127" s="170"/>
      <c r="BL127" s="170"/>
    </row>
    <row customHeight="true" ht="13.333333333333332" r="128">
      <c r="A128" s="145">
        <v>46117</v>
      </c>
      <c r="B128" s="146" t="s">
        <v>153</v>
      </c>
      <c r="C128" s="164"/>
      <c r="D128" s="146"/>
      <c r="E128" s="148"/>
      <c r="F128" s="148"/>
      <c r="G128" s="148"/>
      <c r="H128" s="146"/>
      <c r="I128" s="148"/>
      <c r="J128" s="150"/>
      <c r="K128" s="146"/>
      <c r="L128" s="146"/>
      <c r="M128" s="146"/>
      <c r="N128" s="148"/>
      <c r="O128" s="151"/>
      <c r="P128" s="151"/>
      <c r="Q128" s="146"/>
      <c r="R128" s="146"/>
      <c r="S128" s="146">
        <f>'法国ERP数据'!Z127</f>
      </c>
      <c r="T128" s="146"/>
      <c r="U128" s="146"/>
      <c r="V128" s="148"/>
      <c r="W128" s="146"/>
      <c r="X128" s="150"/>
      <c r="Y128" s="146"/>
      <c r="Z128" s="146"/>
      <c r="AA128" s="146"/>
      <c r="AB128" s="146"/>
      <c r="AC128" s="146"/>
      <c r="AD128" s="152"/>
      <c r="AE128" s="147"/>
      <c r="AF128" s="146"/>
      <c r="AG128" s="146"/>
      <c r="AH128" s="153"/>
      <c r="AI128" s="146"/>
      <c r="AJ128" s="154"/>
      <c r="AK128" s="146"/>
      <c r="AL128" s="155"/>
      <c r="AM128" s="156"/>
      <c r="AN128" s="148"/>
      <c r="AO128" s="154"/>
      <c r="AP128" s="155"/>
      <c r="AQ128" s="148"/>
      <c r="AR128" s="151"/>
      <c r="AS128" s="151"/>
      <c r="AT128" s="154"/>
      <c r="AU128" s="158"/>
      <c r="AV128" s="158"/>
      <c r="AW128" s="159"/>
      <c r="AX128" s="154"/>
      <c r="AY128" s="151"/>
      <c r="AZ128" s="151"/>
      <c r="BA128" s="165"/>
      <c r="BB128" s="166"/>
      <c r="BC128" s="167"/>
      <c r="BD128" s="167"/>
      <c r="BE128" s="168"/>
      <c r="BF128" s="146"/>
      <c r="BG128" s="157"/>
      <c r="BH128" s="146"/>
      <c r="BI128" s="146"/>
      <c r="BJ128" s="146"/>
      <c r="BK128" s="170"/>
      <c r="BL128" s="170"/>
    </row>
    <row customHeight="true" ht="13.333333333333332" r="129">
      <c r="A129" s="145">
        <v>46118</v>
      </c>
      <c r="B129" s="146" t="s">
        <v>146</v>
      </c>
      <c r="C129" s="164"/>
      <c r="D129" s="146"/>
      <c r="E129" s="148"/>
      <c r="F129" s="148"/>
      <c r="G129" s="148"/>
      <c r="H129" s="146"/>
      <c r="I129" s="148"/>
      <c r="J129" s="150"/>
      <c r="K129" s="146"/>
      <c r="L129" s="146"/>
      <c r="M129" s="146"/>
      <c r="N129" s="148"/>
      <c r="O129" s="151"/>
      <c r="P129" s="151"/>
      <c r="Q129" s="146"/>
      <c r="R129" s="146"/>
      <c r="S129" s="146">
        <f>'法国ERP数据'!Z128</f>
      </c>
      <c r="T129" s="146"/>
      <c r="U129" s="146"/>
      <c r="V129" s="148"/>
      <c r="W129" s="146"/>
      <c r="X129" s="150"/>
      <c r="Y129" s="146"/>
      <c r="Z129" s="146"/>
      <c r="AA129" s="146"/>
      <c r="AB129" s="146"/>
      <c r="AC129" s="146"/>
      <c r="AD129" s="152"/>
      <c r="AE129" s="147"/>
      <c r="AF129" s="146"/>
      <c r="AG129" s="146"/>
      <c r="AH129" s="153"/>
      <c r="AI129" s="146"/>
      <c r="AJ129" s="154"/>
      <c r="AK129" s="146"/>
      <c r="AL129" s="155"/>
      <c r="AM129" s="156"/>
      <c r="AN129" s="148"/>
      <c r="AO129" s="154"/>
      <c r="AP129" s="155"/>
      <c r="AQ129" s="148"/>
      <c r="AR129" s="151"/>
      <c r="AS129" s="151"/>
      <c r="AT129" s="154"/>
      <c r="AU129" s="158"/>
      <c r="AV129" s="158"/>
      <c r="AW129" s="159"/>
      <c r="AX129" s="154"/>
      <c r="AY129" s="151"/>
      <c r="AZ129" s="151"/>
      <c r="BA129" s="165"/>
      <c r="BB129" s="166"/>
      <c r="BC129" s="167"/>
      <c r="BD129" s="167"/>
      <c r="BE129" s="168"/>
      <c r="BF129" s="146"/>
      <c r="BG129" s="157"/>
      <c r="BH129" s="146"/>
      <c r="BI129" s="146"/>
      <c r="BJ129" s="146"/>
      <c r="BK129" s="170"/>
      <c r="BL129" s="170"/>
    </row>
    <row customHeight="true" ht="13.333333333333332" r="130">
      <c r="A130" s="145">
        <v>46119</v>
      </c>
      <c r="B130" s="146" t="s">
        <v>148</v>
      </c>
      <c r="C130" s="164"/>
      <c r="D130" s="146"/>
      <c r="E130" s="148"/>
      <c r="F130" s="148"/>
      <c r="G130" s="148"/>
      <c r="H130" s="146"/>
      <c r="I130" s="148"/>
      <c r="J130" s="150"/>
      <c r="K130" s="146"/>
      <c r="L130" s="146"/>
      <c r="M130" s="146"/>
      <c r="N130" s="148"/>
      <c r="O130" s="151"/>
      <c r="P130" s="151"/>
      <c r="Q130" s="146"/>
      <c r="R130" s="146"/>
      <c r="S130" s="146">
        <f>'法国ERP数据'!Z129</f>
      </c>
      <c r="T130" s="146"/>
      <c r="U130" s="146"/>
      <c r="V130" s="148"/>
      <c r="W130" s="146"/>
      <c r="X130" s="150"/>
      <c r="Y130" s="146"/>
      <c r="Z130" s="146"/>
      <c r="AA130" s="146"/>
      <c r="AB130" s="146"/>
      <c r="AC130" s="146"/>
      <c r="AD130" s="152"/>
      <c r="AE130" s="147"/>
      <c r="AF130" s="146"/>
      <c r="AG130" s="146"/>
      <c r="AH130" s="153"/>
      <c r="AI130" s="146"/>
      <c r="AJ130" s="154"/>
      <c r="AK130" s="146"/>
      <c r="AL130" s="155"/>
      <c r="AM130" s="156"/>
      <c r="AN130" s="148"/>
      <c r="AO130" s="154"/>
      <c r="AP130" s="155"/>
      <c r="AQ130" s="148"/>
      <c r="AR130" s="151"/>
      <c r="AS130" s="151"/>
      <c r="AT130" s="154"/>
      <c r="AU130" s="158"/>
      <c r="AV130" s="158"/>
      <c r="AW130" s="159"/>
      <c r="AX130" s="154"/>
      <c r="AY130" s="151"/>
      <c r="AZ130" s="151"/>
      <c r="BA130" s="165"/>
      <c r="BB130" s="166"/>
      <c r="BC130" s="167"/>
      <c r="BD130" s="167"/>
      <c r="BE130" s="168"/>
      <c r="BF130" s="146"/>
      <c r="BG130" s="157"/>
      <c r="BH130" s="146"/>
      <c r="BI130" s="146"/>
      <c r="BJ130" s="146"/>
      <c r="BK130" s="170"/>
      <c r="BL130" s="170"/>
    </row>
    <row customHeight="true" ht="13.333333333333332" r="131">
      <c r="A131" s="145">
        <v>46120</v>
      </c>
      <c r="B131" s="146" t="s">
        <v>149</v>
      </c>
      <c r="C131" s="164"/>
      <c r="D131" s="146"/>
      <c r="E131" s="148"/>
      <c r="F131" s="148"/>
      <c r="G131" s="148"/>
      <c r="H131" s="146"/>
      <c r="I131" s="148"/>
      <c r="J131" s="150"/>
      <c r="K131" s="146"/>
      <c r="L131" s="146"/>
      <c r="M131" s="146"/>
      <c r="N131" s="148"/>
      <c r="O131" s="151"/>
      <c r="P131" s="151"/>
      <c r="Q131" s="146"/>
      <c r="R131" s="146"/>
      <c r="S131" s="146">
        <f>'法国ERP数据'!Z130</f>
      </c>
      <c r="T131" s="146"/>
      <c r="U131" s="146"/>
      <c r="V131" s="148"/>
      <c r="W131" s="146"/>
      <c r="X131" s="150"/>
      <c r="Y131" s="146"/>
      <c r="Z131" s="146"/>
      <c r="AA131" s="146"/>
      <c r="AB131" s="146"/>
      <c r="AC131" s="146"/>
      <c r="AD131" s="152"/>
      <c r="AE131" s="147"/>
      <c r="AF131" s="146"/>
      <c r="AG131" s="146"/>
      <c r="AH131" s="153"/>
      <c r="AI131" s="146"/>
      <c r="AJ131" s="154"/>
      <c r="AK131" s="146"/>
      <c r="AL131" s="155"/>
      <c r="AM131" s="156"/>
      <c r="AN131" s="148"/>
      <c r="AO131" s="154"/>
      <c r="AP131" s="155"/>
      <c r="AQ131" s="148"/>
      <c r="AR131" s="151"/>
      <c r="AS131" s="151"/>
      <c r="AT131" s="154"/>
      <c r="AU131" s="158"/>
      <c r="AV131" s="158"/>
      <c r="AW131" s="159"/>
      <c r="AX131" s="154"/>
      <c r="AY131" s="151"/>
      <c r="AZ131" s="151"/>
      <c r="BA131" s="165"/>
      <c r="BB131" s="166"/>
      <c r="BC131" s="167"/>
      <c r="BD131" s="167"/>
      <c r="BE131" s="168"/>
      <c r="BF131" s="146"/>
      <c r="BG131" s="157"/>
      <c r="BH131" s="146"/>
      <c r="BI131" s="146"/>
      <c r="BJ131" s="146"/>
      <c r="BK131" s="170"/>
      <c r="BL131" s="170"/>
    </row>
    <row customHeight="true" ht="13.333333333333332" r="132">
      <c r="A132" s="145">
        <v>46121</v>
      </c>
      <c r="B132" s="146" t="s">
        <v>150</v>
      </c>
      <c r="C132" s="164"/>
      <c r="D132" s="146"/>
      <c r="E132" s="148"/>
      <c r="F132" s="148"/>
      <c r="G132" s="148"/>
      <c r="H132" s="146"/>
      <c r="I132" s="148"/>
      <c r="J132" s="150"/>
      <c r="K132" s="146"/>
      <c r="L132" s="146"/>
      <c r="M132" s="146"/>
      <c r="N132" s="148"/>
      <c r="O132" s="151"/>
      <c r="P132" s="151"/>
      <c r="Q132" s="146"/>
      <c r="R132" s="146"/>
      <c r="S132" s="146">
        <f>'法国ERP数据'!Z131</f>
      </c>
      <c r="T132" s="146"/>
      <c r="U132" s="146"/>
      <c r="V132" s="148"/>
      <c r="W132" s="146"/>
      <c r="X132" s="150"/>
      <c r="Y132" s="146"/>
      <c r="Z132" s="146"/>
      <c r="AA132" s="146"/>
      <c r="AB132" s="146"/>
      <c r="AC132" s="146"/>
      <c r="AD132" s="152"/>
      <c r="AE132" s="147"/>
      <c r="AF132" s="146"/>
      <c r="AG132" s="146"/>
      <c r="AH132" s="153"/>
      <c r="AI132" s="146"/>
      <c r="AJ132" s="154"/>
      <c r="AK132" s="146"/>
      <c r="AL132" s="155"/>
      <c r="AM132" s="156"/>
      <c r="AN132" s="148"/>
      <c r="AO132" s="154"/>
      <c r="AP132" s="155"/>
      <c r="AQ132" s="148"/>
      <c r="AR132" s="151"/>
      <c r="AS132" s="151"/>
      <c r="AT132" s="154"/>
      <c r="AU132" s="158"/>
      <c r="AV132" s="158"/>
      <c r="AW132" s="159"/>
      <c r="AX132" s="154"/>
      <c r="AY132" s="151"/>
      <c r="AZ132" s="151"/>
      <c r="BA132" s="165"/>
      <c r="BB132" s="166"/>
      <c r="BC132" s="167"/>
      <c r="BD132" s="167"/>
      <c r="BE132" s="168"/>
      <c r="BF132" s="146"/>
      <c r="BG132" s="157"/>
      <c r="BH132" s="146"/>
      <c r="BI132" s="146"/>
      <c r="BJ132" s="146"/>
      <c r="BK132" s="170"/>
      <c r="BL132" s="170"/>
    </row>
    <row customHeight="true" ht="13.333333333333332" r="133">
      <c r="A133" s="145">
        <v>46122</v>
      </c>
      <c r="B133" s="146" t="s">
        <v>151</v>
      </c>
      <c r="C133" s="147"/>
      <c r="D133" s="146"/>
      <c r="E133" s="148"/>
      <c r="F133" s="148"/>
      <c r="G133" s="148"/>
      <c r="H133" s="146"/>
      <c r="I133" s="148"/>
      <c r="J133" s="150"/>
      <c r="K133" s="146"/>
      <c r="L133" s="146"/>
      <c r="M133" s="146"/>
      <c r="N133" s="148"/>
      <c r="O133" s="151"/>
      <c r="P133" s="151"/>
      <c r="Q133" s="146"/>
      <c r="R133" s="146"/>
      <c r="S133" s="146">
        <f>'法国ERP数据'!Z132</f>
      </c>
      <c r="T133" s="146"/>
      <c r="U133" s="146"/>
      <c r="V133" s="148"/>
      <c r="W133" s="146"/>
      <c r="X133" s="150"/>
      <c r="Y133" s="146"/>
      <c r="Z133" s="146"/>
      <c r="AA133" s="146"/>
      <c r="AB133" s="146"/>
      <c r="AC133" s="146"/>
      <c r="AD133" s="152"/>
      <c r="AE133" s="147"/>
      <c r="AF133" s="146"/>
      <c r="AG133" s="146"/>
      <c r="AH133" s="153"/>
      <c r="AI133" s="146"/>
      <c r="AJ133" s="154"/>
      <c r="AK133" s="146"/>
      <c r="AL133" s="155"/>
      <c r="AM133" s="156"/>
      <c r="AN133" s="148"/>
      <c r="AO133" s="154"/>
      <c r="AP133" s="155"/>
      <c r="AQ133" s="148"/>
      <c r="AR133" s="151"/>
      <c r="AS133" s="151"/>
      <c r="AT133" s="154"/>
      <c r="AU133" s="158"/>
      <c r="AV133" s="158"/>
      <c r="AW133" s="159"/>
      <c r="AX133" s="154"/>
      <c r="AY133" s="151"/>
      <c r="AZ133" s="151"/>
      <c r="BA133" s="165"/>
      <c r="BB133" s="166"/>
      <c r="BC133" s="167"/>
      <c r="BD133" s="167"/>
      <c r="BE133" s="168"/>
      <c r="BF133" s="146"/>
      <c r="BG133" s="157"/>
      <c r="BH133" s="146"/>
      <c r="BI133" s="146"/>
      <c r="BJ133" s="146"/>
      <c r="BK133" s="170"/>
      <c r="BL133" s="170"/>
    </row>
    <row customHeight="true" ht="13.333333333333332" r="134">
      <c r="A134" s="145">
        <v>46123</v>
      </c>
      <c r="B134" s="146" t="s">
        <v>152</v>
      </c>
      <c r="C134" s="164"/>
      <c r="D134" s="146"/>
      <c r="E134" s="148"/>
      <c r="F134" s="148"/>
      <c r="G134" s="148"/>
      <c r="H134" s="146"/>
      <c r="I134" s="148"/>
      <c r="J134" s="150"/>
      <c r="K134" s="146"/>
      <c r="L134" s="146"/>
      <c r="M134" s="146"/>
      <c r="N134" s="148"/>
      <c r="O134" s="151"/>
      <c r="P134" s="151"/>
      <c r="Q134" s="146"/>
      <c r="R134" s="146"/>
      <c r="S134" s="146">
        <f>'法国ERP数据'!Z133</f>
      </c>
      <c r="T134" s="146"/>
      <c r="U134" s="146"/>
      <c r="V134" s="148"/>
      <c r="W134" s="146"/>
      <c r="X134" s="150"/>
      <c r="Y134" s="146"/>
      <c r="Z134" s="146"/>
      <c r="AA134" s="146"/>
      <c r="AB134" s="146"/>
      <c r="AC134" s="146"/>
      <c r="AD134" s="152"/>
      <c r="AE134" s="147"/>
      <c r="AF134" s="146"/>
      <c r="AG134" s="146"/>
      <c r="AH134" s="153"/>
      <c r="AI134" s="146"/>
      <c r="AJ134" s="154"/>
      <c r="AK134" s="146"/>
      <c r="AL134" s="155"/>
      <c r="AM134" s="156"/>
      <c r="AN134" s="148"/>
      <c r="AO134" s="154"/>
      <c r="AP134" s="155"/>
      <c r="AQ134" s="148"/>
      <c r="AR134" s="151"/>
      <c r="AS134" s="151"/>
      <c r="AT134" s="154"/>
      <c r="AU134" s="158"/>
      <c r="AV134" s="158"/>
      <c r="AW134" s="159"/>
      <c r="AX134" s="154"/>
      <c r="AY134" s="151"/>
      <c r="AZ134" s="151"/>
      <c r="BA134" s="165"/>
      <c r="BB134" s="166"/>
      <c r="BC134" s="167"/>
      <c r="BD134" s="167"/>
      <c r="BE134" s="168"/>
      <c r="BF134" s="146"/>
      <c r="BG134" s="157"/>
      <c r="BH134" s="146"/>
      <c r="BI134" s="146"/>
      <c r="BJ134" s="146"/>
      <c r="BK134" s="170"/>
      <c r="BL134" s="170"/>
    </row>
    <row customHeight="true" ht="13.333333333333332" r="135">
      <c r="A135" s="145">
        <v>46124</v>
      </c>
      <c r="B135" s="146" t="s">
        <v>153</v>
      </c>
      <c r="C135" s="164"/>
      <c r="D135" s="146"/>
      <c r="E135" s="148"/>
      <c r="F135" s="148"/>
      <c r="G135" s="148"/>
      <c r="H135" s="146"/>
      <c r="I135" s="148"/>
      <c r="J135" s="150"/>
      <c r="K135" s="146"/>
      <c r="L135" s="146"/>
      <c r="M135" s="146"/>
      <c r="N135" s="148"/>
      <c r="O135" s="151"/>
      <c r="P135" s="151"/>
      <c r="Q135" s="146"/>
      <c r="R135" s="146"/>
      <c r="S135" s="146">
        <f>'法国ERP数据'!Z134</f>
      </c>
      <c r="T135" s="146"/>
      <c r="U135" s="146"/>
      <c r="V135" s="148"/>
      <c r="W135" s="146"/>
      <c r="X135" s="150"/>
      <c r="Y135" s="146"/>
      <c r="Z135" s="146"/>
      <c r="AA135" s="146"/>
      <c r="AB135" s="146"/>
      <c r="AC135" s="146"/>
      <c r="AD135" s="152"/>
      <c r="AE135" s="147"/>
      <c r="AF135" s="146"/>
      <c r="AG135" s="146"/>
      <c r="AH135" s="153"/>
      <c r="AI135" s="146"/>
      <c r="AJ135" s="154"/>
      <c r="AK135" s="146"/>
      <c r="AL135" s="155"/>
      <c r="AM135" s="156"/>
      <c r="AN135" s="148"/>
      <c r="AO135" s="154"/>
      <c r="AP135" s="155"/>
      <c r="AQ135" s="148"/>
      <c r="AR135" s="151"/>
      <c r="AS135" s="151"/>
      <c r="AT135" s="154"/>
      <c r="AU135" s="158"/>
      <c r="AV135" s="158"/>
      <c r="AW135" s="159"/>
      <c r="AX135" s="154"/>
      <c r="AY135" s="151"/>
      <c r="AZ135" s="151"/>
      <c r="BA135" s="165"/>
      <c r="BB135" s="166"/>
      <c r="BC135" s="167"/>
      <c r="BD135" s="167"/>
      <c r="BE135" s="168"/>
      <c r="BF135" s="146"/>
      <c r="BG135" s="157"/>
      <c r="BH135" s="146"/>
      <c r="BI135" s="146"/>
      <c r="BJ135" s="146"/>
      <c r="BK135" s="170"/>
      <c r="BL135" s="170"/>
    </row>
    <row customHeight="true" ht="13.333333333333332" r="136">
      <c r="A136" s="145">
        <v>46125</v>
      </c>
      <c r="B136" s="146" t="s">
        <v>146</v>
      </c>
      <c r="C136" s="164"/>
      <c r="D136" s="146"/>
      <c r="E136" s="148"/>
      <c r="F136" s="148"/>
      <c r="G136" s="148"/>
      <c r="H136" s="146"/>
      <c r="I136" s="148"/>
      <c r="J136" s="150"/>
      <c r="K136" s="146"/>
      <c r="L136" s="146"/>
      <c r="M136" s="146"/>
      <c r="N136" s="148"/>
      <c r="O136" s="151"/>
      <c r="P136" s="151"/>
      <c r="Q136" s="146"/>
      <c r="R136" s="146"/>
      <c r="S136" s="146">
        <f>'法国ERP数据'!Z135</f>
      </c>
      <c r="T136" s="146"/>
      <c r="U136" s="146"/>
      <c r="V136" s="148"/>
      <c r="W136" s="146"/>
      <c r="X136" s="150"/>
      <c r="Y136" s="146"/>
      <c r="Z136" s="146"/>
      <c r="AA136" s="146"/>
      <c r="AB136" s="146"/>
      <c r="AC136" s="146"/>
      <c r="AD136" s="152"/>
      <c r="AE136" s="147"/>
      <c r="AF136" s="146"/>
      <c r="AG136" s="146"/>
      <c r="AH136" s="153"/>
      <c r="AI136" s="146"/>
      <c r="AJ136" s="154"/>
      <c r="AK136" s="146"/>
      <c r="AL136" s="155"/>
      <c r="AM136" s="156"/>
      <c r="AN136" s="148"/>
      <c r="AO136" s="154"/>
      <c r="AP136" s="155"/>
      <c r="AQ136" s="148"/>
      <c r="AR136" s="151"/>
      <c r="AS136" s="151"/>
      <c r="AT136" s="154"/>
      <c r="AU136" s="158"/>
      <c r="AV136" s="158"/>
      <c r="AW136" s="159"/>
      <c r="AX136" s="154"/>
      <c r="AY136" s="151"/>
      <c r="AZ136" s="151"/>
      <c r="BA136" s="165"/>
      <c r="BB136" s="166"/>
      <c r="BC136" s="167"/>
      <c r="BD136" s="167"/>
      <c r="BE136" s="168"/>
      <c r="BF136" s="146"/>
      <c r="BG136" s="157"/>
      <c r="BH136" s="146"/>
      <c r="BI136" s="146"/>
      <c r="BJ136" s="146"/>
      <c r="BK136" s="170"/>
      <c r="BL136" s="170"/>
    </row>
    <row customHeight="true" ht="13.333333333333332" r="137">
      <c r="A137" s="145">
        <v>46126</v>
      </c>
      <c r="B137" s="146" t="s">
        <v>148</v>
      </c>
      <c r="C137" s="164"/>
      <c r="D137" s="146"/>
      <c r="E137" s="148"/>
      <c r="F137" s="148"/>
      <c r="G137" s="148"/>
      <c r="H137" s="146"/>
      <c r="I137" s="148"/>
      <c r="J137" s="150"/>
      <c r="K137" s="146"/>
      <c r="L137" s="146"/>
      <c r="M137" s="146"/>
      <c r="N137" s="148"/>
      <c r="O137" s="151"/>
      <c r="P137" s="151"/>
      <c r="Q137" s="146"/>
      <c r="R137" s="146"/>
      <c r="S137" s="146">
        <f>'法国ERP数据'!Z136</f>
      </c>
      <c r="T137" s="146"/>
      <c r="U137" s="146"/>
      <c r="V137" s="148"/>
      <c r="W137" s="146"/>
      <c r="X137" s="150"/>
      <c r="Y137" s="146"/>
      <c r="Z137" s="146"/>
      <c r="AA137" s="146"/>
      <c r="AB137" s="146"/>
      <c r="AC137" s="146"/>
      <c r="AD137" s="152"/>
      <c r="AE137" s="147"/>
      <c r="AF137" s="146"/>
      <c r="AG137" s="146"/>
      <c r="AH137" s="153"/>
      <c r="AI137" s="146"/>
      <c r="AJ137" s="154"/>
      <c r="AK137" s="146"/>
      <c r="AL137" s="155"/>
      <c r="AM137" s="156"/>
      <c r="AN137" s="148"/>
      <c r="AO137" s="154"/>
      <c r="AP137" s="155"/>
      <c r="AQ137" s="148"/>
      <c r="AR137" s="151"/>
      <c r="AS137" s="151"/>
      <c r="AT137" s="154"/>
      <c r="AU137" s="158"/>
      <c r="AV137" s="158"/>
      <c r="AW137" s="159"/>
      <c r="AX137" s="154"/>
      <c r="AY137" s="151"/>
      <c r="AZ137" s="151"/>
      <c r="BA137" s="165"/>
      <c r="BB137" s="166"/>
      <c r="BC137" s="167"/>
      <c r="BD137" s="167"/>
      <c r="BE137" s="168"/>
      <c r="BF137" s="146"/>
      <c r="BG137" s="157"/>
      <c r="BH137" s="146"/>
      <c r="BI137" s="146"/>
      <c r="BJ137" s="146"/>
      <c r="BK137" s="170"/>
      <c r="BL137" s="170"/>
    </row>
    <row customHeight="true" ht="13.333333333333332" r="138">
      <c r="A138" s="145">
        <v>46127</v>
      </c>
      <c r="B138" s="146" t="s">
        <v>149</v>
      </c>
      <c r="C138" s="164"/>
      <c r="D138" s="146"/>
      <c r="E138" s="148"/>
      <c r="F138" s="148"/>
      <c r="G138" s="148"/>
      <c r="H138" s="146"/>
      <c r="I138" s="148"/>
      <c r="J138" s="150"/>
      <c r="K138" s="146"/>
      <c r="L138" s="146"/>
      <c r="M138" s="146"/>
      <c r="N138" s="148"/>
      <c r="O138" s="151"/>
      <c r="P138" s="151"/>
      <c r="Q138" s="146"/>
      <c r="R138" s="146"/>
      <c r="S138" s="146">
        <f>'法国ERP数据'!Z137</f>
      </c>
      <c r="T138" s="146"/>
      <c r="U138" s="146"/>
      <c r="V138" s="148"/>
      <c r="W138" s="146"/>
      <c r="X138" s="150"/>
      <c r="Y138" s="146"/>
      <c r="Z138" s="146"/>
      <c r="AA138" s="146"/>
      <c r="AB138" s="146"/>
      <c r="AC138" s="146"/>
      <c r="AD138" s="152"/>
      <c r="AE138" s="147"/>
      <c r="AF138" s="146"/>
      <c r="AG138" s="146"/>
      <c r="AH138" s="153"/>
      <c r="AI138" s="146"/>
      <c r="AJ138" s="154"/>
      <c r="AK138" s="146"/>
      <c r="AL138" s="155"/>
      <c r="AM138" s="156"/>
      <c r="AN138" s="148"/>
      <c r="AO138" s="154"/>
      <c r="AP138" s="155"/>
      <c r="AQ138" s="148"/>
      <c r="AR138" s="151"/>
      <c r="AS138" s="151"/>
      <c r="AT138" s="154"/>
      <c r="AU138" s="158"/>
      <c r="AV138" s="158"/>
      <c r="AW138" s="159"/>
      <c r="AX138" s="154"/>
      <c r="AY138" s="151"/>
      <c r="AZ138" s="151"/>
      <c r="BA138" s="165"/>
      <c r="BB138" s="166"/>
      <c r="BC138" s="167"/>
      <c r="BD138" s="167"/>
      <c r="BE138" s="168"/>
      <c r="BF138" s="146"/>
      <c r="BG138" s="157"/>
      <c r="BH138" s="146"/>
      <c r="BI138" s="146"/>
      <c r="BJ138" s="146"/>
      <c r="BK138" s="170"/>
      <c r="BL138" s="170"/>
    </row>
    <row customHeight="true" ht="13.333333333333332" r="139">
      <c r="A139" s="145">
        <v>46128</v>
      </c>
      <c r="B139" s="146" t="s">
        <v>150</v>
      </c>
      <c r="C139" s="164"/>
      <c r="D139" s="146"/>
      <c r="E139" s="148"/>
      <c r="F139" s="148"/>
      <c r="G139" s="148"/>
      <c r="H139" s="146"/>
      <c r="I139" s="148"/>
      <c r="J139" s="150"/>
      <c r="K139" s="146"/>
      <c r="L139" s="146"/>
      <c r="M139" s="146"/>
      <c r="N139" s="148"/>
      <c r="O139" s="151"/>
      <c r="P139" s="151"/>
      <c r="Q139" s="146"/>
      <c r="R139" s="146"/>
      <c r="S139" s="146">
        <f>'法国ERP数据'!Z138</f>
      </c>
      <c r="T139" s="146"/>
      <c r="U139" s="146"/>
      <c r="V139" s="148"/>
      <c r="W139" s="146"/>
      <c r="X139" s="150"/>
      <c r="Y139" s="146"/>
      <c r="Z139" s="146"/>
      <c r="AA139" s="146"/>
      <c r="AB139" s="146"/>
      <c r="AC139" s="146"/>
      <c r="AD139" s="152"/>
      <c r="AE139" s="147"/>
      <c r="AF139" s="146"/>
      <c r="AG139" s="146"/>
      <c r="AH139" s="153"/>
      <c r="AI139" s="146"/>
      <c r="AJ139" s="154"/>
      <c r="AK139" s="146"/>
      <c r="AL139" s="155"/>
      <c r="AM139" s="156"/>
      <c r="AN139" s="148"/>
      <c r="AO139" s="154"/>
      <c r="AP139" s="155"/>
      <c r="AQ139" s="148"/>
      <c r="AR139" s="151"/>
      <c r="AS139" s="151"/>
      <c r="AT139" s="154"/>
      <c r="AU139" s="158"/>
      <c r="AV139" s="158"/>
      <c r="AW139" s="159"/>
      <c r="AX139" s="154"/>
      <c r="AY139" s="151"/>
      <c r="AZ139" s="151"/>
      <c r="BA139" s="165"/>
      <c r="BB139" s="166"/>
      <c r="BC139" s="167"/>
      <c r="BD139" s="167"/>
      <c r="BE139" s="168"/>
      <c r="BF139" s="146"/>
      <c r="BG139" s="157"/>
      <c r="BH139" s="146"/>
      <c r="BI139" s="146"/>
      <c r="BJ139" s="146"/>
      <c r="BK139" s="170"/>
      <c r="BL139" s="170"/>
    </row>
    <row customHeight="true" ht="13.333333333333332" r="140">
      <c r="A140" s="145">
        <v>46129</v>
      </c>
      <c r="B140" s="146" t="s">
        <v>151</v>
      </c>
      <c r="C140" s="164"/>
      <c r="D140" s="146"/>
      <c r="E140" s="148"/>
      <c r="F140" s="148"/>
      <c r="G140" s="148"/>
      <c r="H140" s="146"/>
      <c r="I140" s="148"/>
      <c r="J140" s="150"/>
      <c r="K140" s="146"/>
      <c r="L140" s="146"/>
      <c r="M140" s="146"/>
      <c r="N140" s="148"/>
      <c r="O140" s="151"/>
      <c r="P140" s="151"/>
      <c r="Q140" s="146"/>
      <c r="R140" s="146"/>
      <c r="S140" s="146">
        <f>'法国ERP数据'!Z139</f>
      </c>
      <c r="T140" s="146"/>
      <c r="U140" s="146"/>
      <c r="V140" s="148"/>
      <c r="W140" s="146"/>
      <c r="X140" s="150"/>
      <c r="Y140" s="146"/>
      <c r="Z140" s="146"/>
      <c r="AA140" s="146"/>
      <c r="AB140" s="146"/>
      <c r="AC140" s="146"/>
      <c r="AD140" s="152"/>
      <c r="AE140" s="147"/>
      <c r="AF140" s="146"/>
      <c r="AG140" s="146"/>
      <c r="AH140" s="153"/>
      <c r="AI140" s="146"/>
      <c r="AJ140" s="154"/>
      <c r="AK140" s="146"/>
      <c r="AL140" s="155"/>
      <c r="AM140" s="156"/>
      <c r="AN140" s="148"/>
      <c r="AO140" s="154"/>
      <c r="AP140" s="155"/>
      <c r="AQ140" s="148"/>
      <c r="AR140" s="151"/>
      <c r="AS140" s="151"/>
      <c r="AT140" s="154"/>
      <c r="AU140" s="158"/>
      <c r="AV140" s="158"/>
      <c r="AW140" s="159"/>
      <c r="AX140" s="154"/>
      <c r="AY140" s="151"/>
      <c r="AZ140" s="151"/>
      <c r="BA140" s="165"/>
      <c r="BB140" s="166"/>
      <c r="BC140" s="167"/>
      <c r="BD140" s="167"/>
      <c r="BE140" s="168"/>
      <c r="BF140" s="146"/>
      <c r="BG140" s="157"/>
      <c r="BH140" s="146"/>
      <c r="BI140" s="146"/>
      <c r="BJ140" s="146"/>
      <c r="BK140" s="170"/>
      <c r="BL140" s="170"/>
    </row>
    <row customHeight="true" ht="13.333333333333332" r="141">
      <c r="A141" s="145">
        <v>46130</v>
      </c>
      <c r="B141" s="146" t="s">
        <v>152</v>
      </c>
      <c r="C141" s="164"/>
      <c r="D141" s="146"/>
      <c r="E141" s="148"/>
      <c r="F141" s="148"/>
      <c r="G141" s="148"/>
      <c r="H141" s="146"/>
      <c r="I141" s="148"/>
      <c r="J141" s="150"/>
      <c r="K141" s="146"/>
      <c r="L141" s="146"/>
      <c r="M141" s="146"/>
      <c r="N141" s="148"/>
      <c r="O141" s="151"/>
      <c r="P141" s="151"/>
      <c r="Q141" s="146"/>
      <c r="R141" s="146"/>
      <c r="S141" s="146">
        <f>'法国ERP数据'!Z140</f>
      </c>
      <c r="T141" s="146"/>
      <c r="U141" s="146"/>
      <c r="V141" s="148"/>
      <c r="W141" s="146"/>
      <c r="X141" s="150"/>
      <c r="Y141" s="146"/>
      <c r="Z141" s="146"/>
      <c r="AA141" s="146"/>
      <c r="AB141" s="146"/>
      <c r="AC141" s="146"/>
      <c r="AD141" s="152"/>
      <c r="AE141" s="147"/>
      <c r="AF141" s="146"/>
      <c r="AG141" s="146"/>
      <c r="AH141" s="153"/>
      <c r="AI141" s="146"/>
      <c r="AJ141" s="154"/>
      <c r="AK141" s="146"/>
      <c r="AL141" s="155"/>
      <c r="AM141" s="156"/>
      <c r="AN141" s="148"/>
      <c r="AO141" s="154"/>
      <c r="AP141" s="155"/>
      <c r="AQ141" s="148"/>
      <c r="AR141" s="151"/>
      <c r="AS141" s="151"/>
      <c r="AT141" s="154"/>
      <c r="AU141" s="158"/>
      <c r="AV141" s="158"/>
      <c r="AW141" s="159"/>
      <c r="AX141" s="154"/>
      <c r="AY141" s="151"/>
      <c r="AZ141" s="151"/>
      <c r="BA141" s="165"/>
      <c r="BB141" s="166"/>
      <c r="BC141" s="167"/>
      <c r="BD141" s="167"/>
      <c r="BE141" s="168"/>
      <c r="BF141" s="146"/>
      <c r="BG141" s="157"/>
      <c r="BH141" s="146"/>
      <c r="BI141" s="146"/>
      <c r="BJ141" s="146"/>
      <c r="BK141" s="170"/>
      <c r="BL141" s="170"/>
    </row>
    <row customHeight="true" ht="13.333333333333332" r="142">
      <c r="A142" s="145">
        <v>46131</v>
      </c>
      <c r="B142" s="146" t="s">
        <v>153</v>
      </c>
      <c r="C142" s="164"/>
      <c r="D142" s="146"/>
      <c r="E142" s="148"/>
      <c r="F142" s="148"/>
      <c r="G142" s="148"/>
      <c r="H142" s="146"/>
      <c r="I142" s="148"/>
      <c r="J142" s="150"/>
      <c r="K142" s="146"/>
      <c r="L142" s="146"/>
      <c r="M142" s="146"/>
      <c r="N142" s="148"/>
      <c r="O142" s="151"/>
      <c r="P142" s="151"/>
      <c r="Q142" s="146"/>
      <c r="R142" s="146"/>
      <c r="S142" s="146">
        <f>'法国ERP数据'!Z141</f>
      </c>
      <c r="T142" s="146"/>
      <c r="U142" s="146"/>
      <c r="V142" s="148"/>
      <c r="W142" s="146"/>
      <c r="X142" s="150"/>
      <c r="Y142" s="146"/>
      <c r="Z142" s="146"/>
      <c r="AA142" s="146"/>
      <c r="AB142" s="146"/>
      <c r="AC142" s="146"/>
      <c r="AD142" s="152"/>
      <c r="AE142" s="147"/>
      <c r="AF142" s="146"/>
      <c r="AG142" s="146"/>
      <c r="AH142" s="153"/>
      <c r="AI142" s="146"/>
      <c r="AJ142" s="154"/>
      <c r="AK142" s="146"/>
      <c r="AL142" s="155"/>
      <c r="AM142" s="156"/>
      <c r="AN142" s="148"/>
      <c r="AO142" s="154"/>
      <c r="AP142" s="155"/>
      <c r="AQ142" s="148"/>
      <c r="AR142" s="151"/>
      <c r="AS142" s="151"/>
      <c r="AT142" s="154"/>
      <c r="AU142" s="158"/>
      <c r="AV142" s="158"/>
      <c r="AW142" s="159"/>
      <c r="AX142" s="154"/>
      <c r="AY142" s="151"/>
      <c r="AZ142" s="151"/>
      <c r="BA142" s="165"/>
      <c r="BB142" s="166"/>
      <c r="BC142" s="167"/>
      <c r="BD142" s="167"/>
      <c r="BE142" s="168"/>
      <c r="BF142" s="146"/>
      <c r="BG142" s="157"/>
      <c r="BH142" s="146"/>
      <c r="BI142" s="146"/>
      <c r="BJ142" s="146"/>
      <c r="BK142" s="170"/>
      <c r="BL142" s="170"/>
    </row>
    <row customHeight="true" ht="13.333333333333332" r="143">
      <c r="A143" s="145">
        <v>46132</v>
      </c>
      <c r="B143" s="146" t="s">
        <v>146</v>
      </c>
      <c r="C143" s="164"/>
      <c r="D143" s="146"/>
      <c r="E143" s="148"/>
      <c r="F143" s="148"/>
      <c r="G143" s="148"/>
      <c r="H143" s="146"/>
      <c r="I143" s="148"/>
      <c r="J143" s="150"/>
      <c r="K143" s="146"/>
      <c r="L143" s="146"/>
      <c r="M143" s="146"/>
      <c r="N143" s="148"/>
      <c r="O143" s="151"/>
      <c r="P143" s="151"/>
      <c r="Q143" s="146"/>
      <c r="R143" s="146"/>
      <c r="S143" s="146">
        <f>'法国ERP数据'!Z142</f>
      </c>
      <c r="T143" s="146"/>
      <c r="U143" s="146"/>
      <c r="V143" s="148"/>
      <c r="W143" s="146"/>
      <c r="X143" s="150"/>
      <c r="Y143" s="146"/>
      <c r="Z143" s="146"/>
      <c r="AA143" s="146"/>
      <c r="AB143" s="146"/>
      <c r="AC143" s="146"/>
      <c r="AD143" s="152"/>
      <c r="AE143" s="147"/>
      <c r="AF143" s="146"/>
      <c r="AG143" s="146"/>
      <c r="AH143" s="153"/>
      <c r="AI143" s="146"/>
      <c r="AJ143" s="154"/>
      <c r="AK143" s="146"/>
      <c r="AL143" s="155"/>
      <c r="AM143" s="156"/>
      <c r="AN143" s="148"/>
      <c r="AO143" s="154"/>
      <c r="AP143" s="155"/>
      <c r="AQ143" s="148"/>
      <c r="AR143" s="151"/>
      <c r="AS143" s="151"/>
      <c r="AT143" s="154"/>
      <c r="AU143" s="158"/>
      <c r="AV143" s="158"/>
      <c r="AW143" s="159"/>
      <c r="AX143" s="154"/>
      <c r="AY143" s="151"/>
      <c r="AZ143" s="151"/>
      <c r="BA143" s="165"/>
      <c r="BB143" s="166"/>
      <c r="BC143" s="167"/>
      <c r="BD143" s="167"/>
      <c r="BE143" s="168"/>
      <c r="BF143" s="146"/>
      <c r="BG143" s="157"/>
      <c r="BH143" s="146"/>
      <c r="BI143" s="146"/>
      <c r="BJ143" s="146"/>
      <c r="BK143" s="170"/>
      <c r="BL143" s="170"/>
    </row>
    <row customHeight="true" ht="13.333333333333332" r="144">
      <c r="A144" s="145">
        <v>46133</v>
      </c>
      <c r="B144" s="146" t="s">
        <v>148</v>
      </c>
      <c r="C144" s="164"/>
      <c r="D144" s="146"/>
      <c r="E144" s="148"/>
      <c r="F144" s="148"/>
      <c r="G144" s="148"/>
      <c r="H144" s="146"/>
      <c r="I144" s="148"/>
      <c r="J144" s="150"/>
      <c r="K144" s="146"/>
      <c r="L144" s="146"/>
      <c r="M144" s="146"/>
      <c r="N144" s="148"/>
      <c r="O144" s="151"/>
      <c r="P144" s="151"/>
      <c r="Q144" s="146"/>
      <c r="R144" s="146"/>
      <c r="S144" s="146">
        <f>'法国ERP数据'!Z143</f>
      </c>
      <c r="T144" s="146"/>
      <c r="U144" s="146"/>
      <c r="V144" s="148"/>
      <c r="W144" s="146"/>
      <c r="X144" s="150"/>
      <c r="Y144" s="146"/>
      <c r="Z144" s="146"/>
      <c r="AA144" s="146"/>
      <c r="AB144" s="146"/>
      <c r="AC144" s="146"/>
      <c r="AD144" s="152"/>
      <c r="AE144" s="147"/>
      <c r="AF144" s="146"/>
      <c r="AG144" s="146"/>
      <c r="AH144" s="153"/>
      <c r="AI144" s="146"/>
      <c r="AJ144" s="154"/>
      <c r="AK144" s="146"/>
      <c r="AL144" s="155"/>
      <c r="AM144" s="156"/>
      <c r="AN144" s="148"/>
      <c r="AO144" s="154"/>
      <c r="AP144" s="155"/>
      <c r="AQ144" s="148"/>
      <c r="AR144" s="151"/>
      <c r="AS144" s="151"/>
      <c r="AT144" s="154"/>
      <c r="AU144" s="158"/>
      <c r="AV144" s="158"/>
      <c r="AW144" s="159"/>
      <c r="AX144" s="154"/>
      <c r="AY144" s="151"/>
      <c r="AZ144" s="151"/>
      <c r="BA144" s="165"/>
      <c r="BB144" s="166"/>
      <c r="BC144" s="167"/>
      <c r="BD144" s="167"/>
      <c r="BE144" s="168"/>
      <c r="BF144" s="146"/>
      <c r="BG144" s="157"/>
      <c r="BH144" s="146"/>
      <c r="BI144" s="146"/>
      <c r="BJ144" s="146"/>
      <c r="BK144" s="170"/>
      <c r="BL144" s="170"/>
    </row>
    <row customHeight="true" ht="13.333333333333332" r="145">
      <c r="A145" s="145">
        <v>46134</v>
      </c>
      <c r="B145" s="146" t="s">
        <v>149</v>
      </c>
      <c r="C145" s="164"/>
      <c r="D145" s="146"/>
      <c r="E145" s="148"/>
      <c r="F145" s="148"/>
      <c r="G145" s="148"/>
      <c r="H145" s="146"/>
      <c r="I145" s="148"/>
      <c r="J145" s="150"/>
      <c r="K145" s="146"/>
      <c r="L145" s="146"/>
      <c r="M145" s="146"/>
      <c r="N145" s="148"/>
      <c r="O145" s="151"/>
      <c r="P145" s="151"/>
      <c r="Q145" s="146"/>
      <c r="R145" s="146"/>
      <c r="S145" s="146">
        <f>'法国ERP数据'!Z144</f>
      </c>
      <c r="T145" s="146"/>
      <c r="U145" s="146"/>
      <c r="V145" s="148"/>
      <c r="W145" s="146"/>
      <c r="X145" s="150"/>
      <c r="Y145" s="146"/>
      <c r="Z145" s="146"/>
      <c r="AA145" s="146"/>
      <c r="AB145" s="146"/>
      <c r="AC145" s="146"/>
      <c r="AD145" s="152"/>
      <c r="AE145" s="147"/>
      <c r="AF145" s="146"/>
      <c r="AG145" s="146"/>
      <c r="AH145" s="153"/>
      <c r="AI145" s="146"/>
      <c r="AJ145" s="154"/>
      <c r="AK145" s="146"/>
      <c r="AL145" s="155"/>
      <c r="AM145" s="156"/>
      <c r="AN145" s="148"/>
      <c r="AO145" s="154"/>
      <c r="AP145" s="155"/>
      <c r="AQ145" s="148"/>
      <c r="AR145" s="151"/>
      <c r="AS145" s="151"/>
      <c r="AT145" s="154"/>
      <c r="AU145" s="158"/>
      <c r="AV145" s="158"/>
      <c r="AW145" s="159"/>
      <c r="AX145" s="154"/>
      <c r="AY145" s="151"/>
      <c r="AZ145" s="151"/>
      <c r="BA145" s="165"/>
      <c r="BB145" s="166"/>
      <c r="BC145" s="167"/>
      <c r="BD145" s="167"/>
      <c r="BE145" s="168"/>
      <c r="BF145" s="146"/>
      <c r="BG145" s="157"/>
      <c r="BH145" s="146"/>
      <c r="BI145" s="146"/>
      <c r="BJ145" s="146"/>
      <c r="BK145" s="170"/>
      <c r="BL145" s="170"/>
    </row>
    <row customHeight="true" ht="13.333333333333332" r="146">
      <c r="A146" s="145">
        <v>46135</v>
      </c>
      <c r="B146" s="146" t="s">
        <v>150</v>
      </c>
      <c r="C146" s="164"/>
      <c r="D146" s="146"/>
      <c r="E146" s="148"/>
      <c r="F146" s="148"/>
      <c r="G146" s="148"/>
      <c r="H146" s="146"/>
      <c r="I146" s="148"/>
      <c r="J146" s="150"/>
      <c r="K146" s="146"/>
      <c r="L146" s="146"/>
      <c r="M146" s="146"/>
      <c r="N146" s="148"/>
      <c r="O146" s="151"/>
      <c r="P146" s="151"/>
      <c r="Q146" s="146"/>
      <c r="R146" s="146"/>
      <c r="S146" s="146">
        <f>'法国ERP数据'!Z145</f>
      </c>
      <c r="T146" s="146"/>
      <c r="U146" s="146"/>
      <c r="V146" s="148"/>
      <c r="W146" s="146"/>
      <c r="X146" s="150"/>
      <c r="Y146" s="146"/>
      <c r="Z146" s="146"/>
      <c r="AA146" s="146"/>
      <c r="AB146" s="146"/>
      <c r="AC146" s="146"/>
      <c r="AD146" s="152"/>
      <c r="AE146" s="147"/>
      <c r="AF146" s="146"/>
      <c r="AG146" s="146"/>
      <c r="AH146" s="153"/>
      <c r="AI146" s="146"/>
      <c r="AJ146" s="154"/>
      <c r="AK146" s="146"/>
      <c r="AL146" s="155"/>
      <c r="AM146" s="156"/>
      <c r="AN146" s="148"/>
      <c r="AO146" s="154"/>
      <c r="AP146" s="155"/>
      <c r="AQ146" s="148"/>
      <c r="AR146" s="151"/>
      <c r="AS146" s="151"/>
      <c r="AT146" s="154"/>
      <c r="AU146" s="158"/>
      <c r="AV146" s="158"/>
      <c r="AW146" s="159"/>
      <c r="AX146" s="154"/>
      <c r="AY146" s="151"/>
      <c r="AZ146" s="151"/>
      <c r="BA146" s="165"/>
      <c r="BB146" s="166"/>
      <c r="BC146" s="167"/>
      <c r="BD146" s="167"/>
      <c r="BE146" s="168"/>
      <c r="BF146" s="146"/>
      <c r="BG146" s="157"/>
      <c r="BH146" s="146"/>
      <c r="BI146" s="146"/>
      <c r="BJ146" s="146"/>
      <c r="BK146" s="170"/>
      <c r="BL146" s="170"/>
    </row>
    <row customHeight="true" ht="13.333333333333332" r="147">
      <c r="A147" s="145">
        <v>46136</v>
      </c>
      <c r="B147" s="146" t="s">
        <v>151</v>
      </c>
      <c r="C147" s="164"/>
      <c r="D147" s="146"/>
      <c r="E147" s="148"/>
      <c r="F147" s="148"/>
      <c r="G147" s="148"/>
      <c r="H147" s="146"/>
      <c r="I147" s="148"/>
      <c r="J147" s="150"/>
      <c r="K147" s="146"/>
      <c r="L147" s="146"/>
      <c r="M147" s="146"/>
      <c r="N147" s="148"/>
      <c r="O147" s="151"/>
      <c r="P147" s="151"/>
      <c r="Q147" s="146"/>
      <c r="R147" s="146"/>
      <c r="S147" s="146">
        <f>'法国ERP数据'!Z146</f>
      </c>
      <c r="T147" s="146"/>
      <c r="U147" s="146"/>
      <c r="V147" s="148"/>
      <c r="W147" s="146"/>
      <c r="X147" s="150"/>
      <c r="Y147" s="146"/>
      <c r="Z147" s="146"/>
      <c r="AA147" s="146"/>
      <c r="AB147" s="146"/>
      <c r="AC147" s="146"/>
      <c r="AD147" s="152"/>
      <c r="AE147" s="147"/>
      <c r="AF147" s="146"/>
      <c r="AG147" s="146"/>
      <c r="AH147" s="153"/>
      <c r="AI147" s="146"/>
      <c r="AJ147" s="154"/>
      <c r="AK147" s="146"/>
      <c r="AL147" s="155"/>
      <c r="AM147" s="156"/>
      <c r="AN147" s="148"/>
      <c r="AO147" s="154"/>
      <c r="AP147" s="155"/>
      <c r="AQ147" s="148"/>
      <c r="AR147" s="151"/>
      <c r="AS147" s="151"/>
      <c r="AT147" s="154"/>
      <c r="AU147" s="158"/>
      <c r="AV147" s="158"/>
      <c r="AW147" s="159"/>
      <c r="AX147" s="154"/>
      <c r="AY147" s="151"/>
      <c r="AZ147" s="151"/>
      <c r="BA147" s="165"/>
      <c r="BB147" s="166"/>
      <c r="BC147" s="167"/>
      <c r="BD147" s="167"/>
      <c r="BE147" s="168"/>
      <c r="BF147" s="146"/>
      <c r="BG147" s="157"/>
      <c r="BH147" s="146"/>
      <c r="BI147" s="146"/>
      <c r="BJ147" s="146"/>
      <c r="BK147" s="170"/>
      <c r="BL147" s="170"/>
    </row>
    <row customHeight="true" ht="13.333333333333332" r="148">
      <c r="A148" s="145">
        <v>46137</v>
      </c>
      <c r="B148" s="146" t="s">
        <v>152</v>
      </c>
      <c r="C148" s="164"/>
      <c r="D148" s="146"/>
      <c r="E148" s="148"/>
      <c r="F148" s="148"/>
      <c r="G148" s="148"/>
      <c r="H148" s="146"/>
      <c r="I148" s="148"/>
      <c r="J148" s="150"/>
      <c r="K148" s="146"/>
      <c r="L148" s="146"/>
      <c r="M148" s="146"/>
      <c r="N148" s="148"/>
      <c r="O148" s="151"/>
      <c r="P148" s="151"/>
      <c r="Q148" s="146"/>
      <c r="R148" s="146"/>
      <c r="S148" s="146">
        <f>'法国ERP数据'!Z147</f>
      </c>
      <c r="T148" s="146"/>
      <c r="U148" s="146"/>
      <c r="V148" s="148"/>
      <c r="W148" s="146"/>
      <c r="X148" s="150"/>
      <c r="Y148" s="146"/>
      <c r="Z148" s="146"/>
      <c r="AA148" s="146"/>
      <c r="AB148" s="146"/>
      <c r="AC148" s="146"/>
      <c r="AD148" s="152"/>
      <c r="AE148" s="147"/>
      <c r="AF148" s="146"/>
      <c r="AG148" s="146"/>
      <c r="AH148" s="153"/>
      <c r="AI148" s="146"/>
      <c r="AJ148" s="154"/>
      <c r="AK148" s="146"/>
      <c r="AL148" s="155"/>
      <c r="AM148" s="156"/>
      <c r="AN148" s="148"/>
      <c r="AO148" s="154"/>
      <c r="AP148" s="155"/>
      <c r="AQ148" s="148"/>
      <c r="AR148" s="151"/>
      <c r="AS148" s="151"/>
      <c r="AT148" s="154"/>
      <c r="AU148" s="158"/>
      <c r="AV148" s="158"/>
      <c r="AW148" s="159"/>
      <c r="AX148" s="154"/>
      <c r="AY148" s="151"/>
      <c r="AZ148" s="151"/>
      <c r="BA148" s="165"/>
      <c r="BB148" s="166"/>
      <c r="BC148" s="167"/>
      <c r="BD148" s="167"/>
      <c r="BE148" s="168"/>
      <c r="BF148" s="146"/>
      <c r="BG148" s="157"/>
      <c r="BH148" s="146"/>
      <c r="BI148" s="146"/>
      <c r="BJ148" s="146"/>
      <c r="BK148" s="170"/>
      <c r="BL148" s="170"/>
    </row>
    <row customHeight="true" ht="13.333333333333332" r="149">
      <c r="A149" s="145">
        <v>46138</v>
      </c>
      <c r="B149" s="146" t="s">
        <v>153</v>
      </c>
      <c r="C149" s="164"/>
      <c r="D149" s="146"/>
      <c r="E149" s="148"/>
      <c r="F149" s="148"/>
      <c r="G149" s="148"/>
      <c r="H149" s="146"/>
      <c r="I149" s="148"/>
      <c r="J149" s="150"/>
      <c r="K149" s="146"/>
      <c r="L149" s="146"/>
      <c r="M149" s="146"/>
      <c r="N149" s="148"/>
      <c r="O149" s="151"/>
      <c r="P149" s="151"/>
      <c r="Q149" s="146"/>
      <c r="R149" s="146"/>
      <c r="S149" s="146">
        <f>'法国ERP数据'!Z148</f>
      </c>
      <c r="T149" s="146"/>
      <c r="U149" s="146"/>
      <c r="V149" s="148"/>
      <c r="W149" s="146"/>
      <c r="X149" s="150"/>
      <c r="Y149" s="146"/>
      <c r="Z149" s="146"/>
      <c r="AA149" s="146"/>
      <c r="AB149" s="146"/>
      <c r="AC149" s="146"/>
      <c r="AD149" s="152"/>
      <c r="AE149" s="147"/>
      <c r="AF149" s="146"/>
      <c r="AG149" s="146"/>
      <c r="AH149" s="153"/>
      <c r="AI149" s="146"/>
      <c r="AJ149" s="154"/>
      <c r="AK149" s="146"/>
      <c r="AL149" s="155"/>
      <c r="AM149" s="156"/>
      <c r="AN149" s="148"/>
      <c r="AO149" s="154"/>
      <c r="AP149" s="155"/>
      <c r="AQ149" s="148"/>
      <c r="AR149" s="151"/>
      <c r="AS149" s="151"/>
      <c r="AT149" s="154"/>
      <c r="AU149" s="158"/>
      <c r="AV149" s="158"/>
      <c r="AW149" s="159"/>
      <c r="AX149" s="154"/>
      <c r="AY149" s="151"/>
      <c r="AZ149" s="151"/>
      <c r="BA149" s="165"/>
      <c r="BB149" s="166"/>
      <c r="BC149" s="167"/>
      <c r="BD149" s="167"/>
      <c r="BE149" s="168"/>
      <c r="BF149" s="146"/>
      <c r="BG149" s="157"/>
      <c r="BH149" s="146"/>
      <c r="BI149" s="146"/>
      <c r="BJ149" s="146"/>
      <c r="BK149" s="170"/>
      <c r="BL149" s="170"/>
    </row>
    <row customHeight="true" ht="13.333333333333332" r="150">
      <c r="A150" s="145">
        <v>46139</v>
      </c>
      <c r="B150" s="146" t="s">
        <v>146</v>
      </c>
      <c r="C150" s="164"/>
      <c r="D150" s="146"/>
      <c r="E150" s="148"/>
      <c r="F150" s="148"/>
      <c r="G150" s="148"/>
      <c r="H150" s="146"/>
      <c r="I150" s="148"/>
      <c r="J150" s="150"/>
      <c r="K150" s="146"/>
      <c r="L150" s="146"/>
      <c r="M150" s="146"/>
      <c r="N150" s="148"/>
      <c r="O150" s="151"/>
      <c r="P150" s="151"/>
      <c r="Q150" s="146"/>
      <c r="R150" s="146"/>
      <c r="S150" s="146">
        <f>'法国ERP数据'!Z149</f>
      </c>
      <c r="T150" s="146"/>
      <c r="U150" s="146"/>
      <c r="V150" s="148"/>
      <c r="W150" s="146"/>
      <c r="X150" s="150"/>
      <c r="Y150" s="146"/>
      <c r="Z150" s="146"/>
      <c r="AA150" s="146"/>
      <c r="AB150" s="146"/>
      <c r="AC150" s="146"/>
      <c r="AD150" s="152"/>
      <c r="AE150" s="147"/>
      <c r="AF150" s="146"/>
      <c r="AG150" s="146"/>
      <c r="AH150" s="153"/>
      <c r="AI150" s="146"/>
      <c r="AJ150" s="154"/>
      <c r="AK150" s="146"/>
      <c r="AL150" s="155"/>
      <c r="AM150" s="156"/>
      <c r="AN150" s="148"/>
      <c r="AO150" s="154"/>
      <c r="AP150" s="155"/>
      <c r="AQ150" s="148"/>
      <c r="AR150" s="151"/>
      <c r="AS150" s="151"/>
      <c r="AT150" s="154"/>
      <c r="AU150" s="158"/>
      <c r="AV150" s="158"/>
      <c r="AW150" s="159"/>
      <c r="AX150" s="154"/>
      <c r="AY150" s="151"/>
      <c r="AZ150" s="151"/>
      <c r="BA150" s="165"/>
      <c r="BB150" s="166"/>
      <c r="BC150" s="167"/>
      <c r="BD150" s="167"/>
      <c r="BE150" s="168"/>
      <c r="BF150" s="146"/>
      <c r="BG150" s="157"/>
      <c r="BH150" s="146"/>
      <c r="BI150" s="146"/>
      <c r="BJ150" s="146"/>
      <c r="BK150" s="170"/>
      <c r="BL150" s="170"/>
    </row>
    <row customHeight="true" ht="13.333333333333332" r="151">
      <c r="A151" s="145">
        <v>46140</v>
      </c>
      <c r="B151" s="146" t="s">
        <v>148</v>
      </c>
      <c r="C151" s="164"/>
      <c r="D151" s="146"/>
      <c r="E151" s="148"/>
      <c r="F151" s="148"/>
      <c r="G151" s="148"/>
      <c r="H151" s="146"/>
      <c r="I151" s="148"/>
      <c r="J151" s="150"/>
      <c r="K151" s="146"/>
      <c r="L151" s="146"/>
      <c r="M151" s="146"/>
      <c r="N151" s="148"/>
      <c r="O151" s="151"/>
      <c r="P151" s="151"/>
      <c r="Q151" s="146"/>
      <c r="R151" s="146"/>
      <c r="S151" s="146">
        <f>'法国ERP数据'!Z150</f>
      </c>
      <c r="T151" s="146"/>
      <c r="U151" s="146"/>
      <c r="V151" s="148"/>
      <c r="W151" s="146"/>
      <c r="X151" s="150"/>
      <c r="Y151" s="146"/>
      <c r="Z151" s="146"/>
      <c r="AA151" s="146"/>
      <c r="AB151" s="146"/>
      <c r="AC151" s="146"/>
      <c r="AD151" s="152"/>
      <c r="AE151" s="147"/>
      <c r="AF151" s="146"/>
      <c r="AG151" s="146"/>
      <c r="AH151" s="153"/>
      <c r="AI151" s="146"/>
      <c r="AJ151" s="154"/>
      <c r="AK151" s="146"/>
      <c r="AL151" s="155"/>
      <c r="AM151" s="156"/>
      <c r="AN151" s="148"/>
      <c r="AO151" s="154"/>
      <c r="AP151" s="155"/>
      <c r="AQ151" s="148"/>
      <c r="AR151" s="151"/>
      <c r="AS151" s="151"/>
      <c r="AT151" s="154"/>
      <c r="AU151" s="158"/>
      <c r="AV151" s="158"/>
      <c r="AW151" s="159"/>
      <c r="AX151" s="154"/>
      <c r="AY151" s="151"/>
      <c r="AZ151" s="151"/>
      <c r="BA151" s="165"/>
      <c r="BB151" s="166"/>
      <c r="BC151" s="167"/>
      <c r="BD151" s="167"/>
      <c r="BE151" s="168"/>
      <c r="BF151" s="146"/>
      <c r="BG151" s="157"/>
      <c r="BH151" s="146"/>
      <c r="BI151" s="146"/>
      <c r="BJ151" s="146"/>
      <c r="BK151" s="170"/>
      <c r="BL151" s="170"/>
    </row>
    <row customHeight="true" ht="13.333333333333332" r="152">
      <c r="A152" s="145">
        <v>46141</v>
      </c>
      <c r="B152" s="146" t="s">
        <v>149</v>
      </c>
      <c r="C152" s="164"/>
      <c r="D152" s="146"/>
      <c r="E152" s="148"/>
      <c r="F152" s="148"/>
      <c r="G152" s="148"/>
      <c r="H152" s="146"/>
      <c r="I152" s="148"/>
      <c r="J152" s="150"/>
      <c r="K152" s="146"/>
      <c r="L152" s="146"/>
      <c r="M152" s="146"/>
      <c r="N152" s="148"/>
      <c r="O152" s="151"/>
      <c r="P152" s="151"/>
      <c r="Q152" s="146"/>
      <c r="R152" s="146"/>
      <c r="S152" s="146">
        <f>'法国ERP数据'!Z151</f>
      </c>
      <c r="T152" s="146"/>
      <c r="U152" s="146"/>
      <c r="V152" s="148"/>
      <c r="W152" s="146"/>
      <c r="X152" s="150"/>
      <c r="Y152" s="146"/>
      <c r="Z152" s="146"/>
      <c r="AA152" s="146"/>
      <c r="AB152" s="146"/>
      <c r="AC152" s="146"/>
      <c r="AD152" s="152"/>
      <c r="AE152" s="147"/>
      <c r="AF152" s="146"/>
      <c r="AG152" s="146"/>
      <c r="AH152" s="153"/>
      <c r="AI152" s="146"/>
      <c r="AJ152" s="154"/>
      <c r="AK152" s="146"/>
      <c r="AL152" s="155"/>
      <c r="AM152" s="156"/>
      <c r="AN152" s="148"/>
      <c r="AO152" s="154"/>
      <c r="AP152" s="155"/>
      <c r="AQ152" s="148"/>
      <c r="AR152" s="151"/>
      <c r="AS152" s="151"/>
      <c r="AT152" s="154"/>
      <c r="AU152" s="158"/>
      <c r="AV152" s="158"/>
      <c r="AW152" s="159"/>
      <c r="AX152" s="154"/>
      <c r="AY152" s="151"/>
      <c r="AZ152" s="151"/>
      <c r="BA152" s="165"/>
      <c r="BB152" s="166"/>
      <c r="BC152" s="167"/>
      <c r="BD152" s="167"/>
      <c r="BE152" s="168"/>
      <c r="BF152" s="146"/>
      <c r="BG152" s="157"/>
      <c r="BH152" s="146"/>
      <c r="BI152" s="146"/>
      <c r="BJ152" s="146"/>
      <c r="BK152" s="170"/>
      <c r="BL152" s="170"/>
    </row>
    <row customHeight="true" ht="13.333333333333332" r="153">
      <c r="A153" s="145">
        <v>46142</v>
      </c>
      <c r="B153" s="146" t="s">
        <v>150</v>
      </c>
      <c r="C153" s="164"/>
      <c r="D153" s="146"/>
      <c r="E153" s="148"/>
      <c r="F153" s="148"/>
      <c r="G153" s="148"/>
      <c r="H153" s="146"/>
      <c r="I153" s="148"/>
      <c r="J153" s="150"/>
      <c r="K153" s="146"/>
      <c r="L153" s="146"/>
      <c r="M153" s="146"/>
      <c r="N153" s="148"/>
      <c r="O153" s="151"/>
      <c r="P153" s="151"/>
      <c r="Q153" s="146"/>
      <c r="R153" s="146"/>
      <c r="S153" s="146">
        <f>'法国ERP数据'!Z152</f>
      </c>
      <c r="T153" s="146"/>
      <c r="U153" s="146"/>
      <c r="V153" s="148"/>
      <c r="W153" s="146"/>
      <c r="X153" s="150"/>
      <c r="Y153" s="146"/>
      <c r="Z153" s="146"/>
      <c r="AA153" s="146"/>
      <c r="AB153" s="146"/>
      <c r="AC153" s="146"/>
      <c r="AD153" s="152"/>
      <c r="AE153" s="147"/>
      <c r="AF153" s="146"/>
      <c r="AG153" s="146"/>
      <c r="AH153" s="153"/>
      <c r="AI153" s="146"/>
      <c r="AJ153" s="154"/>
      <c r="AK153" s="146"/>
      <c r="AL153" s="155"/>
      <c r="AM153" s="156"/>
      <c r="AN153" s="148"/>
      <c r="AO153" s="154"/>
      <c r="AP153" s="155"/>
      <c r="AQ153" s="148"/>
      <c r="AR153" s="151"/>
      <c r="AS153" s="151"/>
      <c r="AT153" s="154"/>
      <c r="AU153" s="158"/>
      <c r="AV153" s="158"/>
      <c r="AW153" s="159"/>
      <c r="AX153" s="154"/>
      <c r="AY153" s="151"/>
      <c r="AZ153" s="151"/>
      <c r="BA153" s="165"/>
      <c r="BB153" s="166"/>
      <c r="BC153" s="167"/>
      <c r="BD153" s="167"/>
      <c r="BE153" s="168"/>
      <c r="BF153" s="146"/>
      <c r="BG153" s="157"/>
      <c r="BH153" s="146"/>
      <c r="BI153" s="146"/>
      <c r="BJ153" s="146"/>
      <c r="BK153" s="170"/>
      <c r="BL153" s="170"/>
    </row>
    <row customHeight="true" ht="13.333333333333332" r="154">
      <c r="A154" s="145">
        <v>46143</v>
      </c>
      <c r="B154" s="146" t="s">
        <v>151</v>
      </c>
      <c r="C154" s="164"/>
      <c r="D154" s="146"/>
      <c r="E154" s="148"/>
      <c r="F154" s="148"/>
      <c r="G154" s="148"/>
      <c r="H154" s="146"/>
      <c r="I154" s="148"/>
      <c r="J154" s="150"/>
      <c r="K154" s="146"/>
      <c r="L154" s="146"/>
      <c r="M154" s="146"/>
      <c r="N154" s="148"/>
      <c r="O154" s="151"/>
      <c r="P154" s="151"/>
      <c r="Q154" s="146"/>
      <c r="R154" s="146"/>
      <c r="S154" s="146">
        <f>'法国ERP数据'!Z153</f>
      </c>
      <c r="T154" s="146"/>
      <c r="U154" s="146"/>
      <c r="V154" s="148"/>
      <c r="W154" s="146"/>
      <c r="X154" s="150"/>
      <c r="Y154" s="146"/>
      <c r="Z154" s="146"/>
      <c r="AA154" s="146"/>
      <c r="AB154" s="146"/>
      <c r="AC154" s="146"/>
      <c r="AD154" s="152"/>
      <c r="AE154" s="147"/>
      <c r="AF154" s="146"/>
      <c r="AG154" s="146"/>
      <c r="AH154" s="153"/>
      <c r="AI154" s="146"/>
      <c r="AJ154" s="154"/>
      <c r="AK154" s="146"/>
      <c r="AL154" s="155"/>
      <c r="AM154" s="156"/>
      <c r="AN154" s="148"/>
      <c r="AO154" s="154"/>
      <c r="AP154" s="155"/>
      <c r="AQ154" s="148"/>
      <c r="AR154" s="151"/>
      <c r="AS154" s="151"/>
      <c r="AT154" s="154"/>
      <c r="AU154" s="158"/>
      <c r="AV154" s="158"/>
      <c r="AW154" s="159"/>
      <c r="AX154" s="154"/>
      <c r="AY154" s="151"/>
      <c r="AZ154" s="151"/>
      <c r="BA154" s="165"/>
      <c r="BB154" s="166"/>
      <c r="BC154" s="167"/>
      <c r="BD154" s="167"/>
      <c r="BE154" s="168"/>
      <c r="BF154" s="146"/>
      <c r="BG154" s="157"/>
      <c r="BH154" s="146"/>
      <c r="BI154" s="146"/>
      <c r="BJ154" s="146"/>
      <c r="BK154" s="170"/>
      <c r="BL154" s="170"/>
    </row>
    <row customHeight="true" ht="13.333333333333332" r="155">
      <c r="A155" s="145">
        <v>46144</v>
      </c>
      <c r="B155" s="146" t="s">
        <v>152</v>
      </c>
      <c r="C155" s="164"/>
      <c r="D155" s="146"/>
      <c r="E155" s="148"/>
      <c r="F155" s="148"/>
      <c r="G155" s="148"/>
      <c r="H155" s="146"/>
      <c r="I155" s="148"/>
      <c r="J155" s="150"/>
      <c r="K155" s="146"/>
      <c r="L155" s="146"/>
      <c r="M155" s="146"/>
      <c r="N155" s="148"/>
      <c r="O155" s="151"/>
      <c r="P155" s="151"/>
      <c r="Q155" s="146"/>
      <c r="R155" s="146"/>
      <c r="S155" s="146">
        <f>'法国ERP数据'!Z154</f>
      </c>
      <c r="T155" s="146"/>
      <c r="U155" s="146"/>
      <c r="V155" s="148"/>
      <c r="W155" s="146"/>
      <c r="X155" s="150"/>
      <c r="Y155" s="146"/>
      <c r="Z155" s="146"/>
      <c r="AA155" s="146"/>
      <c r="AB155" s="146"/>
      <c r="AC155" s="146"/>
      <c r="AD155" s="152"/>
      <c r="AE155" s="147"/>
      <c r="AF155" s="146"/>
      <c r="AG155" s="146"/>
      <c r="AH155" s="153"/>
      <c r="AI155" s="146"/>
      <c r="AJ155" s="154"/>
      <c r="AK155" s="146"/>
      <c r="AL155" s="155"/>
      <c r="AM155" s="156"/>
      <c r="AN155" s="148"/>
      <c r="AO155" s="154"/>
      <c r="AP155" s="155"/>
      <c r="AQ155" s="148"/>
      <c r="AR155" s="151"/>
      <c r="AS155" s="151"/>
      <c r="AT155" s="154"/>
      <c r="AU155" s="158"/>
      <c r="AV155" s="158"/>
      <c r="AW155" s="159"/>
      <c r="AX155" s="154"/>
      <c r="AY155" s="151"/>
      <c r="AZ155" s="151"/>
      <c r="BA155" s="165"/>
      <c r="BB155" s="166"/>
      <c r="BC155" s="167"/>
      <c r="BD155" s="167"/>
      <c r="BE155" s="168"/>
      <c r="BF155" s="146"/>
      <c r="BG155" s="157"/>
      <c r="BH155" s="146"/>
      <c r="BI155" s="146"/>
      <c r="BJ155" s="146"/>
      <c r="BK155" s="170"/>
      <c r="BL155" s="170"/>
    </row>
    <row customHeight="true" ht="13.333333333333332" r="156">
      <c r="A156" s="145">
        <v>46145</v>
      </c>
      <c r="B156" s="146" t="s">
        <v>153</v>
      </c>
      <c r="C156" s="164"/>
      <c r="D156" s="146"/>
      <c r="E156" s="148"/>
      <c r="F156" s="148"/>
      <c r="G156" s="148"/>
      <c r="H156" s="146"/>
      <c r="I156" s="148"/>
      <c r="J156" s="150"/>
      <c r="K156" s="146"/>
      <c r="L156" s="146"/>
      <c r="M156" s="146"/>
      <c r="N156" s="148"/>
      <c r="O156" s="151"/>
      <c r="P156" s="151"/>
      <c r="Q156" s="146"/>
      <c r="R156" s="146"/>
      <c r="S156" s="146">
        <f>'法国ERP数据'!Z155</f>
      </c>
      <c r="T156" s="146"/>
      <c r="U156" s="146"/>
      <c r="V156" s="148"/>
      <c r="W156" s="146"/>
      <c r="X156" s="150"/>
      <c r="Y156" s="146"/>
      <c r="Z156" s="146"/>
      <c r="AA156" s="146"/>
      <c r="AB156" s="146"/>
      <c r="AC156" s="146"/>
      <c r="AD156" s="152"/>
      <c r="AE156" s="147"/>
      <c r="AF156" s="146"/>
      <c r="AG156" s="146"/>
      <c r="AH156" s="153"/>
      <c r="AI156" s="146"/>
      <c r="AJ156" s="154"/>
      <c r="AK156" s="146"/>
      <c r="AL156" s="155"/>
      <c r="AM156" s="156"/>
      <c r="AN156" s="148"/>
      <c r="AO156" s="154"/>
      <c r="AP156" s="155"/>
      <c r="AQ156" s="148"/>
      <c r="AR156" s="151"/>
      <c r="AS156" s="151"/>
      <c r="AT156" s="154"/>
      <c r="AU156" s="158"/>
      <c r="AV156" s="158"/>
      <c r="AW156" s="159"/>
      <c r="AX156" s="154"/>
      <c r="AY156" s="151"/>
      <c r="AZ156" s="151"/>
      <c r="BA156" s="165"/>
      <c r="BB156" s="166"/>
      <c r="BC156" s="167"/>
      <c r="BD156" s="167"/>
      <c r="BE156" s="168"/>
      <c r="BF156" s="146"/>
      <c r="BG156" s="157"/>
      <c r="BH156" s="146"/>
      <c r="BI156" s="146"/>
      <c r="BJ156" s="146"/>
      <c r="BK156" s="170"/>
      <c r="BL156" s="170"/>
    </row>
    <row customHeight="true" ht="13.333333333333332" r="157">
      <c r="A157" s="145">
        <v>46146</v>
      </c>
      <c r="B157" s="146" t="s">
        <v>146</v>
      </c>
      <c r="C157" s="164"/>
      <c r="D157" s="146"/>
      <c r="E157" s="148"/>
      <c r="F157" s="148"/>
      <c r="G157" s="148"/>
      <c r="H157" s="146"/>
      <c r="I157" s="148"/>
      <c r="J157" s="150"/>
      <c r="K157" s="146"/>
      <c r="L157" s="146"/>
      <c r="M157" s="146"/>
      <c r="N157" s="148"/>
      <c r="O157" s="151"/>
      <c r="P157" s="151"/>
      <c r="Q157" s="146"/>
      <c r="R157" s="146"/>
      <c r="S157" s="146">
        <f>'法国ERP数据'!Z156</f>
      </c>
      <c r="T157" s="146"/>
      <c r="U157" s="146"/>
      <c r="V157" s="148"/>
      <c r="W157" s="146"/>
      <c r="X157" s="150"/>
      <c r="Y157" s="146"/>
      <c r="Z157" s="146"/>
      <c r="AA157" s="146"/>
      <c r="AB157" s="146"/>
      <c r="AC157" s="146"/>
      <c r="AD157" s="152"/>
      <c r="AE157" s="147"/>
      <c r="AF157" s="146"/>
      <c r="AG157" s="146"/>
      <c r="AH157" s="153"/>
      <c r="AI157" s="146"/>
      <c r="AJ157" s="154"/>
      <c r="AK157" s="146"/>
      <c r="AL157" s="155"/>
      <c r="AM157" s="156"/>
      <c r="AN157" s="148"/>
      <c r="AO157" s="154"/>
      <c r="AP157" s="155"/>
      <c r="AQ157" s="148"/>
      <c r="AR157" s="151"/>
      <c r="AS157" s="151"/>
      <c r="AT157" s="154"/>
      <c r="AU157" s="158"/>
      <c r="AV157" s="158"/>
      <c r="AW157" s="159"/>
      <c r="AX157" s="154"/>
      <c r="AY157" s="151"/>
      <c r="AZ157" s="151"/>
      <c r="BA157" s="165"/>
      <c r="BB157" s="166"/>
      <c r="BC157" s="167"/>
      <c r="BD157" s="167"/>
      <c r="BE157" s="168"/>
      <c r="BF157" s="146"/>
      <c r="BG157" s="157"/>
      <c r="BH157" s="146"/>
      <c r="BI157" s="146"/>
      <c r="BJ157" s="146"/>
      <c r="BK157" s="170"/>
      <c r="BL157" s="170"/>
    </row>
    <row customHeight="true" ht="13.333333333333332" r="158">
      <c r="A158" s="145">
        <v>46147</v>
      </c>
      <c r="B158" s="146" t="s">
        <v>148</v>
      </c>
      <c r="C158" s="164"/>
      <c r="D158" s="146"/>
      <c r="E158" s="148"/>
      <c r="F158" s="148"/>
      <c r="G158" s="148"/>
      <c r="H158" s="146"/>
      <c r="I158" s="148"/>
      <c r="J158" s="150"/>
      <c r="K158" s="146"/>
      <c r="L158" s="146"/>
      <c r="M158" s="146"/>
      <c r="N158" s="148"/>
      <c r="O158" s="151"/>
      <c r="P158" s="151"/>
      <c r="Q158" s="146"/>
      <c r="R158" s="146"/>
      <c r="S158" s="146">
        <f>'法国ERP数据'!Z157</f>
      </c>
      <c r="T158" s="146"/>
      <c r="U158" s="146"/>
      <c r="V158" s="148"/>
      <c r="W158" s="146"/>
      <c r="X158" s="150"/>
      <c r="Y158" s="146"/>
      <c r="Z158" s="146"/>
      <c r="AA158" s="146"/>
      <c r="AB158" s="146"/>
      <c r="AC158" s="146"/>
      <c r="AD158" s="152"/>
      <c r="AE158" s="147"/>
      <c r="AF158" s="146"/>
      <c r="AG158" s="146"/>
      <c r="AH158" s="153"/>
      <c r="AI158" s="146"/>
      <c r="AJ158" s="154"/>
      <c r="AK158" s="146"/>
      <c r="AL158" s="155"/>
      <c r="AM158" s="156"/>
      <c r="AN158" s="148"/>
      <c r="AO158" s="154"/>
      <c r="AP158" s="155"/>
      <c r="AQ158" s="148"/>
      <c r="AR158" s="151"/>
      <c r="AS158" s="151"/>
      <c r="AT158" s="154"/>
      <c r="AU158" s="158"/>
      <c r="AV158" s="158"/>
      <c r="AW158" s="159"/>
      <c r="AX158" s="154"/>
      <c r="AY158" s="151"/>
      <c r="AZ158" s="151"/>
      <c r="BA158" s="165"/>
      <c r="BB158" s="166"/>
      <c r="BC158" s="167"/>
      <c r="BD158" s="167"/>
      <c r="BE158" s="168"/>
      <c r="BF158" s="146"/>
      <c r="BG158" s="157"/>
      <c r="BH158" s="146"/>
      <c r="BI158" s="146"/>
      <c r="BJ158" s="146"/>
      <c r="BK158" s="170"/>
      <c r="BL158" s="170"/>
    </row>
    <row customHeight="true" ht="13.333333333333332" r="159">
      <c r="A159" s="145">
        <v>46148</v>
      </c>
      <c r="B159" s="146" t="s">
        <v>149</v>
      </c>
      <c r="C159" s="164"/>
      <c r="D159" s="146"/>
      <c r="E159" s="148"/>
      <c r="F159" s="148"/>
      <c r="G159" s="148"/>
      <c r="H159" s="146"/>
      <c r="I159" s="148"/>
      <c r="J159" s="150"/>
      <c r="K159" s="146"/>
      <c r="L159" s="146"/>
      <c r="M159" s="146"/>
      <c r="N159" s="148"/>
      <c r="O159" s="151"/>
      <c r="P159" s="151"/>
      <c r="Q159" s="146"/>
      <c r="R159" s="146"/>
      <c r="S159" s="146">
        <f>'法国ERP数据'!Z158</f>
      </c>
      <c r="T159" s="146"/>
      <c r="U159" s="146"/>
      <c r="V159" s="148"/>
      <c r="W159" s="146"/>
      <c r="X159" s="150"/>
      <c r="Y159" s="146"/>
      <c r="Z159" s="146"/>
      <c r="AA159" s="146"/>
      <c r="AB159" s="146"/>
      <c r="AC159" s="146"/>
      <c r="AD159" s="152"/>
      <c r="AE159" s="147"/>
      <c r="AF159" s="146"/>
      <c r="AG159" s="146"/>
      <c r="AH159" s="153"/>
      <c r="AI159" s="146"/>
      <c r="AJ159" s="154"/>
      <c r="AK159" s="146"/>
      <c r="AL159" s="155"/>
      <c r="AM159" s="156"/>
      <c r="AN159" s="148"/>
      <c r="AO159" s="154"/>
      <c r="AP159" s="155"/>
      <c r="AQ159" s="148"/>
      <c r="AR159" s="151"/>
      <c r="AS159" s="151"/>
      <c r="AT159" s="154"/>
      <c r="AU159" s="158"/>
      <c r="AV159" s="158"/>
      <c r="AW159" s="159"/>
      <c r="AX159" s="154"/>
      <c r="AY159" s="151"/>
      <c r="AZ159" s="151"/>
      <c r="BA159" s="165"/>
      <c r="BB159" s="166"/>
      <c r="BC159" s="167"/>
      <c r="BD159" s="167"/>
      <c r="BE159" s="168"/>
      <c r="BF159" s="146"/>
      <c r="BG159" s="157"/>
      <c r="BH159" s="146"/>
      <c r="BI159" s="146"/>
      <c r="BJ159" s="146"/>
      <c r="BK159" s="170"/>
      <c r="BL159" s="170"/>
    </row>
    <row customHeight="true" ht="13.333333333333332" r="160">
      <c r="A160" s="145">
        <v>46149</v>
      </c>
      <c r="B160" s="146" t="s">
        <v>150</v>
      </c>
      <c r="C160" s="164"/>
      <c r="D160" s="146"/>
      <c r="E160" s="171"/>
      <c r="F160" s="148"/>
      <c r="G160" s="148"/>
      <c r="H160" s="146"/>
      <c r="I160" s="148"/>
      <c r="J160" s="150"/>
      <c r="K160" s="146"/>
      <c r="L160" s="146"/>
      <c r="M160" s="146"/>
      <c r="N160" s="148"/>
      <c r="O160" s="151"/>
      <c r="P160" s="151"/>
      <c r="Q160" s="146"/>
      <c r="R160" s="146"/>
      <c r="S160" s="146">
        <f>'法国ERP数据'!Z159</f>
      </c>
      <c r="T160" s="146"/>
      <c r="U160" s="146"/>
      <c r="V160" s="148"/>
      <c r="W160" s="146"/>
      <c r="X160" s="150"/>
      <c r="Y160" s="146"/>
      <c r="Z160" s="146"/>
      <c r="AA160" s="146"/>
      <c r="AB160" s="146"/>
      <c r="AC160" s="146"/>
      <c r="AD160" s="152"/>
      <c r="AE160" s="147"/>
      <c r="AF160" s="146"/>
      <c r="AG160" s="146"/>
      <c r="AH160" s="153"/>
      <c r="AI160" s="146"/>
      <c r="AJ160" s="154"/>
      <c r="AK160" s="146"/>
      <c r="AL160" s="155"/>
      <c r="AM160" s="156"/>
      <c r="AN160" s="148"/>
      <c r="AO160" s="154"/>
      <c r="AP160" s="155"/>
      <c r="AQ160" s="148"/>
      <c r="AR160" s="151"/>
      <c r="AS160" s="151"/>
      <c r="AT160" s="154"/>
      <c r="AU160" s="158"/>
      <c r="AV160" s="158"/>
      <c r="AW160" s="159"/>
      <c r="AX160" s="154"/>
      <c r="AY160" s="151"/>
      <c r="AZ160" s="151"/>
      <c r="BA160" s="165"/>
      <c r="BB160" s="166"/>
      <c r="BC160" s="167"/>
      <c r="BD160" s="167"/>
      <c r="BE160" s="168"/>
      <c r="BF160" s="146"/>
      <c r="BG160" s="157"/>
      <c r="BH160" s="146"/>
      <c r="BI160" s="146"/>
      <c r="BJ160" s="146"/>
      <c r="BK160" s="170"/>
      <c r="BL160" s="170"/>
    </row>
    <row customHeight="true" ht="13.333333333333332" r="161">
      <c r="A161" s="145">
        <v>46150</v>
      </c>
      <c r="B161" s="146" t="s">
        <v>151</v>
      </c>
      <c r="C161" s="164"/>
      <c r="D161" s="146"/>
      <c r="E161" s="171"/>
      <c r="F161" s="148"/>
      <c r="G161" s="148"/>
      <c r="H161" s="146"/>
      <c r="I161" s="148"/>
      <c r="J161" s="150"/>
      <c r="K161" s="146"/>
      <c r="L161" s="146"/>
      <c r="M161" s="146"/>
      <c r="N161" s="148"/>
      <c r="O161" s="151"/>
      <c r="P161" s="151"/>
      <c r="Q161" s="146"/>
      <c r="R161" s="146"/>
      <c r="S161" s="146">
        <f>'法国ERP数据'!Z160</f>
      </c>
      <c r="T161" s="146"/>
      <c r="U161" s="146"/>
      <c r="V161" s="148"/>
      <c r="W161" s="146"/>
      <c r="X161" s="150"/>
      <c r="Y161" s="146"/>
      <c r="Z161" s="146"/>
      <c r="AA161" s="146"/>
      <c r="AB161" s="146"/>
      <c r="AC161" s="146"/>
      <c r="AD161" s="152"/>
      <c r="AE161" s="147"/>
      <c r="AF161" s="146"/>
      <c r="AG161" s="146"/>
      <c r="AH161" s="153"/>
      <c r="AI161" s="146"/>
      <c r="AJ161" s="154"/>
      <c r="AK161" s="146"/>
      <c r="AL161" s="155"/>
      <c r="AM161" s="156"/>
      <c r="AN161" s="148"/>
      <c r="AO161" s="154"/>
      <c r="AP161" s="155"/>
      <c r="AQ161" s="148"/>
      <c r="AR161" s="151"/>
      <c r="AS161" s="151"/>
      <c r="AT161" s="154"/>
      <c r="AU161" s="158"/>
      <c r="AV161" s="158"/>
      <c r="AW161" s="159"/>
      <c r="AX161" s="154"/>
      <c r="AY161" s="151"/>
      <c r="AZ161" s="151"/>
      <c r="BA161" s="165"/>
      <c r="BB161" s="166"/>
      <c r="BC161" s="167"/>
      <c r="BD161" s="167"/>
      <c r="BE161" s="168"/>
      <c r="BF161" s="146"/>
      <c r="BG161" s="157"/>
      <c r="BH161" s="146"/>
      <c r="BI161" s="146"/>
      <c r="BJ161" s="146"/>
      <c r="BK161" s="170"/>
      <c r="BL161" s="170"/>
    </row>
    <row customHeight="true" ht="20.74074074074074" r="162">
      <c r="A162" s="145">
        <v>46151</v>
      </c>
      <c r="B162" s="172"/>
      <c r="C162" s="172"/>
      <c r="D162" s="173">
        <v>39.99</v>
      </c>
      <c r="E162" s="174"/>
      <c r="F162" s="174"/>
      <c r="G162" s="174"/>
      <c r="H162" s="173"/>
      <c r="I162" s="174"/>
      <c r="J162" s="175"/>
      <c r="K162" s="173"/>
      <c r="L162" s="173"/>
      <c r="M162" s="173">
        <f>SUM(M44:M92)</f>
      </c>
      <c r="N162" s="154">
        <v>0.1746</v>
      </c>
      <c r="O162" s="176">
        <f>SUM(O44:O92)</f>
      </c>
      <c r="P162" s="176">
        <f>SUM(P44:P92)</f>
      </c>
      <c r="Q162" s="173">
        <f>SUM(Q44:Q92)</f>
      </c>
      <c r="R162" s="173"/>
      <c r="S162" s="146">
        <f>'法国ERP数据'!Z161</f>
      </c>
      <c r="T162" s="173"/>
      <c r="U162" s="173"/>
      <c r="V162" s="174"/>
      <c r="W162" s="173"/>
      <c r="X162" s="175">
        <f>SUM(X44:X92)</f>
      </c>
      <c r="Y162" s="173"/>
      <c r="Z162" s="173"/>
      <c r="AA162" s="173"/>
      <c r="AB162" s="173"/>
      <c r="AC162" s="173"/>
      <c r="AD162" s="177"/>
      <c r="AE162" s="173"/>
      <c r="AF162" s="173"/>
      <c r="AG162" s="173"/>
      <c r="AH162" s="177">
        <f>SUM(AH44:AH92)</f>
      </c>
      <c r="AI162" s="173">
        <f>SUM(AI44:AI92)</f>
      </c>
      <c r="AJ162" s="154">
        <f>AI162/AH162</f>
      </c>
      <c r="AK162" s="173">
        <f>SUM(AK44:AK92)</f>
      </c>
      <c r="AL162" s="155">
        <f>AI162/AP162</f>
      </c>
      <c r="AM162" s="178">
        <f>AP162/(AK162*D162)</f>
      </c>
      <c r="AN162" s="154">
        <f>AK162/AI162</f>
      </c>
      <c r="AO162" s="154">
        <f>AK162/P162</f>
      </c>
      <c r="AP162" s="179">
        <f>SUM(AP44:AP92)</f>
      </c>
      <c r="AQ162" s="154">
        <f>AP162/X162</f>
      </c>
      <c r="AR162" s="180"/>
      <c r="AS162" s="180">
        <f>AP162/AK162</f>
      </c>
      <c r="AT162" s="178"/>
      <c r="AU162" s="181"/>
      <c r="AV162" s="181"/>
      <c r="AW162" s="181">
        <f>SUM(AW44:AW92)</f>
      </c>
      <c r="AX162" s="154">
        <f>AW162/X162</f>
      </c>
      <c r="AY162" s="176"/>
      <c r="AZ162" s="176">
        <f>SUM(AZ44:AZ92)</f>
      </c>
      <c r="BA162" s="176"/>
      <c r="BB162" s="175">
        <f>SUM(BB44:BB92)</f>
      </c>
      <c r="BC162" s="173">
        <f>SUM(BC44:BC92)</f>
      </c>
      <c r="BD162" s="173"/>
      <c r="BE162" s="178"/>
      <c r="BF162" s="182">
        <f>M162-AI162</f>
      </c>
      <c r="BG162" s="157">
        <f>O162/BF162</f>
      </c>
      <c r="BH162" s="173"/>
      <c r="BI162" s="183"/>
      <c r="BJ162" s="173"/>
      <c r="BK162" s="173"/>
      <c r="BL162" s="184"/>
    </row>
  </sheetData>
  <mergeCells>
    <mergeCell ref="Y1:AB1"/>
    <mergeCell ref="AH1:AS1"/>
    <mergeCell ref="AU1:BA1"/>
    <mergeCell ref="BB1:BG1"/>
    <mergeCell ref="BH1:B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C1:AC2"/>
    <mergeCell ref="AD1:AD2"/>
    <mergeCell ref="AE1:AE2"/>
    <mergeCell ref="AF1:AF2"/>
    <mergeCell ref="AG1:AG2"/>
  </mergeCells>
  <conditionalFormatting sqref="R1:R1">
    <cfRule priority="1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{7C1334C6-B17B-4FD7-9F8B-0A0894AED62A}</x14:id>
        </ext>
      </extLst>
    </cfRule>
  </conditionalFormatting>
  <conditionalFormatting sqref="R1:R1">
    <cfRule priority="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{858BA1C0-E56F-4E8D-9A23-F266F0EEC129}</x14:id>
        </ext>
      </extLst>
    </cfRule>
  </conditionalFormatting>
  <conditionalFormatting sqref="AH50:AH50">
    <cfRule priority="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{8F1397AB-7012-40B9-AEFA-B56019F77B20}</x14:id>
        </ext>
      </extLst>
    </cfRule>
  </conditionalFormatting>
  <conditionalFormatting sqref="AI72:AI72">
    <cfRule priority="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{BB5C4928-51E7-4E4F-86B4-1466A56F9957}</x14:id>
        </ext>
      </extLst>
    </cfRule>
  </conditionalFormatting>
  <conditionalFormatting sqref="M71:M71">
    <cfRule priority="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{CA6B78A5-5511-42DF-8CC0-DE323C65AFD8}</x14:id>
        </ext>
      </extLst>
    </cfRule>
  </conditionalFormatting>
  <conditionalFormatting sqref="BD63:BD63">
    <cfRule priority="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{A751A5B7-7028-4752-BECC-2398F15E8AF0}</x14:id>
        </ext>
      </extLst>
    </cfRule>
  </conditionalFormatting>
  <conditionalFormatting sqref="BE51:BE51">
    <cfRule priority="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{EF44E1D8-1FB1-4A20-BE9B-913C5FDCFEC4}</x14:id>
        </ext>
      </extLst>
    </cfRule>
  </conditionalFormatting>
  <conditionalFormatting sqref="AH55:AH55">
    <cfRule priority="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{035A734B-A849-4623-B7CC-5D412F5FDA15}</x14:id>
        </ext>
      </extLst>
    </cfRule>
  </conditionalFormatting>
  <conditionalFormatting sqref="AH3:AH47">
    <cfRule priority="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{E825C61A-330F-4A7C-A50A-9F773295E328}</x14:id>
        </ext>
      </extLst>
    </cfRule>
  </conditionalFormatting>
  <conditionalFormatting sqref="BE8:BE8">
    <cfRule priority="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{3691EE5A-AF77-40A0-B400-0FA67CCFA9D7}</x14:id>
        </ext>
      </extLst>
    </cfRule>
  </conditionalFormatting>
  <conditionalFormatting sqref="BE55:BE55">
    <cfRule priority="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{91538422-1D74-4FCA-AFF7-52272B9A9F70}</x14:id>
        </ext>
      </extLst>
    </cfRule>
  </conditionalFormatting>
  <conditionalFormatting sqref="BD60:BD60">
    <cfRule priority="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{5246598C-61D7-4DF2-A12C-3A8C89A9A3CD}</x14:id>
        </ext>
      </extLst>
    </cfRule>
  </conditionalFormatting>
  <conditionalFormatting sqref="AH52:AH52">
    <cfRule priority="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{0DF14182-FD5C-4ADE-B02C-DEC7D0BA8CC0}</x14:id>
        </ext>
      </extLst>
    </cfRule>
  </conditionalFormatting>
  <conditionalFormatting sqref="AH67:AH67">
    <cfRule priority="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{38284F3C-EE2A-4A53-8135-4864BB111F39}</x14:id>
        </ext>
      </extLst>
    </cfRule>
  </conditionalFormatting>
  <conditionalFormatting sqref="AI64:AI64">
    <cfRule priority="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{5F315F8A-CA7F-43D1-8459-0CF72252A3F0}</x14:id>
        </ext>
      </extLst>
    </cfRule>
  </conditionalFormatting>
  <conditionalFormatting sqref="N73:N73">
    <cfRule priority="1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{DCD73E08-29D6-42A7-8BC4-E03F9C4C011E}</x14:id>
        </ext>
      </extLst>
    </cfRule>
  </conditionalFormatting>
  <conditionalFormatting sqref="BE66:BE66">
    <cfRule priority="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{92EF4A35-B0D0-4194-A5E1-8B81AFFA16DA}</x14:id>
        </ext>
      </extLst>
    </cfRule>
  </conditionalFormatting>
  <conditionalFormatting sqref="AH3:AH47">
    <cfRule priority="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{84D404BE-8834-410E-9815-880FCB39E257}</x14:id>
        </ext>
      </extLst>
    </cfRule>
  </conditionalFormatting>
  <conditionalFormatting sqref="BE69:BE69">
    <cfRule priority="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{1D4E393C-C70A-46D7-94EB-59A31BED30B7}</x14:id>
        </ext>
      </extLst>
    </cfRule>
  </conditionalFormatting>
  <conditionalFormatting sqref="AI65:AI65">
    <cfRule priority="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{AB12BB85-1985-429C-876C-728CC32CC47A}</x14:id>
        </ext>
      </extLst>
    </cfRule>
  </conditionalFormatting>
  <conditionalFormatting sqref="BE74:BE74">
    <cfRule priority="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{DA7F675F-64BE-45B4-82FE-B21AA6B8FC51}</x14:id>
        </ext>
      </extLst>
    </cfRule>
  </conditionalFormatting>
  <conditionalFormatting sqref="N67:N67">
    <cfRule priority="2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{E6589FCF-816F-41CA-B44E-B484D9EA9428}</x14:id>
        </ext>
      </extLst>
    </cfRule>
  </conditionalFormatting>
  <conditionalFormatting sqref="AH51:AH51">
    <cfRule priority="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{07F87A5D-67C6-4684-AF8C-FC994C43185E}</x14:id>
        </ext>
      </extLst>
    </cfRule>
  </conditionalFormatting>
  <conditionalFormatting sqref="BD58:BD58">
    <cfRule priority="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{43451D23-63BD-42F8-9412-BD4A97C291CF}</x14:id>
        </ext>
      </extLst>
    </cfRule>
  </conditionalFormatting>
  <conditionalFormatting sqref="AH69:AH69">
    <cfRule priority="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{FF5BFD49-A8A4-4528-8A04-602B4F2B305D}</x14:id>
        </ext>
      </extLst>
    </cfRule>
  </conditionalFormatting>
  <conditionalFormatting sqref="AJ2:AJ2">
    <cfRule priority="2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{81A7683B-142F-404E-86F9-C190482B8D7D}</x14:id>
        </ext>
      </extLst>
    </cfRule>
  </conditionalFormatting>
  <conditionalFormatting sqref="AH68:AH68">
    <cfRule priority="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{A8CB7667-CB52-42CA-9D27-E07A12901C91}</x14:id>
        </ext>
      </extLst>
    </cfRule>
  </conditionalFormatting>
  <conditionalFormatting sqref="AH64:AH64">
    <cfRule priority="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{B985CA88-DF9A-4DE5-A2A1-8FED2F09E5B6}</x14:id>
        </ext>
      </extLst>
    </cfRule>
  </conditionalFormatting>
  <conditionalFormatting sqref="BE59:BE59">
    <cfRule priority="2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{6564E8E4-9170-47AA-841E-6145A52EAB55}</x14:id>
        </ext>
      </extLst>
    </cfRule>
  </conditionalFormatting>
  <conditionalFormatting sqref="M69:M69">
    <cfRule priority="3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{DC97E425-D181-4E31-A81F-B3F412230625}</x14:id>
        </ext>
      </extLst>
    </cfRule>
  </conditionalFormatting>
  <conditionalFormatting sqref="BD48:BD48">
    <cfRule priority="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{A51A3C40-CC24-484A-BBCC-89B63DD050F1}</x14:id>
        </ext>
      </extLst>
    </cfRule>
  </conditionalFormatting>
  <conditionalFormatting sqref="O1:O1">
    <cfRule priority="3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{BCA3B485-5386-40AA-B198-83B16BCDE30A}</x14:id>
        </ext>
      </extLst>
    </cfRule>
  </conditionalFormatting>
  <conditionalFormatting sqref="BD9:BD47">
    <cfRule priority="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{47C4E9A8-2994-43FE-857B-3D88DAD88F39}</x14:id>
        </ext>
      </extLst>
    </cfRule>
  </conditionalFormatting>
  <conditionalFormatting sqref="AH51:AH51">
    <cfRule priority="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{C8C84AD5-99DE-45D0-873A-F414F58C4639}</x14:id>
        </ext>
      </extLst>
    </cfRule>
  </conditionalFormatting>
  <conditionalFormatting sqref="N74:N74">
    <cfRule priority="3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{91442017-B382-44BC-9E17-CA1679CCA523}</x14:id>
        </ext>
      </extLst>
    </cfRule>
  </conditionalFormatting>
  <conditionalFormatting sqref="M52:M52">
    <cfRule priority="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{AD6EA2A8-781C-4405-A830-8CF1D4C1A8D0}</x14:id>
        </ext>
      </extLst>
    </cfRule>
  </conditionalFormatting>
  <conditionalFormatting sqref="AI57:AI57">
    <cfRule priority="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{7DDEA998-F433-49C2-B895-00764AE5AA04}</x14:id>
        </ext>
      </extLst>
    </cfRule>
  </conditionalFormatting>
  <conditionalFormatting sqref="BD75:BD92">
    <cfRule priority="3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{4BB8A6F3-C11D-456E-B763-AB002D0E890C}</x14:id>
        </ext>
      </extLst>
    </cfRule>
  </conditionalFormatting>
  <conditionalFormatting sqref="N58:N58">
    <cfRule priority="3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{B4D4167F-7EA0-4C89-943D-30643149DF27}</x14:id>
        </ext>
      </extLst>
    </cfRule>
  </conditionalFormatting>
  <conditionalFormatting sqref="M70:M70">
    <cfRule priority="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{424A8525-FAC2-4BC6-9554-6FDCE2D3EA07}</x14:id>
        </ext>
      </extLst>
    </cfRule>
  </conditionalFormatting>
  <conditionalFormatting sqref="N72:N72">
    <cfRule priority="4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{F74EDE2C-AC7C-4CD3-AF1F-FBF420AFA328}</x14:id>
        </ext>
      </extLst>
    </cfRule>
  </conditionalFormatting>
  <conditionalFormatting sqref="BE4:BE4">
    <cfRule priority="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{B27B900E-A72C-4F00-BEE6-83BB7D56BA34}</x14:id>
        </ext>
      </extLst>
    </cfRule>
  </conditionalFormatting>
  <conditionalFormatting sqref="BE1:BE162">
    <cfRule priority="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{441F7BA4-F1A4-4374-84DC-A8955AFFC095}</x14:id>
        </ext>
      </extLst>
    </cfRule>
  </conditionalFormatting>
  <conditionalFormatting sqref="BD57:BD57">
    <cfRule priority="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{256B395E-778B-475E-A3BC-7B71CC7A2D87}</x14:id>
        </ext>
      </extLst>
    </cfRule>
  </conditionalFormatting>
  <conditionalFormatting sqref="AH93:AH162">
    <cfRule priority="4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{D402C507-1342-4D00-966D-238C553A5828}</x14:id>
        </ext>
      </extLst>
    </cfRule>
  </conditionalFormatting>
  <conditionalFormatting sqref="AH59:AH59">
    <cfRule priority="4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{4CD69BBB-DCE6-40E3-B57C-B1826EF3FFF0}</x14:id>
        </ext>
      </extLst>
    </cfRule>
  </conditionalFormatting>
  <conditionalFormatting sqref="BD55:BD55">
    <cfRule priority="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{27ABAEF9-3C61-4B23-A102-7978CF3E86DE}</x14:id>
        </ext>
      </extLst>
    </cfRule>
  </conditionalFormatting>
  <conditionalFormatting sqref="BD71:BD71">
    <cfRule priority="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{982C2F80-FEE9-4EA7-9F2F-D1442631822D}</x14:id>
        </ext>
      </extLst>
    </cfRule>
  </conditionalFormatting>
  <conditionalFormatting sqref="M1:M2">
    <cfRule priority="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{00B32DB9-1BE5-4855-B41F-F2B135A85EFF}</x14:id>
        </ext>
      </extLst>
    </cfRule>
  </conditionalFormatting>
  <conditionalFormatting sqref="M68:M68">
    <cfRule priority="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{C6E9CC0F-129A-4842-B165-E96C8C235636}</x14:id>
        </ext>
      </extLst>
    </cfRule>
  </conditionalFormatting>
  <conditionalFormatting sqref="AH72:AH72">
    <cfRule priority="5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{8C9E22D5-F097-4E48-8C11-3A668178FF51}</x14:id>
        </ext>
      </extLst>
    </cfRule>
  </conditionalFormatting>
  <conditionalFormatting sqref="AH52:AH52">
    <cfRule priority="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{23243B8E-37ED-4228-BD35-BEC8E08AE9F7}</x14:id>
        </ext>
      </extLst>
    </cfRule>
  </conditionalFormatting>
  <conditionalFormatting sqref="AO2:AO2">
    <cfRule priority="53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{221F4D6E-BA20-4BD3-816D-9FE3298BF399}</x14:id>
        </ext>
      </extLst>
    </cfRule>
  </conditionalFormatting>
  <conditionalFormatting sqref="N62:N62">
    <cfRule priority="5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{99369509-D197-46F3-B7E0-BDB675488C5E}</x14:id>
        </ext>
      </extLst>
    </cfRule>
  </conditionalFormatting>
  <conditionalFormatting sqref="N1:N2 P1:P1">
    <cfRule priority="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{CE87E6D7-3340-46CA-93D7-3919F3F9F726}</x14:id>
        </ext>
      </extLst>
    </cfRule>
  </conditionalFormatting>
  <conditionalFormatting sqref="AH65:AH65">
    <cfRule priority="5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{692E7AB2-3AFD-4040-B0DF-2C2C12110D4E}</x14:id>
        </ext>
      </extLst>
    </cfRule>
  </conditionalFormatting>
  <conditionalFormatting sqref="BE64:BE64">
    <cfRule priority="5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{B139D92A-C4B5-41D9-B805-97562A4A7663}</x14:id>
        </ext>
      </extLst>
    </cfRule>
  </conditionalFormatting>
  <conditionalFormatting sqref="AH73:AH73">
    <cfRule priority="5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{F47C5B21-5E02-4457-B333-1785AE45FA30}</x14:id>
        </ext>
      </extLst>
    </cfRule>
  </conditionalFormatting>
  <conditionalFormatting sqref="AH54:AH54">
    <cfRule priority="5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{8E429465-4F5A-4D14-A9B4-59ABFE4D179D}</x14:id>
        </ext>
      </extLst>
    </cfRule>
  </conditionalFormatting>
  <conditionalFormatting sqref="BE72:BE72">
    <cfRule priority="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{8DF4572D-9D95-45D7-9BA2-8DF5F1375485}</x14:id>
        </ext>
      </extLst>
    </cfRule>
  </conditionalFormatting>
  <conditionalFormatting sqref="M72:M72">
    <cfRule priority="6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{1C189BBB-C87C-4BFB-BD8D-BBC5648133F3}</x14:id>
        </ext>
      </extLst>
    </cfRule>
  </conditionalFormatting>
  <conditionalFormatting sqref="AH73:AH73">
    <cfRule priority="6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{797EE702-768F-4C64-975B-F41D9A17917B}</x14:id>
        </ext>
      </extLst>
    </cfRule>
  </conditionalFormatting>
  <conditionalFormatting sqref="AI56:AI56">
    <cfRule priority="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{3D3366DA-012A-489F-969A-3BB1DAC102B7}</x14:id>
        </ext>
      </extLst>
    </cfRule>
  </conditionalFormatting>
  <conditionalFormatting sqref="M55:M55">
    <cfRule priority="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{9A4795A4-4BBC-421E-B8CD-9D3DDAC70805}</x14:id>
        </ext>
      </extLst>
    </cfRule>
  </conditionalFormatting>
  <conditionalFormatting sqref="BE50:BE50">
    <cfRule priority="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{A7401726-CFD0-4BF9-96D2-4C570524C933}</x14:id>
        </ext>
      </extLst>
    </cfRule>
  </conditionalFormatting>
  <conditionalFormatting sqref="M53:M53">
    <cfRule priority="6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{41549937-34E5-4492-95DB-328393EC1F0F}</x14:id>
        </ext>
      </extLst>
    </cfRule>
  </conditionalFormatting>
  <conditionalFormatting sqref="AI55:AI55">
    <cfRule priority="6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{A9D6DB77-78E0-48F2-9E4D-C45153F50988}</x14:id>
        </ext>
      </extLst>
    </cfRule>
  </conditionalFormatting>
  <conditionalFormatting sqref="AI58:AI58">
    <cfRule priority="6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{C42F08A0-5C3D-4859-B6C2-D93955ADFBC0}</x14:id>
        </ext>
      </extLst>
    </cfRule>
  </conditionalFormatting>
  <conditionalFormatting sqref="M56:M56">
    <cfRule priority="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{1EFD8B67-510E-4BDD-AD73-D319EDE43040}</x14:id>
        </ext>
      </extLst>
    </cfRule>
  </conditionalFormatting>
  <conditionalFormatting sqref="AH55:AH55">
    <cfRule priority="7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{C6E8AB1D-B30D-47A4-BACD-0E55D5BC7035}</x14:id>
        </ext>
      </extLst>
    </cfRule>
  </conditionalFormatting>
  <conditionalFormatting sqref="AH67:AH67">
    <cfRule priority="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{EFB9E957-EC0A-43A0-BC1B-D658375BC04E}</x14:id>
        </ext>
      </extLst>
    </cfRule>
  </conditionalFormatting>
  <conditionalFormatting sqref="N68:N68">
    <cfRule priority="7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{77A1AE34-A5BA-48E4-B3A3-42AD6D46BDD4}</x14:id>
        </ext>
      </extLst>
    </cfRule>
  </conditionalFormatting>
  <conditionalFormatting sqref="BE58:BE58">
    <cfRule priority="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{5BF9A765-A827-403D-BD4E-648B0C6F188C}</x14:id>
        </ext>
      </extLst>
    </cfRule>
  </conditionalFormatting>
  <conditionalFormatting sqref="AH69:AH69">
    <cfRule priority="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{79721942-C26A-491C-AF8B-7E575C7D0C5D}</x14:id>
        </ext>
      </extLst>
    </cfRule>
  </conditionalFormatting>
  <conditionalFormatting sqref="M64:M64">
    <cfRule priority="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{C9FD71EA-C463-43BA-AA55-514E1314F2B4}</x14:id>
        </ext>
      </extLst>
    </cfRule>
  </conditionalFormatting>
  <conditionalFormatting sqref="M49:M49">
    <cfRule priority="7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{78D6C78F-F97F-41A2-8853-03418683ADC4}</x14:id>
        </ext>
      </extLst>
    </cfRule>
  </conditionalFormatting>
  <conditionalFormatting sqref="N70:N70">
    <cfRule priority="7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{8DC19B69-CA09-4DE1-B088-887B3F53EB66}</x14:id>
        </ext>
      </extLst>
    </cfRule>
  </conditionalFormatting>
  <conditionalFormatting sqref="AH75:AH92">
    <cfRule priority="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{6EC49B2B-DA14-42FB-98D6-99050B4BD42F}</x14:id>
        </ext>
      </extLst>
    </cfRule>
  </conditionalFormatting>
  <conditionalFormatting sqref="BE68:BE68">
    <cfRule priority="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{221D86B7-6966-4AB6-B8F0-F340ECBACD02}</x14:id>
        </ext>
      </extLst>
    </cfRule>
  </conditionalFormatting>
  <conditionalFormatting sqref="BE54:BE54">
    <cfRule priority="8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{D52D44B6-4FC3-484C-9963-3E70D9AEBE0B}</x14:id>
        </ext>
      </extLst>
    </cfRule>
  </conditionalFormatting>
  <conditionalFormatting sqref="AH59:AH59">
    <cfRule priority="8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{41E97111-2BB3-4519-9EE1-E09FCE27F21E}</x14:id>
        </ext>
      </extLst>
    </cfRule>
  </conditionalFormatting>
  <conditionalFormatting sqref="BE56:BE56">
    <cfRule priority="8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{E3CE8268-A6B2-46EA-8F87-3102BE963683}</x14:id>
        </ext>
      </extLst>
    </cfRule>
  </conditionalFormatting>
  <conditionalFormatting sqref="N63:N63">
    <cfRule priority="8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{70345875-8321-464E-B32A-C6E87F958809}</x14:id>
        </ext>
      </extLst>
    </cfRule>
  </conditionalFormatting>
  <conditionalFormatting sqref="BD4:BD4">
    <cfRule priority="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{A1D43324-1222-44D2-98AF-9B5A7428E394}</x14:id>
        </ext>
      </extLst>
    </cfRule>
  </conditionalFormatting>
  <conditionalFormatting sqref="BE6:BE6">
    <cfRule priority="8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{CA24E43B-8944-443A-BD82-987454507D34}</x14:id>
        </ext>
      </extLst>
    </cfRule>
  </conditionalFormatting>
  <conditionalFormatting sqref="AI60:AI60">
    <cfRule priority="8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{9C9A5CAC-FE66-456B-BA53-8BFCCD3FE07B}</x14:id>
        </ext>
      </extLst>
    </cfRule>
  </conditionalFormatting>
  <conditionalFormatting sqref="AI71:AI71">
    <cfRule priority="8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{E73852F3-8721-4159-81E4-415BD2E48BEC}</x14:id>
        </ext>
      </extLst>
    </cfRule>
  </conditionalFormatting>
  <conditionalFormatting sqref="BE67:BE67">
    <cfRule priority="8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{D345108E-6059-4052-849C-7208552959A1}</x14:id>
        </ext>
      </extLst>
    </cfRule>
  </conditionalFormatting>
  <conditionalFormatting sqref="AH93:AH162">
    <cfRule priority="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{8F61FA7D-05B3-4DEE-98B1-85E5882986F0}</x14:id>
        </ext>
      </extLst>
    </cfRule>
  </conditionalFormatting>
  <conditionalFormatting sqref="N3:N47">
    <cfRule priority="9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{3ABC6008-9989-4552-9577-9371A258C413}</x14:id>
        </ext>
      </extLst>
    </cfRule>
  </conditionalFormatting>
  <conditionalFormatting sqref="AN2:AN2">
    <cfRule priority="9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{673EA1CE-A4E7-4254-805D-D7983865CE10}</x14:id>
        </ext>
      </extLst>
    </cfRule>
  </conditionalFormatting>
  <conditionalFormatting sqref="BE53:BE53">
    <cfRule priority="9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{2568CA0F-A21E-4950-822F-0981761963DB}</x14:id>
        </ext>
      </extLst>
    </cfRule>
  </conditionalFormatting>
  <conditionalFormatting sqref="BE61:BE61">
    <cfRule priority="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{00FBBE4F-AA1B-4502-8784-F34881A643BF}</x14:id>
        </ext>
      </extLst>
    </cfRule>
  </conditionalFormatting>
  <conditionalFormatting sqref="AI59:AI59">
    <cfRule priority="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{B1256585-AD0A-4C15-B009-8528FD194403}</x14:id>
        </ext>
      </extLst>
    </cfRule>
  </conditionalFormatting>
  <conditionalFormatting sqref="AI61:AI61">
    <cfRule priority="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{9309B210-870C-4FD3-BC5C-49C4A0731895}</x14:id>
        </ext>
      </extLst>
    </cfRule>
  </conditionalFormatting>
  <conditionalFormatting sqref="AH63:AH63">
    <cfRule priority="9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{F91B247E-47C3-4C46-935B-062513F13B1A}</x14:id>
        </ext>
      </extLst>
    </cfRule>
  </conditionalFormatting>
  <conditionalFormatting sqref="BD56:BD56">
    <cfRule priority="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{D4EE08E6-FD70-4772-A082-B25DCEF46DA1}</x14:id>
        </ext>
      </extLst>
    </cfRule>
  </conditionalFormatting>
  <conditionalFormatting sqref="AI53:AI53">
    <cfRule priority="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{5B585C81-F232-4FB0-AC84-7D345C162C86}</x14:id>
        </ext>
      </extLst>
    </cfRule>
  </conditionalFormatting>
  <conditionalFormatting sqref="AJ2:AJ2">
    <cfRule priority="9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{3F5A2C26-F47D-4C71-955C-346856094CCF}</x14:id>
        </ext>
      </extLst>
    </cfRule>
  </conditionalFormatting>
  <conditionalFormatting sqref="BD93:BD162">
    <cfRule priority="10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{8BBDC06F-7B4B-4DFC-8CEB-BE3C32936467}</x14:id>
        </ext>
      </extLst>
    </cfRule>
  </conditionalFormatting>
  <conditionalFormatting sqref="M62:M62">
    <cfRule priority="10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{9B7B86BD-1C0B-43DE-B4BA-961D48B3E3E3}</x14:id>
        </ext>
      </extLst>
    </cfRule>
  </conditionalFormatting>
  <conditionalFormatting sqref="BD66:BD66">
    <cfRule priority="10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{367453F5-A0BB-48B6-8855-0E7249FDD976}</x14:id>
        </ext>
      </extLst>
    </cfRule>
  </conditionalFormatting>
  <conditionalFormatting sqref="BD61:BD61">
    <cfRule priority="10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{26716F23-DD99-4AFD-8E16-2664A2FE5861}</x14:id>
        </ext>
      </extLst>
    </cfRule>
  </conditionalFormatting>
  <conditionalFormatting sqref="AH54:AH54">
    <cfRule priority="1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{1137FC92-904C-4C65-9F81-67D5D5158C69}</x14:id>
        </ext>
      </extLst>
    </cfRule>
  </conditionalFormatting>
  <conditionalFormatting sqref="M60:M60">
    <cfRule priority="10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{EB4F99F5-7FA3-4B1A-8410-477A35FF49DE}</x14:id>
        </ext>
      </extLst>
    </cfRule>
  </conditionalFormatting>
  <conditionalFormatting sqref="M74:M74">
    <cfRule priority="10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{9E576B35-869E-4911-90BE-79A714A186EB}</x14:id>
        </ext>
      </extLst>
    </cfRule>
  </conditionalFormatting>
  <conditionalFormatting sqref="AH57:AH57">
    <cfRule priority="10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{98E76D21-DC0D-48D0-8D4A-EB8DEF732ECC}</x14:id>
        </ext>
      </extLst>
    </cfRule>
  </conditionalFormatting>
  <conditionalFormatting sqref="N59:N59">
    <cfRule priority="10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{46D85B23-D0C9-4F2C-AB04-950C661BB219}</x14:id>
        </ext>
      </extLst>
    </cfRule>
  </conditionalFormatting>
  <conditionalFormatting sqref="AH66:AH66">
    <cfRule priority="10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{7D3A0A89-6070-4048-A969-F4B0181B0181}</x14:id>
        </ext>
      </extLst>
    </cfRule>
  </conditionalFormatting>
  <conditionalFormatting sqref="AH49:AH49">
    <cfRule priority="11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{E515F89D-B869-4BFC-9527-8CAD012B03EF}</x14:id>
        </ext>
      </extLst>
    </cfRule>
  </conditionalFormatting>
  <conditionalFormatting sqref="AH56:AH56">
    <cfRule priority="11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{DDA56FB7-95CA-443E-83D8-A860941A602E}</x14:id>
        </ext>
      </extLst>
    </cfRule>
  </conditionalFormatting>
  <conditionalFormatting sqref="O1:O1">
    <cfRule priority="11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{D01F2C4A-B75B-43B8-8A20-F4B8A00C24E9}</x14:id>
        </ext>
      </extLst>
    </cfRule>
  </conditionalFormatting>
  <conditionalFormatting sqref="AH58:AH58">
    <cfRule priority="1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{EC4A1F0D-A791-4047-9BB5-653A964BB5E9}</x14:id>
        </ext>
      </extLst>
    </cfRule>
  </conditionalFormatting>
  <conditionalFormatting sqref="Q1:Q2 S1:T1">
    <cfRule priority="114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{B60976FD-71CE-4666-A79C-F4F4917AAA36}</x14:id>
        </ext>
      </extLst>
    </cfRule>
  </conditionalFormatting>
  <conditionalFormatting sqref="BE48:BE48">
    <cfRule priority="1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{FB10B979-3F87-4E16-ACCE-66005DF6EE44}</x14:id>
        </ext>
      </extLst>
    </cfRule>
  </conditionalFormatting>
  <conditionalFormatting sqref="AI49:AI49">
    <cfRule priority="1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{56E527C2-A6C4-48A0-8456-662D2350098B}</x14:id>
        </ext>
      </extLst>
    </cfRule>
  </conditionalFormatting>
  <conditionalFormatting sqref="M54:M54">
    <cfRule priority="1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{96793CE4-F2EC-4AEB-98B4-49B612ECCB51}</x14:id>
        </ext>
      </extLst>
    </cfRule>
  </conditionalFormatting>
  <conditionalFormatting sqref="AH68:AH68">
    <cfRule priority="1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{E1333A6F-BB59-4469-BD42-8EEBDF33D8AA}</x14:id>
        </ext>
      </extLst>
    </cfRule>
  </conditionalFormatting>
  <conditionalFormatting sqref="AN2:AN2">
    <cfRule priority="11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{0B9E160B-8B3A-442A-9F65-9E7B206D2EED}</x14:id>
        </ext>
      </extLst>
    </cfRule>
  </conditionalFormatting>
  <conditionalFormatting sqref="BD6:BD6">
    <cfRule priority="12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{92389938-D95F-463B-B80D-D352A8B9502D}</x14:id>
        </ext>
      </extLst>
    </cfRule>
  </conditionalFormatting>
  <conditionalFormatting sqref="BE9:BE47">
    <cfRule priority="1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{BE10F0EE-0E35-41CB-8280-0AF3A9BF58FA}</x14:id>
        </ext>
      </extLst>
    </cfRule>
  </conditionalFormatting>
  <conditionalFormatting sqref="M73:M73">
    <cfRule priority="12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{46C7D416-9F46-479E-9B77-E0A40CEAC61E}</x14:id>
        </ext>
      </extLst>
    </cfRule>
  </conditionalFormatting>
  <conditionalFormatting sqref="AO2:AO2">
    <cfRule priority="123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{3C6DA8CD-EA78-4153-859D-BE5382ACA522}</x14:id>
        </ext>
      </extLst>
    </cfRule>
  </conditionalFormatting>
  <conditionalFormatting sqref="AI48:AI48">
    <cfRule priority="12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{31FCBAA8-C92D-4D39-B862-7EEDDEC1FB83}</x14:id>
        </ext>
      </extLst>
    </cfRule>
  </conditionalFormatting>
  <conditionalFormatting sqref="BD1:BD162">
    <cfRule priority="1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{4B1F5C80-F679-45E5-807B-8F2F7F267256}</x14:id>
        </ext>
      </extLst>
    </cfRule>
  </conditionalFormatting>
  <conditionalFormatting sqref="AN2:AN2">
    <cfRule priority="12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{D533FB27-E140-4EC9-8773-F2E4C496E54F}</x14:id>
        </ext>
      </extLst>
    </cfRule>
  </conditionalFormatting>
  <conditionalFormatting sqref="M67:M67">
    <cfRule priority="1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{567EF87D-BF68-4F11-AE8B-4A39D9501F75}</x14:id>
        </ext>
      </extLst>
    </cfRule>
  </conditionalFormatting>
  <conditionalFormatting sqref="AI68:AI68">
    <cfRule priority="1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{2BE3FDE7-4989-4B23-9562-133963C84907}</x14:id>
        </ext>
      </extLst>
    </cfRule>
  </conditionalFormatting>
  <conditionalFormatting sqref="AH50:AH50">
    <cfRule priority="1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{D2838DE2-CA2F-47A5-B9BF-BB191B15B396}</x14:id>
        </ext>
      </extLst>
    </cfRule>
  </conditionalFormatting>
  <conditionalFormatting sqref="N57:N57">
    <cfRule priority="13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{876DA617-9FFD-4088-8874-8B66715A02E2}</x14:id>
        </ext>
      </extLst>
    </cfRule>
  </conditionalFormatting>
  <conditionalFormatting sqref="AH65:AH65">
    <cfRule priority="1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{1C59429A-7250-4CAE-837D-48ABEE537CBB}</x14:id>
        </ext>
      </extLst>
    </cfRule>
  </conditionalFormatting>
  <conditionalFormatting sqref="AI73:AI73">
    <cfRule priority="13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{4206ECE4-003A-4D18-9B8D-9FCF16216740}</x14:id>
        </ext>
      </extLst>
    </cfRule>
  </conditionalFormatting>
  <conditionalFormatting sqref="N52:N52">
    <cfRule priority="13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{C24E10BE-96BC-4F69-B394-ED07C2521F93}</x14:id>
        </ext>
      </extLst>
    </cfRule>
  </conditionalFormatting>
  <conditionalFormatting sqref="BD49:BD49">
    <cfRule priority="1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{AEE6DEB0-7EE5-4658-91E4-E83EFC51D226}</x14:id>
        </ext>
      </extLst>
    </cfRule>
  </conditionalFormatting>
  <conditionalFormatting sqref="AJ2:AJ2">
    <cfRule priority="13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{40FF9F25-54E0-4A41-8552-4CD59BC6CBDD}</x14:id>
        </ext>
      </extLst>
    </cfRule>
  </conditionalFormatting>
  <conditionalFormatting sqref="BE60:BE60">
    <cfRule priority="1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{73397DB5-81B7-42D6-A623-9947CD1EE248}</x14:id>
        </ext>
      </extLst>
    </cfRule>
  </conditionalFormatting>
  <conditionalFormatting sqref="BD62:BD62">
    <cfRule priority="13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{622B09FB-7DA7-4FC9-94BD-7B17A1B9358C}</x14:id>
        </ext>
      </extLst>
    </cfRule>
  </conditionalFormatting>
  <conditionalFormatting sqref="AI70:AI70">
    <cfRule priority="13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{3C0A722F-AF83-4F64-974B-7A4C362CF781}</x14:id>
        </ext>
      </extLst>
    </cfRule>
  </conditionalFormatting>
  <conditionalFormatting sqref="M50:M50">
    <cfRule priority="13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{45D88076-19AF-4003-BE59-E89DE6F413BF}</x14:id>
        </ext>
      </extLst>
    </cfRule>
  </conditionalFormatting>
  <conditionalFormatting sqref="N1:N2 P1:P1">
    <cfRule priority="1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{E3A8A227-AE8F-4513-A15E-01558DBD817E}</x14:id>
        </ext>
      </extLst>
    </cfRule>
  </conditionalFormatting>
  <conditionalFormatting sqref="M93:M162">
    <cfRule priority="1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{17FE0949-A09B-4318-80D3-484C4B71CE87}</x14:id>
        </ext>
      </extLst>
    </cfRule>
  </conditionalFormatting>
  <conditionalFormatting sqref="BE63:BE63">
    <cfRule priority="1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{1E48BF18-1610-43E1-9543-66A9B23B8474}</x14:id>
        </ext>
      </extLst>
    </cfRule>
  </conditionalFormatting>
  <conditionalFormatting sqref="BE75:BE92">
    <cfRule priority="1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{FE8AEA4C-C6F0-49B3-8D7E-52DA3E56B271}</x14:id>
        </ext>
      </extLst>
    </cfRule>
  </conditionalFormatting>
  <conditionalFormatting sqref="AH49:AH49">
    <cfRule priority="1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{A3B0CED7-83E2-4900-8833-A2FC2A2C75F8}</x14:id>
        </ext>
      </extLst>
    </cfRule>
  </conditionalFormatting>
  <conditionalFormatting sqref="AI2:AI2">
    <cfRule priority="1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{D15298FF-1EDB-4E1F-9E7B-310038A2E189}</x14:id>
        </ext>
      </extLst>
    </cfRule>
  </conditionalFormatting>
  <conditionalFormatting sqref="N60:N60">
    <cfRule priority="14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{582A500A-1871-4C82-B807-E6BA31C38A26}</x14:id>
        </ext>
      </extLst>
    </cfRule>
  </conditionalFormatting>
  <conditionalFormatting sqref="AN2:AN2">
    <cfRule priority="147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{A843E0F7-61B4-47BB-B35F-99A3FD661F11}</x14:id>
        </ext>
      </extLst>
    </cfRule>
  </conditionalFormatting>
  <conditionalFormatting sqref="BD70:BD70">
    <cfRule priority="1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{E498F985-0AB4-4492-98DE-CB8858A74F4D}</x14:id>
        </ext>
      </extLst>
    </cfRule>
  </conditionalFormatting>
  <conditionalFormatting sqref="BD74:BD74">
    <cfRule priority="1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{88682502-1B87-4299-9304-001376BAF17F}</x14:id>
        </ext>
      </extLst>
    </cfRule>
  </conditionalFormatting>
  <conditionalFormatting sqref="AH74:AH74">
    <cfRule priority="1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{618CDAD0-0D2C-415B-A4B2-55EB82419CBA}</x14:id>
        </ext>
      </extLst>
    </cfRule>
  </conditionalFormatting>
  <conditionalFormatting sqref="N65:N65">
    <cfRule priority="15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{07E51357-2FCC-4EEE-B1BB-A20B43C6BE9B}</x14:id>
        </ext>
      </extLst>
    </cfRule>
  </conditionalFormatting>
  <conditionalFormatting sqref="BE3:BE3">
    <cfRule priority="15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{1F783E82-780A-49D6-9032-6CFE345FD59B}</x14:id>
        </ext>
      </extLst>
    </cfRule>
  </conditionalFormatting>
  <conditionalFormatting sqref="BD50:BD50">
    <cfRule priority="1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{8AFD7D8C-FAD0-4E73-B52F-32F77FB3DDA1}</x14:id>
        </ext>
      </extLst>
    </cfRule>
  </conditionalFormatting>
  <conditionalFormatting sqref="BD8:BD8">
    <cfRule priority="15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{AD86EA7F-7165-4286-AB73-4721B9E5A617}</x14:id>
        </ext>
      </extLst>
    </cfRule>
  </conditionalFormatting>
  <conditionalFormatting sqref="AI62:AI62">
    <cfRule priority="1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{5CE3A657-105D-4ED6-8360-97504B1977A3}</x14:id>
        </ext>
      </extLst>
    </cfRule>
  </conditionalFormatting>
  <conditionalFormatting sqref="BE71:BE71">
    <cfRule priority="1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{B65BA52A-F394-469F-AB75-7F4835EE1925}</x14:id>
        </ext>
      </extLst>
    </cfRule>
  </conditionalFormatting>
  <conditionalFormatting sqref="AH72:AH72">
    <cfRule priority="1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{53B356C4-974F-4658-B60F-ED805BEC2D0E}</x14:id>
        </ext>
      </extLst>
    </cfRule>
  </conditionalFormatting>
  <conditionalFormatting sqref="N61:N61">
    <cfRule priority="15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{E0B458A8-6E69-499E-A956-E8EB6F07A336}</x14:id>
        </ext>
      </extLst>
    </cfRule>
  </conditionalFormatting>
  <conditionalFormatting sqref="M58:M58">
    <cfRule priority="15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{51BF9C24-D46B-43E5-9ACE-AF38EFEF0345}</x14:id>
        </ext>
      </extLst>
    </cfRule>
  </conditionalFormatting>
  <conditionalFormatting sqref="Q1:Q2 S1:T1">
    <cfRule priority="16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{2E862E0C-57F1-4472-9D78-B2ED4B21805F}</x14:id>
        </ext>
      </extLst>
    </cfRule>
  </conditionalFormatting>
  <conditionalFormatting sqref="BD7:BD7">
    <cfRule priority="1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{F4D5D143-9D5E-4739-BFAD-18D660B65ABF}</x14:id>
        </ext>
      </extLst>
    </cfRule>
  </conditionalFormatting>
  <conditionalFormatting sqref="AH71:AH71">
    <cfRule priority="16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{E09EEC2A-5B7C-4059-9274-B333BC8144AF}</x14:id>
        </ext>
      </extLst>
    </cfRule>
  </conditionalFormatting>
  <conditionalFormatting sqref="BD5:BD5">
    <cfRule priority="16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{7A0FAE7D-00A9-4E6B-A12B-323CFE0BE566}</x14:id>
        </ext>
      </extLst>
    </cfRule>
  </conditionalFormatting>
  <conditionalFormatting sqref="BD68:BD68">
    <cfRule priority="16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{6C73FAA7-EA01-46FD-BF82-D4E2CD2BD745}</x14:id>
        </ext>
      </extLst>
    </cfRule>
  </conditionalFormatting>
  <conditionalFormatting sqref="BD54:BD54">
    <cfRule priority="16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{4C97BBFD-9374-4AC5-9657-8D1FFF2A897C}</x14:id>
        </ext>
      </extLst>
    </cfRule>
  </conditionalFormatting>
  <conditionalFormatting sqref="BD72:BD72">
    <cfRule priority="16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{5F89AB73-175E-4182-BB29-720B7CD4CDE7}</x14:id>
        </ext>
      </extLst>
    </cfRule>
  </conditionalFormatting>
  <conditionalFormatting sqref="M48:M48">
    <cfRule priority="16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{254B0ABA-3868-4464-A586-B2A17DAA9F66}</x14:id>
        </ext>
      </extLst>
    </cfRule>
  </conditionalFormatting>
  <conditionalFormatting sqref="N64:N64">
    <cfRule priority="16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{412281AB-1524-4D2B-B517-FD0C59F5B5E3}</x14:id>
        </ext>
      </extLst>
    </cfRule>
  </conditionalFormatting>
  <conditionalFormatting sqref="AH74:AH74">
    <cfRule priority="16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{58E64090-6622-47DC-A4FD-0B5D01BDF3CE}</x14:id>
        </ext>
      </extLst>
    </cfRule>
  </conditionalFormatting>
  <conditionalFormatting sqref="AI3:AI47">
    <cfRule priority="17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{D6C1A9CB-91CF-4B7F-97D6-40D16370C511}</x14:id>
        </ext>
      </extLst>
    </cfRule>
  </conditionalFormatting>
  <conditionalFormatting sqref="BD53:BD53">
    <cfRule priority="1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{C5214085-2940-43E9-94B0-828C7D26EAF7}</x14:id>
        </ext>
      </extLst>
    </cfRule>
  </conditionalFormatting>
  <conditionalFormatting sqref="AI67:AI67">
    <cfRule priority="17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{DC094B3E-21A0-4AAC-8044-0DF09138EA42}</x14:id>
        </ext>
      </extLst>
    </cfRule>
  </conditionalFormatting>
  <conditionalFormatting sqref="M75:M92">
    <cfRule priority="1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{2D3BA5A3-8839-439A-A469-1D39F49392D1}</x14:id>
        </ext>
      </extLst>
    </cfRule>
  </conditionalFormatting>
  <conditionalFormatting sqref="AH70:AH70">
    <cfRule priority="1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{3C687C69-61C9-4782-AD95-6A32B4C3CD36}</x14:id>
        </ext>
      </extLst>
    </cfRule>
  </conditionalFormatting>
  <conditionalFormatting sqref="AH62:AH62">
    <cfRule priority="17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{F18A510A-ACCC-43EE-8208-8C123E6222B2}</x14:id>
        </ext>
      </extLst>
    </cfRule>
  </conditionalFormatting>
  <conditionalFormatting sqref="AN2:AN2">
    <cfRule priority="17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{AD86F580-3EF2-4440-975F-24D532BBE246}</x14:id>
        </ext>
      </extLst>
    </cfRule>
  </conditionalFormatting>
  <conditionalFormatting sqref="AN2:AN2">
    <cfRule priority="17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{F7A342B6-A1B5-4DA1-99E5-22013C0B52C9}</x14:id>
        </ext>
      </extLst>
    </cfRule>
  </conditionalFormatting>
  <conditionalFormatting sqref="BD3:BD3">
    <cfRule priority="1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{1761C828-96D5-49D5-9DBD-ABD8EE8A46C8}</x14:id>
        </ext>
      </extLst>
    </cfRule>
  </conditionalFormatting>
  <conditionalFormatting sqref="BD51:BD51">
    <cfRule priority="17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{440B2B2C-A567-481F-BE9F-C2826AC29988}</x14:id>
        </ext>
      </extLst>
    </cfRule>
  </conditionalFormatting>
  <conditionalFormatting sqref="N50:N50">
    <cfRule priority="18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{C41A90E0-DEA5-4E90-924D-F44CE44597A8}</x14:id>
        </ext>
      </extLst>
    </cfRule>
  </conditionalFormatting>
  <conditionalFormatting sqref="AH53:AH53">
    <cfRule priority="18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{E7230904-0DB4-498E-85C4-8B4E393BFF6C}</x14:id>
        </ext>
      </extLst>
    </cfRule>
  </conditionalFormatting>
  <conditionalFormatting sqref="AH61:AH61">
    <cfRule priority="18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{6262A690-0909-46E8-9363-0BE09C65E5D9}</x14:id>
        </ext>
      </extLst>
    </cfRule>
  </conditionalFormatting>
  <conditionalFormatting sqref="AO2:AO2">
    <cfRule priority="183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{77E58249-F63E-47AF-884D-708D31B06738}</x14:id>
        </ext>
      </extLst>
    </cfRule>
  </conditionalFormatting>
  <conditionalFormatting sqref="N1:N2">
    <cfRule priority="18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{22A1E463-DDD7-4F90-AF51-3F8B4A3C0F68}</x14:id>
        </ext>
      </extLst>
    </cfRule>
  </conditionalFormatting>
  <conditionalFormatting sqref="N48:N48">
    <cfRule priority="18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{44B69B4E-23BD-4A19-80D4-B5963E585563}</x14:id>
        </ext>
      </extLst>
    </cfRule>
  </conditionalFormatting>
  <conditionalFormatting sqref="N49:N49">
    <cfRule priority="18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{EFEF82C1-2DE0-4244-8343-2AB7AAC7D1D6}</x14:id>
        </ext>
      </extLst>
    </cfRule>
  </conditionalFormatting>
  <conditionalFormatting sqref="AH62:AH62">
    <cfRule priority="1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{3C96C5BF-369B-44DF-B926-1BBC4B8D1222}</x14:id>
        </ext>
      </extLst>
    </cfRule>
  </conditionalFormatting>
  <conditionalFormatting sqref="BD59:BD59">
    <cfRule priority="18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{D0F86294-7DDD-4E3C-A47D-EF1D7BDE9B79}</x14:id>
        </ext>
      </extLst>
    </cfRule>
  </conditionalFormatting>
  <conditionalFormatting sqref="AH56:AH56">
    <cfRule priority="1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{9E6510B2-F9AD-4FBD-827A-169679941924}</x14:id>
        </ext>
      </extLst>
    </cfRule>
  </conditionalFormatting>
  <conditionalFormatting sqref="AI51:AI51">
    <cfRule priority="19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{6234F73E-C835-410A-879E-17D56251F31A}</x14:id>
        </ext>
      </extLst>
    </cfRule>
  </conditionalFormatting>
  <conditionalFormatting sqref="AI52:AI52">
    <cfRule priority="19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{2A13F099-BB73-454D-A2D2-9DB14286EDAB}</x14:id>
        </ext>
      </extLst>
    </cfRule>
  </conditionalFormatting>
  <conditionalFormatting sqref="N75:N92">
    <cfRule priority="19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{16C97E74-1A35-4EB2-8C56-55990C4516D3}</x14:id>
        </ext>
      </extLst>
    </cfRule>
  </conditionalFormatting>
  <conditionalFormatting sqref="M57:M57">
    <cfRule priority="1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{9341D1E4-23A0-4574-8808-68E6E46277C6}</x14:id>
        </ext>
      </extLst>
    </cfRule>
  </conditionalFormatting>
  <conditionalFormatting sqref="AI54:AI54">
    <cfRule priority="1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{9589F567-D747-4FF9-9A64-7F94AAEC3161}</x14:id>
        </ext>
      </extLst>
    </cfRule>
  </conditionalFormatting>
  <conditionalFormatting sqref="M66:M66">
    <cfRule priority="1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{6F048646-378D-4183-8757-DCEB397D2180}</x14:id>
        </ext>
      </extLst>
    </cfRule>
  </conditionalFormatting>
  <conditionalFormatting sqref="AO2:AO2">
    <cfRule priority="196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{E6F06006-9FF9-439A-8BE2-BE335A60872A}</x14:id>
        </ext>
      </extLst>
    </cfRule>
  </conditionalFormatting>
  <conditionalFormatting sqref="BD73:BD73">
    <cfRule priority="1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{AF5B19C9-B213-455D-8263-32BC6DDA8147}</x14:id>
        </ext>
      </extLst>
    </cfRule>
  </conditionalFormatting>
  <conditionalFormatting sqref="BE70:BE70">
    <cfRule priority="1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{01D0EE3A-B32B-48F2-8615-D0772AF270C1}</x14:id>
        </ext>
      </extLst>
    </cfRule>
  </conditionalFormatting>
  <conditionalFormatting sqref="AH58:AH58">
    <cfRule priority="19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{4E4A6367-34A9-47AE-8707-043F7EE88195}</x14:id>
        </ext>
      </extLst>
    </cfRule>
  </conditionalFormatting>
  <conditionalFormatting sqref="N56:N56">
    <cfRule priority="20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{98D843AE-791D-4848-AE39-B9CE024293B4}</x14:id>
        </ext>
      </extLst>
    </cfRule>
  </conditionalFormatting>
  <conditionalFormatting sqref="AH53:AH53">
    <cfRule priority="20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{A956F101-A2CF-43A4-B60E-F2FF2C0D880C}</x14:id>
        </ext>
      </extLst>
    </cfRule>
  </conditionalFormatting>
  <conditionalFormatting sqref="AH48:AH48">
    <cfRule priority="20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{F9F2836A-57C1-42D4-9502-F5B93F28EF99}</x14:id>
        </ext>
      </extLst>
    </cfRule>
  </conditionalFormatting>
  <conditionalFormatting sqref="N93:N162">
    <cfRule priority="20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{10173DE9-CEE8-4B44-9C55-52B49DDB83B2}</x14:id>
        </ext>
      </extLst>
    </cfRule>
  </conditionalFormatting>
  <conditionalFormatting sqref="AO2:AO2">
    <cfRule priority="204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{05A1190D-BE6F-4D0D-A04A-53B6B9388E46}</x14:id>
        </ext>
      </extLst>
    </cfRule>
  </conditionalFormatting>
  <conditionalFormatting sqref="N71:N71">
    <cfRule priority="20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{7C45790B-70A2-48DA-B7F4-6BBB5AC09E93}</x14:id>
        </ext>
      </extLst>
    </cfRule>
  </conditionalFormatting>
  <conditionalFormatting sqref="BD69:BD69">
    <cfRule priority="20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{0548D971-C873-445D-B437-F2A539F15BF0}</x14:id>
        </ext>
      </extLst>
    </cfRule>
  </conditionalFormatting>
  <conditionalFormatting sqref="AH48:AH48">
    <cfRule priority="20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{52322C75-6AAD-4508-998B-F0AE5FE2285D}</x14:id>
        </ext>
      </extLst>
    </cfRule>
  </conditionalFormatting>
  <conditionalFormatting sqref="M61:M61">
    <cfRule priority="2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{2AD6F992-EA19-429E-9912-8EB43306B55A}</x14:id>
        </ext>
      </extLst>
    </cfRule>
  </conditionalFormatting>
  <conditionalFormatting sqref="AH66:AH66">
    <cfRule priority="20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{BD117C91-9E61-42A0-9D4E-884154801D4B}</x14:id>
        </ext>
      </extLst>
    </cfRule>
  </conditionalFormatting>
  <conditionalFormatting sqref="AI93:AI162">
    <cfRule priority="2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{A0FE4117-4D19-494B-B3A4-4984CE8D7829}</x14:id>
        </ext>
      </extLst>
    </cfRule>
  </conditionalFormatting>
  <conditionalFormatting sqref="M3:M47">
    <cfRule priority="2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{36EFA91E-2DF9-48F3-BDA3-5E66C84EC1EA}</x14:id>
        </ext>
      </extLst>
    </cfRule>
  </conditionalFormatting>
  <conditionalFormatting sqref="N66:N66">
    <cfRule priority="21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{37B40A1A-247B-4469-B897-24AB888262AC}</x14:id>
        </ext>
      </extLst>
    </cfRule>
  </conditionalFormatting>
  <conditionalFormatting sqref="AI74:AI74">
    <cfRule priority="2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{9D679CA3-84B1-420F-8BCB-8957FA3905F9}</x14:id>
        </ext>
      </extLst>
    </cfRule>
  </conditionalFormatting>
  <conditionalFormatting sqref="BD65:BD65">
    <cfRule priority="2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{9E062E97-A2C1-465E-B28E-50127DE3E5DD}</x14:id>
        </ext>
      </extLst>
    </cfRule>
  </conditionalFormatting>
  <conditionalFormatting sqref="BE93:BE162">
    <cfRule priority="2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{100CD1DD-B3D9-46FC-9598-95B1662ED7A8}</x14:id>
        </ext>
      </extLst>
    </cfRule>
  </conditionalFormatting>
  <conditionalFormatting sqref="AI75:AI92">
    <cfRule priority="2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{6D4EA6E5-F2ED-4209-BEA7-217DD4E55414}</x14:id>
        </ext>
      </extLst>
    </cfRule>
  </conditionalFormatting>
  <conditionalFormatting sqref="AH57:AH57">
    <cfRule priority="2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{417ED2AF-176A-4FE1-A6FA-90FCADD22C0A}</x14:id>
        </ext>
      </extLst>
    </cfRule>
  </conditionalFormatting>
  <conditionalFormatting sqref="BE62:BE62">
    <cfRule priority="2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{29E3DC4D-1BA7-4CE5-863A-6AC0682EAE5B}</x14:id>
        </ext>
      </extLst>
    </cfRule>
  </conditionalFormatting>
  <conditionalFormatting sqref="N51:N51">
    <cfRule priority="21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{B5D8555B-CF6C-4217-918B-81A21551403C}</x14:id>
        </ext>
      </extLst>
    </cfRule>
  </conditionalFormatting>
  <conditionalFormatting sqref="AH70:AH70">
    <cfRule priority="22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{94B7595D-0583-422B-854E-86A3C0ACFDFE}</x14:id>
        </ext>
      </extLst>
    </cfRule>
  </conditionalFormatting>
  <conditionalFormatting sqref="M59:M59">
    <cfRule priority="2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{63CD6F67-60F9-4502-8C5E-77BD2089616C}</x14:id>
        </ext>
      </extLst>
    </cfRule>
  </conditionalFormatting>
  <conditionalFormatting sqref="N53:N53">
    <cfRule priority="22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{85E5E055-052D-4F29-8F18-D9A090D8DF6D}</x14:id>
        </ext>
      </extLst>
    </cfRule>
  </conditionalFormatting>
  <conditionalFormatting sqref="AH63:AH63">
    <cfRule priority="2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{BCF2063F-3130-41F4-BB1D-FD0237C05835}</x14:id>
        </ext>
      </extLst>
    </cfRule>
  </conditionalFormatting>
  <conditionalFormatting sqref="BE49:BE49">
    <cfRule priority="22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{03396D27-A69D-4717-825D-E5FBF83E1065}</x14:id>
        </ext>
      </extLst>
    </cfRule>
  </conditionalFormatting>
  <conditionalFormatting sqref="M51:M51">
    <cfRule priority="2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{0E4DCE17-7469-48CA-80C6-33A3FD2AFEE1}</x14:id>
        </ext>
      </extLst>
    </cfRule>
  </conditionalFormatting>
  <conditionalFormatting sqref="AH75:AH92">
    <cfRule priority="22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{75F825C4-B115-4F40-8DBA-B754D4730DDB}</x14:id>
        </ext>
      </extLst>
    </cfRule>
  </conditionalFormatting>
  <conditionalFormatting sqref="BE57:BE57">
    <cfRule priority="2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{7279962D-BE83-4946-AA62-1650CAC316DE}</x14:id>
        </ext>
      </extLst>
    </cfRule>
  </conditionalFormatting>
  <conditionalFormatting sqref="AH64:AH64">
    <cfRule priority="2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{8D3F7D9D-FEE0-4D52-B180-161A8A0E64FD}</x14:id>
        </ext>
      </extLst>
    </cfRule>
  </conditionalFormatting>
  <conditionalFormatting sqref="AI69:AI69">
    <cfRule priority="22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{D62984CF-8926-495F-A032-9293BB770597}</x14:id>
        </ext>
      </extLst>
    </cfRule>
  </conditionalFormatting>
  <conditionalFormatting sqref="BD52:BD52">
    <cfRule priority="23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{F38050D1-E909-4B43-A2D9-762CEC1C9C6A}</x14:id>
        </ext>
      </extLst>
    </cfRule>
  </conditionalFormatting>
  <conditionalFormatting sqref="BE7:BE7">
    <cfRule priority="23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{B6E26999-3B65-464C-A132-9B3858B9E012}</x14:id>
        </ext>
      </extLst>
    </cfRule>
  </conditionalFormatting>
  <conditionalFormatting sqref="BD64:BD64">
    <cfRule priority="2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{AA14F35B-BECB-4A46-83CE-2362E45F1328}</x14:id>
        </ext>
      </extLst>
    </cfRule>
  </conditionalFormatting>
  <conditionalFormatting sqref="AH60:AH60">
    <cfRule priority="2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{E8B85A1F-C69C-4DFA-8E28-652BFD0F450F}</x14:id>
        </ext>
      </extLst>
    </cfRule>
  </conditionalFormatting>
  <conditionalFormatting sqref="AI66:AI66">
    <cfRule priority="23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{FC246226-62DE-4748-8BDF-5CFDEDEB2EB3}</x14:id>
        </ext>
      </extLst>
    </cfRule>
  </conditionalFormatting>
  <conditionalFormatting sqref="BE52:BE52">
    <cfRule priority="23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{1941F60E-7A05-44D2-8D38-D6C558B91C11}</x14:id>
        </ext>
      </extLst>
    </cfRule>
  </conditionalFormatting>
  <conditionalFormatting sqref="AH60:AH60">
    <cfRule priority="23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{BC5D2E1E-CFBB-47E0-965E-C0D0AFB22EDF}</x14:id>
        </ext>
      </extLst>
    </cfRule>
  </conditionalFormatting>
  <conditionalFormatting sqref="M63:M63">
    <cfRule priority="2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{64092FF6-FCCE-4125-BFFA-187700324802}</x14:id>
        </ext>
      </extLst>
    </cfRule>
  </conditionalFormatting>
  <conditionalFormatting sqref="M65:M65">
    <cfRule priority="23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{EFFEE267-FE94-4D82-94A3-01550976703F}</x14:id>
        </ext>
      </extLst>
    </cfRule>
  </conditionalFormatting>
  <conditionalFormatting sqref="N69:N69">
    <cfRule priority="23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{25A9420E-6727-4666-B876-A4B9FEDED002}</x14:id>
        </ext>
      </extLst>
    </cfRule>
  </conditionalFormatting>
  <conditionalFormatting sqref="AH71:AH71">
    <cfRule priority="24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{45925DFF-B7FF-498D-9263-005F6D533062}</x14:id>
        </ext>
      </extLst>
    </cfRule>
  </conditionalFormatting>
  <conditionalFormatting sqref="AI63:AI63">
    <cfRule priority="2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{609B046D-9E3D-41E5-B8CF-27822873AEC8}</x14:id>
        </ext>
      </extLst>
    </cfRule>
  </conditionalFormatting>
  <conditionalFormatting sqref="BE65:BE65">
    <cfRule priority="2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{16F5B41E-B204-4508-BAC7-84E19DB64704}</x14:id>
        </ext>
      </extLst>
    </cfRule>
  </conditionalFormatting>
  <conditionalFormatting sqref="BD67:BD67">
    <cfRule priority="24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{A8787CB8-18FB-4E74-B468-8E4F38311D01}</x14:id>
        </ext>
      </extLst>
    </cfRule>
  </conditionalFormatting>
  <conditionalFormatting sqref="BE5:BE5">
    <cfRule priority="24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{6B9FD3CA-84CD-4132-8CC8-9B01CAF34BEC}</x14:id>
        </ext>
      </extLst>
    </cfRule>
  </conditionalFormatting>
  <conditionalFormatting sqref="N55:N55">
    <cfRule priority="24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{6090F29A-2BAC-4671-8E7E-88C02A3A451B}</x14:id>
        </ext>
      </extLst>
    </cfRule>
  </conditionalFormatting>
  <conditionalFormatting sqref="AI50:AI50">
    <cfRule priority="2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{46D8C402-88B0-4E68-AC9E-5B44EEF2FB93}</x14:id>
        </ext>
      </extLst>
    </cfRule>
  </conditionalFormatting>
  <conditionalFormatting sqref="BE73:BE73">
    <cfRule priority="24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{1EA5E066-4F79-4D32-B410-973F5367BEF3}</x14:id>
        </ext>
      </extLst>
    </cfRule>
  </conditionalFormatting>
  <conditionalFormatting sqref="N54:N54">
    <cfRule priority="24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{F8EE7716-44D1-4236-986B-89C3F0662B8F}</x14:id>
        </ext>
      </extLst>
    </cfRule>
  </conditionalFormatting>
  <conditionalFormatting sqref="AH61:AH61">
    <cfRule priority="2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{EBE4B3C6-BB0B-4BCD-8DFF-C53091589573}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1334C6-B17B-4FD7-9F8B-0A0894AED62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R1:R1</xm:sqref>
        </x14:conditionalFormatting>
        <x14:conditionalFormatting xmlns:xm="http://schemas.microsoft.com/office/excel/2006/main">
          <x14:cfRule type="dataBar" id="{858BA1C0-E56F-4E8D-9A23-F266F0EEC12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R1:R1</xm:sqref>
        </x14:conditionalFormatting>
        <x14:conditionalFormatting xmlns:xm="http://schemas.microsoft.com/office/excel/2006/main">
          <x14:cfRule type="dataBar" id="{8F1397AB-7012-40B9-AEFA-B56019F77B2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AH50:AH50</xm:sqref>
        </x14:conditionalFormatting>
        <x14:conditionalFormatting xmlns:xm="http://schemas.microsoft.com/office/excel/2006/main">
          <x14:cfRule type="dataBar" id="{BB5C4928-51E7-4E4F-86B4-1466A56F995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AI72:AI72</xm:sqref>
        </x14:conditionalFormatting>
        <x14:conditionalFormatting xmlns:xm="http://schemas.microsoft.com/office/excel/2006/main">
          <x14:cfRule type="dataBar" id="{CA6B78A5-5511-42DF-8CC0-DE323C65AFD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M71:M71</xm:sqref>
        </x14:conditionalFormatting>
        <x14:conditionalFormatting xmlns:xm="http://schemas.microsoft.com/office/excel/2006/main">
          <x14:cfRule type="dataBar" id="{A751A5B7-7028-4752-BECC-2398F15E8AF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BD63:BD63</xm:sqref>
        </x14:conditionalFormatting>
        <x14:conditionalFormatting xmlns:xm="http://schemas.microsoft.com/office/excel/2006/main">
          <x14:cfRule type="dataBar" id="{EF44E1D8-1FB1-4A20-BE9B-913C5FDCFEC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BE51:BE51</xm:sqref>
        </x14:conditionalFormatting>
        <x14:conditionalFormatting xmlns:xm="http://schemas.microsoft.com/office/excel/2006/main">
          <x14:cfRule type="dataBar" id="{035A734B-A849-4623-B7CC-5D412F5FDA1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AH55:AH55</xm:sqref>
        </x14:conditionalFormatting>
        <x14:conditionalFormatting xmlns:xm="http://schemas.microsoft.com/office/excel/2006/main">
          <x14:cfRule type="dataBar" id="{E825C61A-330F-4A7C-A50A-9F773295E3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AH3:AH47</xm:sqref>
        </x14:conditionalFormatting>
        <x14:conditionalFormatting xmlns:xm="http://schemas.microsoft.com/office/excel/2006/main">
          <x14:cfRule type="dataBar" id="{3691EE5A-AF77-40A0-B400-0FA67CCFA9D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BE8:BE8</xm:sqref>
        </x14:conditionalFormatting>
        <x14:conditionalFormatting xmlns:xm="http://schemas.microsoft.com/office/excel/2006/main">
          <x14:cfRule type="dataBar" id="{91538422-1D74-4FCA-AFF7-52272B9A9F7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BE55:BE55</xm:sqref>
        </x14:conditionalFormatting>
        <x14:conditionalFormatting xmlns:xm="http://schemas.microsoft.com/office/excel/2006/main">
          <x14:cfRule type="dataBar" id="{5246598C-61D7-4DF2-A12C-3A8C89A9A3C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BD60:BD60</xm:sqref>
        </x14:conditionalFormatting>
        <x14:conditionalFormatting xmlns:xm="http://schemas.microsoft.com/office/excel/2006/main">
          <x14:cfRule type="dataBar" id="{0DF14182-FD5C-4ADE-B02C-DEC7D0BA8CC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AH52:AH52</xm:sqref>
        </x14:conditionalFormatting>
        <x14:conditionalFormatting xmlns:xm="http://schemas.microsoft.com/office/excel/2006/main">
          <x14:cfRule type="dataBar" id="{38284F3C-EE2A-4A53-8135-4864BB111F3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AH67:AH67</xm:sqref>
        </x14:conditionalFormatting>
        <x14:conditionalFormatting xmlns:xm="http://schemas.microsoft.com/office/excel/2006/main">
          <x14:cfRule type="dataBar" id="{5F315F8A-CA7F-43D1-8459-0CF72252A3F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AI64:AI64</xm:sqref>
        </x14:conditionalFormatting>
        <x14:conditionalFormatting xmlns:xm="http://schemas.microsoft.com/office/excel/2006/main">
          <x14:cfRule type="dataBar" id="{DCD73E08-29D6-42A7-8BC4-E03F9C4C011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N73:N73</xm:sqref>
        </x14:conditionalFormatting>
        <x14:conditionalFormatting xmlns:xm="http://schemas.microsoft.com/office/excel/2006/main">
          <x14:cfRule type="dataBar" id="{92EF4A35-B0D0-4194-A5E1-8B81AFFA16D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BE66:BE66</xm:sqref>
        </x14:conditionalFormatting>
        <x14:conditionalFormatting xmlns:xm="http://schemas.microsoft.com/office/excel/2006/main">
          <x14:cfRule type="dataBar" id="{84D404BE-8834-410E-9815-880FCB39E25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AH3:AH47</xm:sqref>
        </x14:conditionalFormatting>
        <x14:conditionalFormatting xmlns:xm="http://schemas.microsoft.com/office/excel/2006/main">
          <x14:cfRule type="dataBar" id="{1D4E393C-C70A-46D7-94EB-59A31BED30B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BE69:BE69</xm:sqref>
        </x14:conditionalFormatting>
        <x14:conditionalFormatting xmlns:xm="http://schemas.microsoft.com/office/excel/2006/main">
          <x14:cfRule type="dataBar" id="{AB12BB85-1985-429C-876C-728CC32CC47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AI65:AI65</xm:sqref>
        </x14:conditionalFormatting>
        <x14:conditionalFormatting xmlns:xm="http://schemas.microsoft.com/office/excel/2006/main">
          <x14:cfRule type="dataBar" id="{DA7F675F-64BE-45B4-82FE-B21AA6B8FC5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BE74:BE74</xm:sqref>
        </x14:conditionalFormatting>
        <x14:conditionalFormatting xmlns:xm="http://schemas.microsoft.com/office/excel/2006/main">
          <x14:cfRule type="dataBar" id="{E6589FCF-816F-41CA-B44E-B484D9EA94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N67:N67</xm:sqref>
        </x14:conditionalFormatting>
        <x14:conditionalFormatting xmlns:xm="http://schemas.microsoft.com/office/excel/2006/main">
          <x14:cfRule type="dataBar" id="{07F87A5D-67C6-4684-AF8C-FC994C43185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AH51:AH51</xm:sqref>
        </x14:conditionalFormatting>
        <x14:conditionalFormatting xmlns:xm="http://schemas.microsoft.com/office/excel/2006/main">
          <x14:cfRule type="dataBar" id="{43451D23-63BD-42F8-9412-BD4A97C291C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BD58:BD58</xm:sqref>
        </x14:conditionalFormatting>
        <x14:conditionalFormatting xmlns:xm="http://schemas.microsoft.com/office/excel/2006/main">
          <x14:cfRule type="dataBar" id="{FF5BFD49-A8A4-4528-8A04-602B4F2B305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AH69:AH69</xm:sqref>
        </x14:conditionalFormatting>
        <x14:conditionalFormatting xmlns:xm="http://schemas.microsoft.com/office/excel/2006/main">
          <x14:cfRule type="dataBar" id="{81A7683B-142F-404E-86F9-C190482B8D7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A8CB7667-CB52-42CA-9D27-E07A12901C9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AH68:AH68</xm:sqref>
        </x14:conditionalFormatting>
        <x14:conditionalFormatting xmlns:xm="http://schemas.microsoft.com/office/excel/2006/main">
          <x14:cfRule type="dataBar" id="{B985CA88-DF9A-4DE5-A2A1-8FED2F09E5B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AH64:AH64</xm:sqref>
        </x14:conditionalFormatting>
        <x14:conditionalFormatting xmlns:xm="http://schemas.microsoft.com/office/excel/2006/main">
          <x14:cfRule type="dataBar" id="{6564E8E4-9170-47AA-841E-6145A52EAB5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BE59:BE59</xm:sqref>
        </x14:conditionalFormatting>
        <x14:conditionalFormatting xmlns:xm="http://schemas.microsoft.com/office/excel/2006/main">
          <x14:cfRule type="dataBar" id="{DC97E425-D181-4E31-A81F-B3F41223062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M69:M69</xm:sqref>
        </x14:conditionalFormatting>
        <x14:conditionalFormatting xmlns:xm="http://schemas.microsoft.com/office/excel/2006/main">
          <x14:cfRule type="dataBar" id="{A51A3C40-CC24-484A-BBCC-89B63DD050F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BD48:BD48</xm:sqref>
        </x14:conditionalFormatting>
        <x14:conditionalFormatting xmlns:xm="http://schemas.microsoft.com/office/excel/2006/main">
          <x14:cfRule type="dataBar" id="{BCA3B485-5386-40AA-B198-83B16BCDE30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47C4E9A8-2994-43FE-857B-3D88DAD88F3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BD9:BD47</xm:sqref>
        </x14:conditionalFormatting>
        <x14:conditionalFormatting xmlns:xm="http://schemas.microsoft.com/office/excel/2006/main">
          <x14:cfRule type="dataBar" id="{C8C84AD5-99DE-45D0-873A-F414F58C463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AH51:AH51</xm:sqref>
        </x14:conditionalFormatting>
        <x14:conditionalFormatting xmlns:xm="http://schemas.microsoft.com/office/excel/2006/main">
          <x14:cfRule type="dataBar" id="{91442017-B382-44BC-9E17-CA1679CCA52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N74:N74</xm:sqref>
        </x14:conditionalFormatting>
        <x14:conditionalFormatting xmlns:xm="http://schemas.microsoft.com/office/excel/2006/main">
          <x14:cfRule type="dataBar" id="{AD6EA2A8-781C-4405-A830-8CF1D4C1A8D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M52:M52</xm:sqref>
        </x14:conditionalFormatting>
        <x14:conditionalFormatting xmlns:xm="http://schemas.microsoft.com/office/excel/2006/main">
          <x14:cfRule type="dataBar" id="{7DDEA998-F433-49C2-B895-00764AE5AA0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AI57:AI57</xm:sqref>
        </x14:conditionalFormatting>
        <x14:conditionalFormatting xmlns:xm="http://schemas.microsoft.com/office/excel/2006/main">
          <x14:cfRule type="dataBar" id="{4BB8A6F3-C11D-456E-B763-AB002D0E890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BD75:BD92</xm:sqref>
        </x14:conditionalFormatting>
        <x14:conditionalFormatting xmlns:xm="http://schemas.microsoft.com/office/excel/2006/main">
          <x14:cfRule type="dataBar" id="{B4D4167F-7EA0-4C89-943D-30643149DF2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N58:N58</xm:sqref>
        </x14:conditionalFormatting>
        <x14:conditionalFormatting xmlns:xm="http://schemas.microsoft.com/office/excel/2006/main">
          <x14:cfRule type="dataBar" id="{424A8525-FAC2-4BC6-9554-6FDCE2D3EA0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M70:M70</xm:sqref>
        </x14:conditionalFormatting>
        <x14:conditionalFormatting xmlns:xm="http://schemas.microsoft.com/office/excel/2006/main">
          <x14:cfRule type="dataBar" id="{F74EDE2C-AC7C-4CD3-AF1F-FBF420AFA3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N72:N72</xm:sqref>
        </x14:conditionalFormatting>
        <x14:conditionalFormatting xmlns:xm="http://schemas.microsoft.com/office/excel/2006/main">
          <x14:cfRule type="dataBar" id="{B27B900E-A72C-4F00-BEE6-83BB7D56BA3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BE4:BE4</xm:sqref>
        </x14:conditionalFormatting>
        <x14:conditionalFormatting xmlns:xm="http://schemas.microsoft.com/office/excel/2006/main">
          <x14:cfRule type="dataBar" id="{441F7BA4-F1A4-4374-84DC-A8955AFFC09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BE1:BE162</xm:sqref>
        </x14:conditionalFormatting>
        <x14:conditionalFormatting xmlns:xm="http://schemas.microsoft.com/office/excel/2006/main">
          <x14:cfRule type="dataBar" id="{256B395E-778B-475E-A3BC-7B71CC7A2D8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BD57:BD57</xm:sqref>
        </x14:conditionalFormatting>
        <x14:conditionalFormatting xmlns:xm="http://schemas.microsoft.com/office/excel/2006/main">
          <x14:cfRule type="dataBar" id="{D402C507-1342-4D00-966D-238C553A58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AH93:AH162</xm:sqref>
        </x14:conditionalFormatting>
        <x14:conditionalFormatting xmlns:xm="http://schemas.microsoft.com/office/excel/2006/main">
          <x14:cfRule type="dataBar" id="{4CD69BBB-DCE6-40E3-B57C-B1826EF3FFF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AH59:AH59</xm:sqref>
        </x14:conditionalFormatting>
        <x14:conditionalFormatting xmlns:xm="http://schemas.microsoft.com/office/excel/2006/main">
          <x14:cfRule type="dataBar" id="{27ABAEF9-3C61-4B23-A102-7978CF3E86D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BD55:BD55</xm:sqref>
        </x14:conditionalFormatting>
        <x14:conditionalFormatting xmlns:xm="http://schemas.microsoft.com/office/excel/2006/main">
          <x14:cfRule type="dataBar" id="{982C2F80-FEE9-4EA7-9F2F-D1442631822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BD71:BD71</xm:sqref>
        </x14:conditionalFormatting>
        <x14:conditionalFormatting xmlns:xm="http://schemas.microsoft.com/office/excel/2006/main">
          <x14:cfRule type="dataBar" id="{00B32DB9-1BE5-4855-B41F-F2B135A85EF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M1:M2</xm:sqref>
        </x14:conditionalFormatting>
        <x14:conditionalFormatting xmlns:xm="http://schemas.microsoft.com/office/excel/2006/main">
          <x14:cfRule type="dataBar" id="{C6E9CC0F-129A-4842-B165-E96C8C23563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M68:M68</xm:sqref>
        </x14:conditionalFormatting>
        <x14:conditionalFormatting xmlns:xm="http://schemas.microsoft.com/office/excel/2006/main">
          <x14:cfRule type="dataBar" id="{8C9E22D5-F097-4E48-8C11-3A668178FF5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AH72:AH72</xm:sqref>
        </x14:conditionalFormatting>
        <x14:conditionalFormatting xmlns:xm="http://schemas.microsoft.com/office/excel/2006/main">
          <x14:cfRule type="dataBar" id="{23243B8E-37ED-4228-BD35-BEC8E08AE9F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AH52:AH52</xm:sqref>
        </x14:conditionalFormatting>
        <x14:conditionalFormatting xmlns:xm="http://schemas.microsoft.com/office/excel/2006/main">
          <x14:cfRule type="dataBar" id="{221F4D6E-BA20-4BD3-816D-9FE3298BF39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99369509-D197-46F3-B7E0-BDB675488C5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N62:N62</xm:sqref>
        </x14:conditionalFormatting>
        <x14:conditionalFormatting xmlns:xm="http://schemas.microsoft.com/office/excel/2006/main">
          <x14:cfRule type="dataBar" id="{CE87E6D7-3340-46CA-93D7-3919F3F9F72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692E7AB2-3AFD-4040-B0DF-2C2C12110D4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AH65:AH65</xm:sqref>
        </x14:conditionalFormatting>
        <x14:conditionalFormatting xmlns:xm="http://schemas.microsoft.com/office/excel/2006/main">
          <x14:cfRule type="dataBar" id="{B139D92A-C4B5-41D9-B805-97562A4A766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BE64:BE64</xm:sqref>
        </x14:conditionalFormatting>
        <x14:conditionalFormatting xmlns:xm="http://schemas.microsoft.com/office/excel/2006/main">
          <x14:cfRule type="dataBar" id="{F47C5B21-5E02-4457-B333-1785AE45FA3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AH73:AH73</xm:sqref>
        </x14:conditionalFormatting>
        <x14:conditionalFormatting xmlns:xm="http://schemas.microsoft.com/office/excel/2006/main">
          <x14:cfRule type="dataBar" id="{8E429465-4F5A-4D14-A9B4-59ABFE4D179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AH54:AH54</xm:sqref>
        </x14:conditionalFormatting>
        <x14:conditionalFormatting xmlns:xm="http://schemas.microsoft.com/office/excel/2006/main">
          <x14:cfRule type="dataBar" id="{8DF4572D-9D95-45D7-9BA2-8DF5F137548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BE72:BE72</xm:sqref>
        </x14:conditionalFormatting>
        <x14:conditionalFormatting xmlns:xm="http://schemas.microsoft.com/office/excel/2006/main">
          <x14:cfRule type="dataBar" id="{1C189BBB-C87C-4BFB-BD8D-BBC5648133F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M72:M72</xm:sqref>
        </x14:conditionalFormatting>
        <x14:conditionalFormatting xmlns:xm="http://schemas.microsoft.com/office/excel/2006/main">
          <x14:cfRule type="dataBar" id="{797EE702-768F-4C64-975B-F41D9A17917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AH73:AH73</xm:sqref>
        </x14:conditionalFormatting>
        <x14:conditionalFormatting xmlns:xm="http://schemas.microsoft.com/office/excel/2006/main">
          <x14:cfRule type="dataBar" id="{3D3366DA-012A-489F-969A-3BB1DAC102B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AI56:AI56</xm:sqref>
        </x14:conditionalFormatting>
        <x14:conditionalFormatting xmlns:xm="http://schemas.microsoft.com/office/excel/2006/main">
          <x14:cfRule type="dataBar" id="{9A4795A4-4BBC-421E-B8CD-9D3DDAC7080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M55:M55</xm:sqref>
        </x14:conditionalFormatting>
        <x14:conditionalFormatting xmlns:xm="http://schemas.microsoft.com/office/excel/2006/main">
          <x14:cfRule type="dataBar" id="{A7401726-CFD0-4BF9-96D2-4C570524C93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BE50:BE50</xm:sqref>
        </x14:conditionalFormatting>
        <x14:conditionalFormatting xmlns:xm="http://schemas.microsoft.com/office/excel/2006/main">
          <x14:cfRule type="dataBar" id="{41549937-34E5-4492-95DB-328393EC1F0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M53:M53</xm:sqref>
        </x14:conditionalFormatting>
        <x14:conditionalFormatting xmlns:xm="http://schemas.microsoft.com/office/excel/2006/main">
          <x14:cfRule type="dataBar" id="{A9D6DB77-78E0-48F2-9E4D-C45153F5098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AI55:AI55</xm:sqref>
        </x14:conditionalFormatting>
        <x14:conditionalFormatting xmlns:xm="http://schemas.microsoft.com/office/excel/2006/main">
          <x14:cfRule type="dataBar" id="{C42F08A0-5C3D-4859-B6C2-D93955ADFBC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AI58:AI58</xm:sqref>
        </x14:conditionalFormatting>
        <x14:conditionalFormatting xmlns:xm="http://schemas.microsoft.com/office/excel/2006/main">
          <x14:cfRule type="dataBar" id="{1EFD8B67-510E-4BDD-AD73-D319EDE4304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M56:M56</xm:sqref>
        </x14:conditionalFormatting>
        <x14:conditionalFormatting xmlns:xm="http://schemas.microsoft.com/office/excel/2006/main">
          <x14:cfRule type="dataBar" id="{C6E8AB1D-B30D-47A4-BACD-0E55D5BC703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AH55:AH55</xm:sqref>
        </x14:conditionalFormatting>
        <x14:conditionalFormatting xmlns:xm="http://schemas.microsoft.com/office/excel/2006/main">
          <x14:cfRule type="dataBar" id="{EFB9E957-EC0A-43A0-BC1B-D658375BC04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AH67:AH67</xm:sqref>
        </x14:conditionalFormatting>
        <x14:conditionalFormatting xmlns:xm="http://schemas.microsoft.com/office/excel/2006/main">
          <x14:cfRule type="dataBar" id="{77A1AE34-A5BA-48E4-B3A3-42AD6D46BDD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N68:N68</xm:sqref>
        </x14:conditionalFormatting>
        <x14:conditionalFormatting xmlns:xm="http://schemas.microsoft.com/office/excel/2006/main">
          <x14:cfRule type="dataBar" id="{5BF9A765-A827-403D-BD4E-648B0C6F188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BE58:BE58</xm:sqref>
        </x14:conditionalFormatting>
        <x14:conditionalFormatting xmlns:xm="http://schemas.microsoft.com/office/excel/2006/main">
          <x14:cfRule type="dataBar" id="{79721942-C26A-491C-AF8B-7E575C7D0C5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AH69:AH69</xm:sqref>
        </x14:conditionalFormatting>
        <x14:conditionalFormatting xmlns:xm="http://schemas.microsoft.com/office/excel/2006/main">
          <x14:cfRule type="dataBar" id="{C9FD71EA-C463-43BA-AA55-514E1314F2B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M64:M64</xm:sqref>
        </x14:conditionalFormatting>
        <x14:conditionalFormatting xmlns:xm="http://schemas.microsoft.com/office/excel/2006/main">
          <x14:cfRule type="dataBar" id="{78D6C78F-F97F-41A2-8853-03418683ADC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M49:M49</xm:sqref>
        </x14:conditionalFormatting>
        <x14:conditionalFormatting xmlns:xm="http://schemas.microsoft.com/office/excel/2006/main">
          <x14:cfRule type="dataBar" id="{8DC19B69-CA09-4DE1-B088-887B3F53EB6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N70:N70</xm:sqref>
        </x14:conditionalFormatting>
        <x14:conditionalFormatting xmlns:xm="http://schemas.microsoft.com/office/excel/2006/main">
          <x14:cfRule type="dataBar" id="{6EC49B2B-DA14-42FB-98D6-99050B4BD42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AH75:AH92</xm:sqref>
        </x14:conditionalFormatting>
        <x14:conditionalFormatting xmlns:xm="http://schemas.microsoft.com/office/excel/2006/main">
          <x14:cfRule type="dataBar" id="{221D86B7-6966-4AB6-B8F0-F340ECBACD0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BE68:BE68</xm:sqref>
        </x14:conditionalFormatting>
        <x14:conditionalFormatting xmlns:xm="http://schemas.microsoft.com/office/excel/2006/main">
          <x14:cfRule type="dataBar" id="{D52D44B6-4FC3-484C-9963-3E70D9AEBE0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BE54:BE54</xm:sqref>
        </x14:conditionalFormatting>
        <x14:conditionalFormatting xmlns:xm="http://schemas.microsoft.com/office/excel/2006/main">
          <x14:cfRule type="dataBar" id="{41E97111-2BB3-4519-9EE1-E09FCE27F21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AH59:AH59</xm:sqref>
        </x14:conditionalFormatting>
        <x14:conditionalFormatting xmlns:xm="http://schemas.microsoft.com/office/excel/2006/main">
          <x14:cfRule type="dataBar" id="{E3CE8268-A6B2-46EA-8F87-3102BE9636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BE56:BE56</xm:sqref>
        </x14:conditionalFormatting>
        <x14:conditionalFormatting xmlns:xm="http://schemas.microsoft.com/office/excel/2006/main">
          <x14:cfRule type="dataBar" id="{70345875-8321-464E-B32A-C6E87F95880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N63:N63</xm:sqref>
        </x14:conditionalFormatting>
        <x14:conditionalFormatting xmlns:xm="http://schemas.microsoft.com/office/excel/2006/main">
          <x14:cfRule type="dataBar" id="{A1D43324-1222-44D2-98AF-9B5A7428E39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BD4:BD4</xm:sqref>
        </x14:conditionalFormatting>
        <x14:conditionalFormatting xmlns:xm="http://schemas.microsoft.com/office/excel/2006/main">
          <x14:cfRule type="dataBar" id="{CA24E43B-8944-443A-BD82-987454507D3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BE6:BE6</xm:sqref>
        </x14:conditionalFormatting>
        <x14:conditionalFormatting xmlns:xm="http://schemas.microsoft.com/office/excel/2006/main">
          <x14:cfRule type="dataBar" id="{9C9A5CAC-FE66-456B-BA53-8BFCCD3FE07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AI60:AI60</xm:sqref>
        </x14:conditionalFormatting>
        <x14:conditionalFormatting xmlns:xm="http://schemas.microsoft.com/office/excel/2006/main">
          <x14:cfRule type="dataBar" id="{E73852F3-8721-4159-81E4-415BD2E48BE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AI71:AI71</xm:sqref>
        </x14:conditionalFormatting>
        <x14:conditionalFormatting xmlns:xm="http://schemas.microsoft.com/office/excel/2006/main">
          <x14:cfRule type="dataBar" id="{D345108E-6059-4052-849C-7208552959A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BE67:BE67</xm:sqref>
        </x14:conditionalFormatting>
        <x14:conditionalFormatting xmlns:xm="http://schemas.microsoft.com/office/excel/2006/main">
          <x14:cfRule type="dataBar" id="{8F61FA7D-05B3-4DEE-98B1-85E5882986F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AH93:AH162</xm:sqref>
        </x14:conditionalFormatting>
        <x14:conditionalFormatting xmlns:xm="http://schemas.microsoft.com/office/excel/2006/main">
          <x14:cfRule type="dataBar" id="{3ABC6008-9989-4552-9577-9371A258C41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N3:N47</xm:sqref>
        </x14:conditionalFormatting>
        <x14:conditionalFormatting xmlns:xm="http://schemas.microsoft.com/office/excel/2006/main">
          <x14:cfRule type="dataBar" id="{673EA1CE-A4E7-4254-805D-D7983865CE1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2568CA0F-A21E-4950-822F-0981761963D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BE53:BE53</xm:sqref>
        </x14:conditionalFormatting>
        <x14:conditionalFormatting xmlns:xm="http://schemas.microsoft.com/office/excel/2006/main">
          <x14:cfRule type="dataBar" id="{00FBBE4F-AA1B-4502-8784-F34881A643B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BE61:BE61</xm:sqref>
        </x14:conditionalFormatting>
        <x14:conditionalFormatting xmlns:xm="http://schemas.microsoft.com/office/excel/2006/main">
          <x14:cfRule type="dataBar" id="{B1256585-AD0A-4C15-B009-8528FD19440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AI59:AI59</xm:sqref>
        </x14:conditionalFormatting>
        <x14:conditionalFormatting xmlns:xm="http://schemas.microsoft.com/office/excel/2006/main">
          <x14:cfRule type="dataBar" id="{9309B210-870C-4FD3-BC5C-49C4A073189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AI61:AI61</xm:sqref>
        </x14:conditionalFormatting>
        <x14:conditionalFormatting xmlns:xm="http://schemas.microsoft.com/office/excel/2006/main">
          <x14:cfRule type="dataBar" id="{F91B247E-47C3-4C46-935B-062513F13B1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AH63:AH63</xm:sqref>
        </x14:conditionalFormatting>
        <x14:conditionalFormatting xmlns:xm="http://schemas.microsoft.com/office/excel/2006/main">
          <x14:cfRule type="dataBar" id="{D4EE08E6-FD70-4772-A082-B25DCEF46DA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BD56:BD56</xm:sqref>
        </x14:conditionalFormatting>
        <x14:conditionalFormatting xmlns:xm="http://schemas.microsoft.com/office/excel/2006/main">
          <x14:cfRule type="dataBar" id="{5B585C81-F232-4FB0-AC84-7D345C162C8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AI53:AI53</xm:sqref>
        </x14:conditionalFormatting>
        <x14:conditionalFormatting xmlns:xm="http://schemas.microsoft.com/office/excel/2006/main">
          <x14:cfRule type="dataBar" id="{3F5A2C26-F47D-4C71-955C-346856094CC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8BBDC06F-7B4B-4DFC-8CEB-BE3C3293646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BD93:BD162</xm:sqref>
        </x14:conditionalFormatting>
        <x14:conditionalFormatting xmlns:xm="http://schemas.microsoft.com/office/excel/2006/main">
          <x14:cfRule type="dataBar" id="{9B7B86BD-1C0B-43DE-B4BA-961D48B3E3E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M62:M62</xm:sqref>
        </x14:conditionalFormatting>
        <x14:conditionalFormatting xmlns:xm="http://schemas.microsoft.com/office/excel/2006/main">
          <x14:cfRule type="dataBar" id="{367453F5-A0BB-48B6-8855-0E7249FDD97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BD66:BD66</xm:sqref>
        </x14:conditionalFormatting>
        <x14:conditionalFormatting xmlns:xm="http://schemas.microsoft.com/office/excel/2006/main">
          <x14:cfRule type="dataBar" id="{26716F23-DD99-4AFD-8E16-2664A2FE586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BD61:BD61</xm:sqref>
        </x14:conditionalFormatting>
        <x14:conditionalFormatting xmlns:xm="http://schemas.microsoft.com/office/excel/2006/main">
          <x14:cfRule type="dataBar" id="{1137FC92-904C-4C65-9F81-67D5D5158C6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AH54:AH54</xm:sqref>
        </x14:conditionalFormatting>
        <x14:conditionalFormatting xmlns:xm="http://schemas.microsoft.com/office/excel/2006/main">
          <x14:cfRule type="dataBar" id="{EB4F99F5-7FA3-4B1A-8410-477A35FF49D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M60:M60</xm:sqref>
        </x14:conditionalFormatting>
        <x14:conditionalFormatting xmlns:xm="http://schemas.microsoft.com/office/excel/2006/main">
          <x14:cfRule type="dataBar" id="{9E576B35-869E-4911-90BE-79A714A186E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M74:M74</xm:sqref>
        </x14:conditionalFormatting>
        <x14:conditionalFormatting xmlns:xm="http://schemas.microsoft.com/office/excel/2006/main">
          <x14:cfRule type="dataBar" id="{98E76D21-DC0D-48D0-8D4A-EB8DEF732EC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AH57:AH57</xm:sqref>
        </x14:conditionalFormatting>
        <x14:conditionalFormatting xmlns:xm="http://schemas.microsoft.com/office/excel/2006/main">
          <x14:cfRule type="dataBar" id="{46D85B23-D0C9-4F2C-AB04-950C661BB21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N59:N59</xm:sqref>
        </x14:conditionalFormatting>
        <x14:conditionalFormatting xmlns:xm="http://schemas.microsoft.com/office/excel/2006/main">
          <x14:cfRule type="dataBar" id="{7D3A0A89-6070-4048-A969-F4B0181B018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AH66:AH66</xm:sqref>
        </x14:conditionalFormatting>
        <x14:conditionalFormatting xmlns:xm="http://schemas.microsoft.com/office/excel/2006/main">
          <x14:cfRule type="dataBar" id="{E515F89D-B869-4BFC-9527-8CAD012B03E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AH49:AH49</xm:sqref>
        </x14:conditionalFormatting>
        <x14:conditionalFormatting xmlns:xm="http://schemas.microsoft.com/office/excel/2006/main">
          <x14:cfRule type="dataBar" id="{DDA56FB7-95CA-443E-83D8-A860941A602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AH56:AH56</xm:sqref>
        </x14:conditionalFormatting>
        <x14:conditionalFormatting xmlns:xm="http://schemas.microsoft.com/office/excel/2006/main">
          <x14:cfRule type="dataBar" id="{D01F2C4A-B75B-43B8-8A20-F4B8A00C24E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EC4A1F0D-A791-4047-9BB5-653A964BB5E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AH58:AH58</xm:sqref>
        </x14:conditionalFormatting>
        <x14:conditionalFormatting xmlns:xm="http://schemas.microsoft.com/office/excel/2006/main">
          <x14:cfRule type="dataBar" id="{B60976FD-71CE-4666-A79C-F4F4917AAA3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S1:T1</xm:sqref>
        </x14:conditionalFormatting>
        <x14:conditionalFormatting xmlns:xm="http://schemas.microsoft.com/office/excel/2006/main">
          <x14:cfRule type="dataBar" id="{FB10B979-3F87-4E16-ACCE-66005DF6EE4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BE48:BE48</xm:sqref>
        </x14:conditionalFormatting>
        <x14:conditionalFormatting xmlns:xm="http://schemas.microsoft.com/office/excel/2006/main">
          <x14:cfRule type="dataBar" id="{56E527C2-A6C4-48A0-8456-662D2350098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AI49:AI49</xm:sqref>
        </x14:conditionalFormatting>
        <x14:conditionalFormatting xmlns:xm="http://schemas.microsoft.com/office/excel/2006/main">
          <x14:cfRule type="dataBar" id="{96793CE4-F2EC-4AEB-98B4-49B612ECCB5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M54:M54</xm:sqref>
        </x14:conditionalFormatting>
        <x14:conditionalFormatting xmlns:xm="http://schemas.microsoft.com/office/excel/2006/main">
          <x14:cfRule type="dataBar" id="{E1333A6F-BB59-4469-BD42-8EEBDF33D8A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AH68:AH68</xm:sqref>
        </x14:conditionalFormatting>
        <x14:conditionalFormatting xmlns:xm="http://schemas.microsoft.com/office/excel/2006/main">
          <x14:cfRule type="dataBar" id="{0B9E160B-8B3A-442A-9F65-9E7B206D2EE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92389938-D95F-463B-B80D-D352A8B9502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BD6:BD6</xm:sqref>
        </x14:conditionalFormatting>
        <x14:conditionalFormatting xmlns:xm="http://schemas.microsoft.com/office/excel/2006/main">
          <x14:cfRule type="dataBar" id="{BE10F0EE-0E35-41CB-8280-0AF3A9BF58F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BE9:BE47</xm:sqref>
        </x14:conditionalFormatting>
        <x14:conditionalFormatting xmlns:xm="http://schemas.microsoft.com/office/excel/2006/main">
          <x14:cfRule type="dataBar" id="{46C7D416-9F46-479E-9B77-E0A40CEAC61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M73:M73</xm:sqref>
        </x14:conditionalFormatting>
        <x14:conditionalFormatting xmlns:xm="http://schemas.microsoft.com/office/excel/2006/main">
          <x14:cfRule type="dataBar" id="{3C6DA8CD-EA78-4153-859D-BE5382ACA52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31FCBAA8-C92D-4D39-B862-7EEDDEC1FB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AI48:AI48</xm:sqref>
        </x14:conditionalFormatting>
        <x14:conditionalFormatting xmlns:xm="http://schemas.microsoft.com/office/excel/2006/main">
          <x14:cfRule type="dataBar" id="{4B1F5C80-F679-45E5-807B-8F2F7F26725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BD1:BD162</xm:sqref>
        </x14:conditionalFormatting>
        <x14:conditionalFormatting xmlns:xm="http://schemas.microsoft.com/office/excel/2006/main">
          <x14:cfRule type="dataBar" id="{D533FB27-E140-4EC9-8773-F2E4C496E54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567EF87D-BF68-4F11-AE8B-4A39D9501F7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M67:M67</xm:sqref>
        </x14:conditionalFormatting>
        <x14:conditionalFormatting xmlns:xm="http://schemas.microsoft.com/office/excel/2006/main">
          <x14:cfRule type="dataBar" id="{2BE3FDE7-4989-4B23-9562-133963C8490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AI68:AI68</xm:sqref>
        </x14:conditionalFormatting>
        <x14:conditionalFormatting xmlns:xm="http://schemas.microsoft.com/office/excel/2006/main">
          <x14:cfRule type="dataBar" id="{D2838DE2-CA2F-47A5-B9BF-BB191B15B39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AH50:AH50</xm:sqref>
        </x14:conditionalFormatting>
        <x14:conditionalFormatting xmlns:xm="http://schemas.microsoft.com/office/excel/2006/main">
          <x14:cfRule type="dataBar" id="{876DA617-9FFD-4088-8874-8B66715A02E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N57:N57</xm:sqref>
        </x14:conditionalFormatting>
        <x14:conditionalFormatting xmlns:xm="http://schemas.microsoft.com/office/excel/2006/main">
          <x14:cfRule type="dataBar" id="{1C59429A-7250-4CAE-837D-48ABEE537CB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AH65:AH65</xm:sqref>
        </x14:conditionalFormatting>
        <x14:conditionalFormatting xmlns:xm="http://schemas.microsoft.com/office/excel/2006/main">
          <x14:cfRule type="dataBar" id="{4206ECE4-003A-4D18-9B8D-9FCF1621674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AI73:AI73</xm:sqref>
        </x14:conditionalFormatting>
        <x14:conditionalFormatting xmlns:xm="http://schemas.microsoft.com/office/excel/2006/main">
          <x14:cfRule type="dataBar" id="{C24E10BE-96BC-4F69-B394-ED07C2521F9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N52:N52</xm:sqref>
        </x14:conditionalFormatting>
        <x14:conditionalFormatting xmlns:xm="http://schemas.microsoft.com/office/excel/2006/main">
          <x14:cfRule type="dataBar" id="{AEE6DEB0-7EE5-4658-91E4-E83EFC51D22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BD49:BD49</xm:sqref>
        </x14:conditionalFormatting>
        <x14:conditionalFormatting xmlns:xm="http://schemas.microsoft.com/office/excel/2006/main">
          <x14:cfRule type="dataBar" id="{40FF9F25-54E0-4A41-8552-4CD59BC6CBD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73397DB5-81B7-42D6-A623-9947CD1EE24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BE60:BE60</xm:sqref>
        </x14:conditionalFormatting>
        <x14:conditionalFormatting xmlns:xm="http://schemas.microsoft.com/office/excel/2006/main">
          <x14:cfRule type="dataBar" id="{622B09FB-7DA7-4FC9-94BD-7B17A1B9358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BD62:BD62</xm:sqref>
        </x14:conditionalFormatting>
        <x14:conditionalFormatting xmlns:xm="http://schemas.microsoft.com/office/excel/2006/main">
          <x14:cfRule type="dataBar" id="{3C0A722F-AF83-4F64-974B-7A4C362CF78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AI70:AI70</xm:sqref>
        </x14:conditionalFormatting>
        <x14:conditionalFormatting xmlns:xm="http://schemas.microsoft.com/office/excel/2006/main">
          <x14:cfRule type="dataBar" id="{45D88076-19AF-4003-BE59-E89DE6F413B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M50:M50</xm:sqref>
        </x14:conditionalFormatting>
        <x14:conditionalFormatting xmlns:xm="http://schemas.microsoft.com/office/excel/2006/main">
          <x14:cfRule type="dataBar" id="{E3A8A227-AE8F-4513-A15E-01558DBD817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17FE0949-A09B-4318-80D3-484C4B71CE8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M93:M162</xm:sqref>
        </x14:conditionalFormatting>
        <x14:conditionalFormatting xmlns:xm="http://schemas.microsoft.com/office/excel/2006/main">
          <x14:cfRule type="dataBar" id="{1E48BF18-1610-43E1-9543-66A9B23B847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BE63:BE63</xm:sqref>
        </x14:conditionalFormatting>
        <x14:conditionalFormatting xmlns:xm="http://schemas.microsoft.com/office/excel/2006/main">
          <x14:cfRule type="dataBar" id="{FE8AEA4C-C6F0-49B3-8D7E-52DA3E56B27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BE75:BE92</xm:sqref>
        </x14:conditionalFormatting>
        <x14:conditionalFormatting xmlns:xm="http://schemas.microsoft.com/office/excel/2006/main">
          <x14:cfRule type="dataBar" id="{A3B0CED7-83E2-4900-8833-A2FC2A2C75F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AH49:AH49</xm:sqref>
        </x14:conditionalFormatting>
        <x14:conditionalFormatting xmlns:xm="http://schemas.microsoft.com/office/excel/2006/main">
          <x14:cfRule type="dataBar" id="{D15298FF-1EDB-4E1F-9E7B-310038A2E18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AI2:AI2</xm:sqref>
        </x14:conditionalFormatting>
        <x14:conditionalFormatting xmlns:xm="http://schemas.microsoft.com/office/excel/2006/main">
          <x14:cfRule type="dataBar" id="{582A500A-1871-4C82-B807-E6BA31C38A2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N60:N60</xm:sqref>
        </x14:conditionalFormatting>
        <x14:conditionalFormatting xmlns:xm="http://schemas.microsoft.com/office/excel/2006/main">
          <x14:cfRule type="dataBar" id="{A843E0F7-61B4-47BB-B35F-99A3FD661F1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E498F985-0AB4-4492-98DE-CB8858A74F4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BD70:BD70</xm:sqref>
        </x14:conditionalFormatting>
        <x14:conditionalFormatting xmlns:xm="http://schemas.microsoft.com/office/excel/2006/main">
          <x14:cfRule type="dataBar" id="{88682502-1B87-4299-9304-001376BAF17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BD74:BD74</xm:sqref>
        </x14:conditionalFormatting>
        <x14:conditionalFormatting xmlns:xm="http://schemas.microsoft.com/office/excel/2006/main">
          <x14:cfRule type="dataBar" id="{618CDAD0-0D2C-415B-A4B2-55EB82419CB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AH74:AH74</xm:sqref>
        </x14:conditionalFormatting>
        <x14:conditionalFormatting xmlns:xm="http://schemas.microsoft.com/office/excel/2006/main">
          <x14:cfRule type="dataBar" id="{07E51357-2FCC-4EEE-B1BB-A20B43C6BE9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N65:N65</xm:sqref>
        </x14:conditionalFormatting>
        <x14:conditionalFormatting xmlns:xm="http://schemas.microsoft.com/office/excel/2006/main">
          <x14:cfRule type="dataBar" id="{1F783E82-780A-49D6-9032-6CFE345FD59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BE3:BE3</xm:sqref>
        </x14:conditionalFormatting>
        <x14:conditionalFormatting xmlns:xm="http://schemas.microsoft.com/office/excel/2006/main">
          <x14:cfRule type="dataBar" id="{8AFD7D8C-FAD0-4E73-B52F-32F77FB3DDA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BD50:BD50</xm:sqref>
        </x14:conditionalFormatting>
        <x14:conditionalFormatting xmlns:xm="http://schemas.microsoft.com/office/excel/2006/main">
          <x14:cfRule type="dataBar" id="{AD86EA7F-7165-4286-AB73-4721B9E5A61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BD8:BD8</xm:sqref>
        </x14:conditionalFormatting>
        <x14:conditionalFormatting xmlns:xm="http://schemas.microsoft.com/office/excel/2006/main">
          <x14:cfRule type="dataBar" id="{5CE3A657-105D-4ED6-8360-97504B1977A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AI62:AI62</xm:sqref>
        </x14:conditionalFormatting>
        <x14:conditionalFormatting xmlns:xm="http://schemas.microsoft.com/office/excel/2006/main">
          <x14:cfRule type="dataBar" id="{B65BA52A-F394-469F-AB75-7F4835EE192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BE71:BE71</xm:sqref>
        </x14:conditionalFormatting>
        <x14:conditionalFormatting xmlns:xm="http://schemas.microsoft.com/office/excel/2006/main">
          <x14:cfRule type="dataBar" id="{53B356C4-974F-4658-B60F-ED805BEC2D0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AH72:AH72</xm:sqref>
        </x14:conditionalFormatting>
        <x14:conditionalFormatting xmlns:xm="http://schemas.microsoft.com/office/excel/2006/main">
          <x14:cfRule type="dataBar" id="{E0B458A8-6E69-499E-A956-E8EB6F07A33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N61:N61</xm:sqref>
        </x14:conditionalFormatting>
        <x14:conditionalFormatting xmlns:xm="http://schemas.microsoft.com/office/excel/2006/main">
          <x14:cfRule type="dataBar" id="{51BF9C24-D46B-43E5-9ACE-AF38EFEF03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M58:M58</xm:sqref>
        </x14:conditionalFormatting>
        <x14:conditionalFormatting xmlns:xm="http://schemas.microsoft.com/office/excel/2006/main">
          <x14:cfRule type="dataBar" id="{2E862E0C-57F1-4472-9D78-B2ED4B21805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S1:T1</xm:sqref>
        </x14:conditionalFormatting>
        <x14:conditionalFormatting xmlns:xm="http://schemas.microsoft.com/office/excel/2006/main">
          <x14:cfRule type="dataBar" id="{F4D5D143-9D5E-4739-BFAD-18D660B65AB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BD7:BD7</xm:sqref>
        </x14:conditionalFormatting>
        <x14:conditionalFormatting xmlns:xm="http://schemas.microsoft.com/office/excel/2006/main">
          <x14:cfRule type="dataBar" id="{E09EEC2A-5B7C-4059-9274-B333BC8144A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AH71:AH71</xm:sqref>
        </x14:conditionalFormatting>
        <x14:conditionalFormatting xmlns:xm="http://schemas.microsoft.com/office/excel/2006/main">
          <x14:cfRule type="dataBar" id="{7A0FAE7D-00A9-4E6B-A12B-323CFE0BE5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BD5:BD5</xm:sqref>
        </x14:conditionalFormatting>
        <x14:conditionalFormatting xmlns:xm="http://schemas.microsoft.com/office/excel/2006/main">
          <x14:cfRule type="dataBar" id="{6C73FAA7-EA01-46FD-BF82-D4E2CD2BD7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BD68:BD68</xm:sqref>
        </x14:conditionalFormatting>
        <x14:conditionalFormatting xmlns:xm="http://schemas.microsoft.com/office/excel/2006/main">
          <x14:cfRule type="dataBar" id="{4C97BBFD-9374-4AC5-9657-8D1FFF2A897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BD54:BD54</xm:sqref>
        </x14:conditionalFormatting>
        <x14:conditionalFormatting xmlns:xm="http://schemas.microsoft.com/office/excel/2006/main">
          <x14:cfRule type="dataBar" id="{5F89AB73-175E-4182-BB29-720B7CD4CDE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BD72:BD72</xm:sqref>
        </x14:conditionalFormatting>
        <x14:conditionalFormatting xmlns:xm="http://schemas.microsoft.com/office/excel/2006/main">
          <x14:cfRule type="dataBar" id="{254B0ABA-3868-4464-A586-B2A17DAA9F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M48:M48</xm:sqref>
        </x14:conditionalFormatting>
        <x14:conditionalFormatting xmlns:xm="http://schemas.microsoft.com/office/excel/2006/main">
          <x14:cfRule type="dataBar" id="{412281AB-1524-4D2B-B517-FD0C59F5B5E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N64:N64</xm:sqref>
        </x14:conditionalFormatting>
        <x14:conditionalFormatting xmlns:xm="http://schemas.microsoft.com/office/excel/2006/main">
          <x14:cfRule type="dataBar" id="{58E64090-6622-47DC-A4FD-0B5D01BDF3C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AH74:AH74</xm:sqref>
        </x14:conditionalFormatting>
        <x14:conditionalFormatting xmlns:xm="http://schemas.microsoft.com/office/excel/2006/main">
          <x14:cfRule type="dataBar" id="{D6C1A9CB-91CF-4B7F-97D6-40D16370C5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AI3:AI47</xm:sqref>
        </x14:conditionalFormatting>
        <x14:conditionalFormatting xmlns:xm="http://schemas.microsoft.com/office/excel/2006/main">
          <x14:cfRule type="dataBar" id="{C5214085-2940-43E9-94B0-828C7D26EAF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BD53:BD53</xm:sqref>
        </x14:conditionalFormatting>
        <x14:conditionalFormatting xmlns:xm="http://schemas.microsoft.com/office/excel/2006/main">
          <x14:cfRule type="dataBar" id="{DC094B3E-21A0-4AAC-8044-0DF09138EA4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AI67:AI67</xm:sqref>
        </x14:conditionalFormatting>
        <x14:conditionalFormatting xmlns:xm="http://schemas.microsoft.com/office/excel/2006/main">
          <x14:cfRule type="dataBar" id="{2D3BA5A3-8839-439A-A469-1D39F49392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M75:M92</xm:sqref>
        </x14:conditionalFormatting>
        <x14:conditionalFormatting xmlns:xm="http://schemas.microsoft.com/office/excel/2006/main">
          <x14:cfRule type="dataBar" id="{3C687C69-61C9-4782-AD95-6A32B4C3CD3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AH70:AH70</xm:sqref>
        </x14:conditionalFormatting>
        <x14:conditionalFormatting xmlns:xm="http://schemas.microsoft.com/office/excel/2006/main">
          <x14:cfRule type="dataBar" id="{F18A510A-ACCC-43EE-8208-8C123E6222B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AH62:AH62</xm:sqref>
        </x14:conditionalFormatting>
        <x14:conditionalFormatting xmlns:xm="http://schemas.microsoft.com/office/excel/2006/main">
          <x14:cfRule type="dataBar" id="{AD86F580-3EF2-4440-975F-24D532BBE24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F7A342B6-A1B5-4DA1-99E5-22013C0B52C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1761C828-96D5-49D5-9DBD-ABD8EE8A46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BD3:BD3</xm:sqref>
        </x14:conditionalFormatting>
        <x14:conditionalFormatting xmlns:xm="http://schemas.microsoft.com/office/excel/2006/main">
          <x14:cfRule type="dataBar" id="{440B2B2C-A567-481F-BE9F-C2826AC2998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BD51:BD51</xm:sqref>
        </x14:conditionalFormatting>
        <x14:conditionalFormatting xmlns:xm="http://schemas.microsoft.com/office/excel/2006/main">
          <x14:cfRule type="dataBar" id="{C41A90E0-DEA5-4E90-924D-F44CE44597A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N50:N50</xm:sqref>
        </x14:conditionalFormatting>
        <x14:conditionalFormatting xmlns:xm="http://schemas.microsoft.com/office/excel/2006/main">
          <x14:cfRule type="dataBar" id="{E7230904-0DB4-498E-85C4-8B4E393BFF6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AH53:AH53</xm:sqref>
        </x14:conditionalFormatting>
        <x14:conditionalFormatting xmlns:xm="http://schemas.microsoft.com/office/excel/2006/main">
          <x14:cfRule type="dataBar" id="{6262A690-0909-46E8-9363-0BE09C65E5D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AH61:AH61</xm:sqref>
        </x14:conditionalFormatting>
        <x14:conditionalFormatting xmlns:xm="http://schemas.microsoft.com/office/excel/2006/main">
          <x14:cfRule type="dataBar" id="{77E58249-F63E-47AF-884D-708D31B0673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22A1E463-DDD7-4F90-AF51-3F8B4A3C0F6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N1:N2</xm:sqref>
        </x14:conditionalFormatting>
        <x14:conditionalFormatting xmlns:xm="http://schemas.microsoft.com/office/excel/2006/main">
          <x14:cfRule type="dataBar" id="{44B69B4E-23BD-4A19-80D4-B5963E58556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N48:N48</xm:sqref>
        </x14:conditionalFormatting>
        <x14:conditionalFormatting xmlns:xm="http://schemas.microsoft.com/office/excel/2006/main">
          <x14:cfRule type="dataBar" id="{EFEF82C1-2DE0-4244-8343-2AB7AAC7D1D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N49:N49</xm:sqref>
        </x14:conditionalFormatting>
        <x14:conditionalFormatting xmlns:xm="http://schemas.microsoft.com/office/excel/2006/main">
          <x14:cfRule type="dataBar" id="{3C96C5BF-369B-44DF-B926-1BBC4B8D122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AH62:AH62</xm:sqref>
        </x14:conditionalFormatting>
        <x14:conditionalFormatting xmlns:xm="http://schemas.microsoft.com/office/excel/2006/main">
          <x14:cfRule type="dataBar" id="{D0F86294-7DDD-4E3C-A47D-EF1D7BDE9B7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BD59:BD59</xm:sqref>
        </x14:conditionalFormatting>
        <x14:conditionalFormatting xmlns:xm="http://schemas.microsoft.com/office/excel/2006/main">
          <x14:cfRule type="dataBar" id="{9E6510B2-F9AD-4FBD-827A-16967994192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AH56:AH56</xm:sqref>
        </x14:conditionalFormatting>
        <x14:conditionalFormatting xmlns:xm="http://schemas.microsoft.com/office/excel/2006/main">
          <x14:cfRule type="dataBar" id="{6234F73E-C835-410A-879E-17D56251F31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AI51:AI51</xm:sqref>
        </x14:conditionalFormatting>
        <x14:conditionalFormatting xmlns:xm="http://schemas.microsoft.com/office/excel/2006/main">
          <x14:cfRule type="dataBar" id="{2A13F099-BB73-454D-A2D2-9DB14286EDA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AI52:AI52</xm:sqref>
        </x14:conditionalFormatting>
        <x14:conditionalFormatting xmlns:xm="http://schemas.microsoft.com/office/excel/2006/main">
          <x14:cfRule type="dataBar" id="{16C97E74-1A35-4EB2-8C56-55990C4516D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N75:N92</xm:sqref>
        </x14:conditionalFormatting>
        <x14:conditionalFormatting xmlns:xm="http://schemas.microsoft.com/office/excel/2006/main">
          <x14:cfRule type="dataBar" id="{9341D1E4-23A0-4574-8808-68E6E46277C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M57:M57</xm:sqref>
        </x14:conditionalFormatting>
        <x14:conditionalFormatting xmlns:xm="http://schemas.microsoft.com/office/excel/2006/main">
          <x14:cfRule type="dataBar" id="{9589F567-D747-4FF9-9A64-7F94AAEC316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AI54:AI54</xm:sqref>
        </x14:conditionalFormatting>
        <x14:conditionalFormatting xmlns:xm="http://schemas.microsoft.com/office/excel/2006/main">
          <x14:cfRule type="dataBar" id="{6F048646-378D-4183-8757-DCEB397D218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M66:M66</xm:sqref>
        </x14:conditionalFormatting>
        <x14:conditionalFormatting xmlns:xm="http://schemas.microsoft.com/office/excel/2006/main">
          <x14:cfRule type="dataBar" id="{E6F06006-9FF9-439A-8BE2-BE335A60872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AF5B19C9-B213-455D-8263-32BC6DDA814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BD73:BD73</xm:sqref>
        </x14:conditionalFormatting>
        <x14:conditionalFormatting xmlns:xm="http://schemas.microsoft.com/office/excel/2006/main">
          <x14:cfRule type="dataBar" id="{01D0EE3A-B32B-48F2-8615-D0772AF270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BE70:BE70</xm:sqref>
        </x14:conditionalFormatting>
        <x14:conditionalFormatting xmlns:xm="http://schemas.microsoft.com/office/excel/2006/main">
          <x14:cfRule type="dataBar" id="{4E4A6367-34A9-47AE-8707-043F7EE8819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AH58:AH58</xm:sqref>
        </x14:conditionalFormatting>
        <x14:conditionalFormatting xmlns:xm="http://schemas.microsoft.com/office/excel/2006/main">
          <x14:cfRule type="dataBar" id="{98D843AE-791D-4848-AE39-B9CE024293B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N56:N56</xm:sqref>
        </x14:conditionalFormatting>
        <x14:conditionalFormatting xmlns:xm="http://schemas.microsoft.com/office/excel/2006/main">
          <x14:cfRule type="dataBar" id="{A956F101-A2CF-43A4-B60E-F2FF2C0D880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AH53:AH53</xm:sqref>
        </x14:conditionalFormatting>
        <x14:conditionalFormatting xmlns:xm="http://schemas.microsoft.com/office/excel/2006/main">
          <x14:cfRule type="dataBar" id="{F9F2836A-57C1-42D4-9502-F5B93F28EF9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AH48:AH48</xm:sqref>
        </x14:conditionalFormatting>
        <x14:conditionalFormatting xmlns:xm="http://schemas.microsoft.com/office/excel/2006/main">
          <x14:cfRule type="dataBar" id="{10173DE9-CEE8-4B44-9C55-52B49DDB83B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N93:N162</xm:sqref>
        </x14:conditionalFormatting>
        <x14:conditionalFormatting xmlns:xm="http://schemas.microsoft.com/office/excel/2006/main">
          <x14:cfRule type="dataBar" id="{05A1190D-BE6F-4D0D-A04A-53B6B9388E4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7C45790B-70A2-48DA-B7F4-6BBB5AC09E9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N71:N71</xm:sqref>
        </x14:conditionalFormatting>
        <x14:conditionalFormatting xmlns:xm="http://schemas.microsoft.com/office/excel/2006/main">
          <x14:cfRule type="dataBar" id="{0548D971-C873-445D-B437-F2A539F15BF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BD69:BD69</xm:sqref>
        </x14:conditionalFormatting>
        <x14:conditionalFormatting xmlns:xm="http://schemas.microsoft.com/office/excel/2006/main">
          <x14:cfRule type="dataBar" id="{52322C75-6AAD-4508-998B-F0AE5FE2285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AH48:AH48</xm:sqref>
        </x14:conditionalFormatting>
        <x14:conditionalFormatting xmlns:xm="http://schemas.microsoft.com/office/excel/2006/main">
          <x14:cfRule type="dataBar" id="{2AD6F992-EA19-429E-9912-8EB43306B55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M61:M61</xm:sqref>
        </x14:conditionalFormatting>
        <x14:conditionalFormatting xmlns:xm="http://schemas.microsoft.com/office/excel/2006/main">
          <x14:cfRule type="dataBar" id="{BD117C91-9E61-42A0-9D4E-884154801D4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AH66:AH66</xm:sqref>
        </x14:conditionalFormatting>
        <x14:conditionalFormatting xmlns:xm="http://schemas.microsoft.com/office/excel/2006/main">
          <x14:cfRule type="dataBar" id="{A0FE4117-4D19-494B-B3A4-4984CE8D782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AI93:AI162</xm:sqref>
        </x14:conditionalFormatting>
        <x14:conditionalFormatting xmlns:xm="http://schemas.microsoft.com/office/excel/2006/main">
          <x14:cfRule type="dataBar" id="{36EFA91E-2DF9-48F3-BDA3-5E66C84EC1E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M3:M47</xm:sqref>
        </x14:conditionalFormatting>
        <x14:conditionalFormatting xmlns:xm="http://schemas.microsoft.com/office/excel/2006/main">
          <x14:cfRule type="dataBar" id="{37B40A1A-247B-4469-B897-24AB888262A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N66:N66</xm:sqref>
        </x14:conditionalFormatting>
        <x14:conditionalFormatting xmlns:xm="http://schemas.microsoft.com/office/excel/2006/main">
          <x14:cfRule type="dataBar" id="{9D679CA3-84B1-420F-8BCB-8957FA3905F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AI74:AI74</xm:sqref>
        </x14:conditionalFormatting>
        <x14:conditionalFormatting xmlns:xm="http://schemas.microsoft.com/office/excel/2006/main">
          <x14:cfRule type="dataBar" id="{9E062E97-A2C1-465E-B28E-50127DE3E5D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BD65:BD65</xm:sqref>
        </x14:conditionalFormatting>
        <x14:conditionalFormatting xmlns:xm="http://schemas.microsoft.com/office/excel/2006/main">
          <x14:cfRule type="dataBar" id="{100CD1DD-B3D9-46FC-9598-95B1662ED7A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BE93:BE162</xm:sqref>
        </x14:conditionalFormatting>
        <x14:conditionalFormatting xmlns:xm="http://schemas.microsoft.com/office/excel/2006/main">
          <x14:cfRule type="dataBar" id="{6D4EA6E5-F2ED-4209-BEA7-217DD4E5541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AI75:AI92</xm:sqref>
        </x14:conditionalFormatting>
        <x14:conditionalFormatting xmlns:xm="http://schemas.microsoft.com/office/excel/2006/main">
          <x14:cfRule type="dataBar" id="{417ED2AF-176A-4FE1-A6FA-90FCADD22C0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AH57:AH57</xm:sqref>
        </x14:conditionalFormatting>
        <x14:conditionalFormatting xmlns:xm="http://schemas.microsoft.com/office/excel/2006/main">
          <x14:cfRule type="dataBar" id="{29E3DC4D-1BA7-4CE5-863A-6AC0682EAE5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BE62:BE62</xm:sqref>
        </x14:conditionalFormatting>
        <x14:conditionalFormatting xmlns:xm="http://schemas.microsoft.com/office/excel/2006/main">
          <x14:cfRule type="dataBar" id="{B5D8555B-CF6C-4217-918B-81A21551403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N51:N51</xm:sqref>
        </x14:conditionalFormatting>
        <x14:conditionalFormatting xmlns:xm="http://schemas.microsoft.com/office/excel/2006/main">
          <x14:cfRule type="dataBar" id="{94B7595D-0583-422B-854E-86A3C0ACFDF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AH70:AH70</xm:sqref>
        </x14:conditionalFormatting>
        <x14:conditionalFormatting xmlns:xm="http://schemas.microsoft.com/office/excel/2006/main">
          <x14:cfRule type="dataBar" id="{63CD6F67-60F9-4502-8C5E-77BD2089616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M59:M59</xm:sqref>
        </x14:conditionalFormatting>
        <x14:conditionalFormatting xmlns:xm="http://schemas.microsoft.com/office/excel/2006/main">
          <x14:cfRule type="dataBar" id="{85E5E055-052D-4F29-8F18-D9A090D8DF6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N53:N53</xm:sqref>
        </x14:conditionalFormatting>
        <x14:conditionalFormatting xmlns:xm="http://schemas.microsoft.com/office/excel/2006/main">
          <x14:cfRule type="dataBar" id="{BCF2063F-3130-41F4-BB1D-FD0237C0583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AH63:AH63</xm:sqref>
        </x14:conditionalFormatting>
        <x14:conditionalFormatting xmlns:xm="http://schemas.microsoft.com/office/excel/2006/main">
          <x14:cfRule type="dataBar" id="{03396D27-A69D-4717-825D-E5FBF83E106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BE49:BE49</xm:sqref>
        </x14:conditionalFormatting>
        <x14:conditionalFormatting xmlns:xm="http://schemas.microsoft.com/office/excel/2006/main">
          <x14:cfRule type="dataBar" id="{0E4DCE17-7469-48CA-80C6-33A3FD2AFEE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M51:M51</xm:sqref>
        </x14:conditionalFormatting>
        <x14:conditionalFormatting xmlns:xm="http://schemas.microsoft.com/office/excel/2006/main">
          <x14:cfRule type="dataBar" id="{75F825C4-B115-4F40-8DBA-B754D4730DD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AH75:AH92</xm:sqref>
        </x14:conditionalFormatting>
        <x14:conditionalFormatting xmlns:xm="http://schemas.microsoft.com/office/excel/2006/main">
          <x14:cfRule type="dataBar" id="{7279962D-BE83-4946-AA62-1650CAC316D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BE57:BE57</xm:sqref>
        </x14:conditionalFormatting>
        <x14:conditionalFormatting xmlns:xm="http://schemas.microsoft.com/office/excel/2006/main">
          <x14:cfRule type="dataBar" id="{8D3F7D9D-FEE0-4D52-B180-161A8A0E64F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AH64:AH64</xm:sqref>
        </x14:conditionalFormatting>
        <x14:conditionalFormatting xmlns:xm="http://schemas.microsoft.com/office/excel/2006/main">
          <x14:cfRule type="dataBar" id="{D62984CF-8926-495F-A032-9293BB77059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AI69:AI69</xm:sqref>
        </x14:conditionalFormatting>
        <x14:conditionalFormatting xmlns:xm="http://schemas.microsoft.com/office/excel/2006/main">
          <x14:cfRule type="dataBar" id="{F38050D1-E909-4B43-A2D9-762CEC1C9C6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BD52:BD52</xm:sqref>
        </x14:conditionalFormatting>
        <x14:conditionalFormatting xmlns:xm="http://schemas.microsoft.com/office/excel/2006/main">
          <x14:cfRule type="dataBar" id="{B6E26999-3B65-464C-A132-9B3858B9E0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BE7:BE7</xm:sqref>
        </x14:conditionalFormatting>
        <x14:conditionalFormatting xmlns:xm="http://schemas.microsoft.com/office/excel/2006/main">
          <x14:cfRule type="dataBar" id="{AA14F35B-BECB-4A46-83CE-2362E45F132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BD64:BD64</xm:sqref>
        </x14:conditionalFormatting>
        <x14:conditionalFormatting xmlns:xm="http://schemas.microsoft.com/office/excel/2006/main">
          <x14:cfRule type="dataBar" id="{E8B85A1F-C69C-4DFA-8E28-652BFD0F450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AH60:AH60</xm:sqref>
        </x14:conditionalFormatting>
        <x14:conditionalFormatting xmlns:xm="http://schemas.microsoft.com/office/excel/2006/main">
          <x14:cfRule type="dataBar" id="{FC246226-62DE-4748-8BDF-5CFDEDEB2EB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AI66:AI66</xm:sqref>
        </x14:conditionalFormatting>
        <x14:conditionalFormatting xmlns:xm="http://schemas.microsoft.com/office/excel/2006/main">
          <x14:cfRule type="dataBar" id="{1941F60E-7A05-44D2-8D38-D6C558B91C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BE52:BE52</xm:sqref>
        </x14:conditionalFormatting>
        <x14:conditionalFormatting xmlns:xm="http://schemas.microsoft.com/office/excel/2006/main">
          <x14:cfRule type="dataBar" id="{BC5D2E1E-CFBB-47E0-965E-C0D0AFB22ED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AH60:AH60</xm:sqref>
        </x14:conditionalFormatting>
        <x14:conditionalFormatting xmlns:xm="http://schemas.microsoft.com/office/excel/2006/main">
          <x14:cfRule type="dataBar" id="{64092FF6-FCCE-4125-BFFA-18770032480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M63:M63</xm:sqref>
        </x14:conditionalFormatting>
        <x14:conditionalFormatting xmlns:xm="http://schemas.microsoft.com/office/excel/2006/main">
          <x14:cfRule type="dataBar" id="{EFFEE267-FE94-4D82-94A3-01550976703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M65:M65</xm:sqref>
        </x14:conditionalFormatting>
        <x14:conditionalFormatting xmlns:xm="http://schemas.microsoft.com/office/excel/2006/main">
          <x14:cfRule type="dataBar" id="{25A9420E-6727-4666-B876-A4B9FEDED00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N69:N69</xm:sqref>
        </x14:conditionalFormatting>
        <x14:conditionalFormatting xmlns:xm="http://schemas.microsoft.com/office/excel/2006/main">
          <x14:cfRule type="dataBar" id="{45925DFF-B7FF-498D-9263-005F6D53306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AH71:AH71</xm:sqref>
        </x14:conditionalFormatting>
        <x14:conditionalFormatting xmlns:xm="http://schemas.microsoft.com/office/excel/2006/main">
          <x14:cfRule type="dataBar" id="{609B046D-9E3D-41E5-B8CF-27822873AE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AI63:AI63</xm:sqref>
        </x14:conditionalFormatting>
        <x14:conditionalFormatting xmlns:xm="http://schemas.microsoft.com/office/excel/2006/main">
          <x14:cfRule type="dataBar" id="{16F5B41E-B204-4508-BAC7-84E19DB6470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BE65:BE65</xm:sqref>
        </x14:conditionalFormatting>
        <x14:conditionalFormatting xmlns:xm="http://schemas.microsoft.com/office/excel/2006/main">
          <x14:cfRule type="dataBar" id="{A8787CB8-18FB-4E74-B468-8E4F38311D0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BD67:BD67</xm:sqref>
        </x14:conditionalFormatting>
        <x14:conditionalFormatting xmlns:xm="http://schemas.microsoft.com/office/excel/2006/main">
          <x14:cfRule type="dataBar" id="{6B9FD3CA-84CD-4132-8CC8-9B01CAF34BE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BE5:BE5</xm:sqref>
        </x14:conditionalFormatting>
        <x14:conditionalFormatting xmlns:xm="http://schemas.microsoft.com/office/excel/2006/main">
          <x14:cfRule type="dataBar" id="{6090F29A-2BAC-4671-8E7E-88C02A3A451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N55:N55</xm:sqref>
        </x14:conditionalFormatting>
        <x14:conditionalFormatting xmlns:xm="http://schemas.microsoft.com/office/excel/2006/main">
          <x14:cfRule type="dataBar" id="{46D8C402-88B0-4E68-AC9E-5B44EEF2FB9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AI50:AI50</xm:sqref>
        </x14:conditionalFormatting>
        <x14:conditionalFormatting xmlns:xm="http://schemas.microsoft.com/office/excel/2006/main">
          <x14:cfRule type="dataBar" id="{1EA5E066-4F79-4D32-B410-973F5367BEF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BE73:BE73</xm:sqref>
        </x14:conditionalFormatting>
        <x14:conditionalFormatting xmlns:xm="http://schemas.microsoft.com/office/excel/2006/main">
          <x14:cfRule type="dataBar" id="{F8EE7716-44D1-4236-986B-89C3F0662B8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N54:N54</xm:sqref>
        </x14:conditionalFormatting>
        <x14:conditionalFormatting xmlns:xm="http://schemas.microsoft.com/office/excel/2006/main">
          <x14:cfRule type="dataBar" id="{EBE4B3C6-BB0B-4BCD-8DFF-C5309158957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AH61:AH61</xm:sqref>
        </x14:conditionalFormatting>
      </x14:conditionalFormatting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3" min="13" style="0" width="17.4"/>
    <col collapsed="false" customWidth="true" hidden="false" max="21" min="21" style="0" width="14.066666666666666"/>
    <col collapsed="false" customWidth="true" hidden="false" max="29" min="29" style="0" width="17.4"/>
    <col collapsed="false" customWidth="true" hidden="false" max="37" min="37" style="0" width="24.2"/>
    <col collapsed="false" customWidth="true" hidden="false" max="5" min="5" style="0" width="17.4"/>
    <col collapsed="false" customWidth="true" hidden="false" max="14" min="14" style="0" width="17.4"/>
    <col collapsed="false" customWidth="true" hidden="false" max="22" min="22" style="0" width="15.8"/>
    <col collapsed="false" customWidth="true" hidden="false" max="30" min="30" style="0" width="21.8"/>
    <col collapsed="false" customWidth="true" hidden="false" max="38" min="38" style="0" width="25.933333333333334"/>
    <col collapsed="false" customWidth="true" hidden="false" max="6" min="6" style="0" width="18.2"/>
    <col collapsed="false" customWidth="true" hidden="false" max="15" min="15" style="0" width="17.4"/>
    <col collapsed="false" customWidth="true" hidden="false" max="23" min="23" style="0" width="15.8"/>
    <col collapsed="false" customWidth="true" hidden="false" max="31" min="31" style="0" width="22.466666666666665"/>
    <col collapsed="false" customWidth="true" hidden="false" max="39" min="39" style="0" width="24.2"/>
    <col collapsed="false" customWidth="true" hidden="false" max="7" min="7" style="0" width="22.466666666666665"/>
    <col collapsed="false" customWidth="true" hidden="false" max="16" min="16" style="0" width="17.4"/>
    <col collapsed="false" customWidth="true" hidden="false" max="24" min="24" style="0" width="14.066666666666666"/>
    <col collapsed="false" customWidth="true" hidden="false" max="32" min="32" style="0" width="22.466666666666665"/>
    <col collapsed="false" customWidth="true" hidden="false" max="40" min="40" style="0" width="22.466666666666665"/>
    <col collapsed="false" customWidth="true" hidden="false" max="8" min="8" style="0" width="17.4"/>
    <col collapsed="false" customWidth="true" hidden="false" max="9" min="9" style="0" width="17.4"/>
    <col collapsed="false" customWidth="true" hidden="false" max="17" min="17" style="0" width="14.066666666666666"/>
    <col collapsed="false" customWidth="true" hidden="false" max="25" min="25" style="0" width="15.8"/>
    <col collapsed="false" customWidth="true" hidden="false" max="33" min="33" style="0" width="22.466666666666665"/>
    <col collapsed="false" customWidth="true" hidden="false" max="1" min="1" style="0" width="29.8"/>
    <col collapsed="false" customWidth="true" hidden="false" max="10" min="10" style="0" width="17.4"/>
    <col collapsed="false" customWidth="true" hidden="false" max="18" min="18" style="0" width="14.066666666666666"/>
    <col collapsed="false" customWidth="true" hidden="false" max="26" min="26" style="0" width="15.8"/>
    <col collapsed="false" customWidth="true" hidden="false" max="34" min="34" style="0" width="22.466666666666665"/>
    <col collapsed="false" customWidth="true" hidden="false" max="2" min="2" style="0" width="14.066666666666666"/>
    <col collapsed="false" customWidth="true" hidden="false" max="11" min="11" style="0" width="17.4"/>
    <col collapsed="false" customWidth="true" hidden="false" max="19" min="19" style="0" width="12.333333333333334"/>
    <col collapsed="false" customWidth="true" hidden="false" max="27" min="27" style="0" width="15.8"/>
    <col collapsed="false" customWidth="true" hidden="false" max="35" min="35" style="0" width="27.533333333333335"/>
    <col collapsed="false" customWidth="true" hidden="false" max="3" min="3" style="0" width="14.066666666666666"/>
    <col collapsed="false" customWidth="true" hidden="false" max="12" min="12" style="0" width="15.8"/>
    <col collapsed="false" customWidth="true" hidden="false" max="20" min="20" style="0" width="14.066666666666666"/>
    <col collapsed="false" customWidth="true" hidden="false" max="28" min="28" style="0" width="17.4"/>
    <col collapsed="false" customWidth="true" hidden="false" max="36" min="36" style="0" width="24.2"/>
    <col collapsed="false" customWidth="true" hidden="false" max="4" min="4" style="0" width="14.066666666666666"/>
  </cols>
  <sheetData>
    <row customHeight="true" ht="49.629629629629626" r="1">
      <c r="A1" s="185" t="s">
        <v>154</v>
      </c>
      <c r="B1" s="186" t="s">
        <v>155</v>
      </c>
      <c r="C1" s="186" t="s">
        <v>156</v>
      </c>
      <c r="D1" s="186" t="s">
        <v>157</v>
      </c>
      <c r="E1" s="186" t="s">
        <v>158</v>
      </c>
      <c r="F1" s="187" t="s">
        <v>159</v>
      </c>
      <c r="G1" s="186" t="s">
        <v>160</v>
      </c>
      <c r="H1" s="186" t="s">
        <v>161</v>
      </c>
      <c r="I1" s="186" t="s">
        <v>162</v>
      </c>
      <c r="J1" s="186" t="s">
        <v>163</v>
      </c>
      <c r="K1" s="188" t="s">
        <v>164</v>
      </c>
      <c r="L1" s="188" t="s">
        <v>165</v>
      </c>
      <c r="M1" s="188" t="s">
        <v>166</v>
      </c>
      <c r="N1" s="188" t="s">
        <v>167</v>
      </c>
      <c r="O1" s="189" t="s">
        <v>168</v>
      </c>
      <c r="P1" s="188" t="s">
        <v>169</v>
      </c>
      <c r="Q1" s="188" t="s">
        <v>170</v>
      </c>
      <c r="R1" s="187" t="s">
        <v>171</v>
      </c>
      <c r="S1" s="188" t="s">
        <v>172</v>
      </c>
      <c r="T1" s="186" t="s">
        <v>173</v>
      </c>
      <c r="U1" s="186" t="s">
        <v>174</v>
      </c>
      <c r="V1" s="186" t="s">
        <v>175</v>
      </c>
      <c r="W1" s="186" t="s">
        <v>176</v>
      </c>
      <c r="X1" s="186" t="s">
        <v>177</v>
      </c>
      <c r="Y1" s="186" t="s">
        <v>178</v>
      </c>
      <c r="Z1" s="187" t="s">
        <v>179</v>
      </c>
      <c r="AA1" s="187" t="s">
        <v>180</v>
      </c>
      <c r="AB1" s="190" t="s">
        <v>181</v>
      </c>
      <c r="AC1" s="190" t="s">
        <v>182</v>
      </c>
      <c r="AD1" s="190" t="s">
        <v>183</v>
      </c>
      <c r="AE1" s="186" t="s">
        <v>184</v>
      </c>
      <c r="AF1" s="186" t="s">
        <v>185</v>
      </c>
      <c r="AG1" s="186" t="s">
        <v>186</v>
      </c>
      <c r="AH1" s="186"/>
      <c r="AI1" s="186" t="s">
        <v>187</v>
      </c>
      <c r="AJ1" s="186"/>
      <c r="AK1" s="186" t="s">
        <v>188</v>
      </c>
      <c r="AL1" s="186" t="s">
        <v>189</v>
      </c>
      <c r="AM1" s="186" t="s">
        <v>190</v>
      </c>
      <c r="AN1" s="186" t="s">
        <v>191</v>
      </c>
    </row>
    <row customHeight="true" ht="34.81481481481481" r="2">
      <c r="A2" s="191" t="s">
        <v>192</v>
      </c>
      <c r="B2" s="192">
        <v>7.4</v>
      </c>
      <c r="C2" s="193">
        <v>0.8632</v>
      </c>
      <c r="D2" s="191">
        <v>119.99</v>
      </c>
      <c r="E2" s="191">
        <f t="shared" ref="E2:E4" si="35">D2*0.84</f>
      </c>
      <c r="F2" s="194">
        <f t="shared" ref="F2:F4" si="40">E2*C2</f>
      </c>
      <c r="G2" s="194">
        <f t="shared" ref="G2:G4" si="4">138.5/1.13</f>
      </c>
      <c r="H2" s="194">
        <v>67.7</v>
      </c>
      <c r="I2" s="194">
        <f t="shared" ref="I2:I4" si="10">SUM(G2:H2)</f>
      </c>
      <c r="J2" s="191">
        <v>4</v>
      </c>
      <c r="K2" s="195">
        <v>0</v>
      </c>
      <c r="L2" s="195">
        <v>0</v>
      </c>
      <c r="M2" s="195">
        <v>0</v>
      </c>
      <c r="N2" s="195">
        <v>0</v>
      </c>
      <c r="O2" s="195">
        <v>0</v>
      </c>
      <c r="P2" s="195">
        <v>0</v>
      </c>
      <c r="Q2" s="195">
        <v>7.5</v>
      </c>
      <c r="R2" s="195">
        <f t="shared" ref="R2:R4" si="16">SUM(M2:Q2)+(K2+L2)*J2</f>
      </c>
      <c r="S2" s="195">
        <f t="shared" ref="S2:S4" si="22">R2/J2*B2</f>
      </c>
      <c r="T2" s="195">
        <f t="shared" ref="T2:T4" si="26">F2*B2-I2-S2</f>
      </c>
      <c r="U2" s="193">
        <v>0.02</v>
      </c>
      <c r="V2" s="193">
        <v>0.15</v>
      </c>
      <c r="W2" s="196">
        <f t="shared" ref="W2:W4" si="30">D2*V2*B2</f>
      </c>
      <c r="X2" s="193">
        <v>0.15</v>
      </c>
      <c r="Y2" s="196">
        <f t="shared" ref="Y2:Y4" si="31">D2*X2</f>
      </c>
      <c r="Z2" s="197">
        <f t="shared" ref="Z2:Z4" si="36">D2-Y2</f>
      </c>
      <c r="AA2" s="197">
        <f t="shared" ref="AA2:AA4" si="0">Z2/0.84</f>
      </c>
      <c r="AB2" s="195">
        <f t="shared" ref="AB2:AB4" si="5">T2-F2*U2*B2-W2-Y2*B2</f>
      </c>
      <c r="AC2" s="198">
        <f t="shared" ref="AC2:AC4" si="11">AB2/(F2*B2)</f>
      </c>
      <c r="AD2" s="198">
        <f t="shared" ref="AD2:AD4" si="17">AB2/(E2*B2)</f>
      </c>
      <c r="AE2" s="198">
        <f t="shared" ref="AE2:AE4" si="23">AB2/I2</f>
      </c>
      <c r="AF2" s="198">
        <f t="shared" ref="AF2:AF4" si="27">I2/B2/F2</f>
      </c>
      <c r="AG2" s="195">
        <f t="shared" ref="AG2:AG4" si="32">F2*0.7</f>
      </c>
      <c r="AH2" s="195"/>
      <c r="AI2" s="195">
        <f t="shared" ref="AI2:AI4" si="37">AG2*B2-S2-I2</f>
      </c>
      <c r="AJ2" s="198"/>
      <c r="AK2" s="198">
        <f t="shared" ref="AK2:AK4" si="1">AG2*B2/I2</f>
      </c>
      <c r="AL2" s="198">
        <f t="shared" ref="AL2:AL4" si="6">AG2*B2/(I2+S2)</f>
      </c>
      <c r="AM2" s="198">
        <f t="shared" ref="AM2:AM4" si="12">AI2/I2</f>
      </c>
      <c r="AN2" s="198">
        <f t="shared" ref="AN2:AN4" si="18">(W2/B2+Y2)/F2</f>
      </c>
    </row>
    <row customHeight="true" ht="31.11111111111111" r="3">
      <c r="A3" s="191" t="s">
        <v>193</v>
      </c>
      <c r="B3" s="192">
        <v>7.4</v>
      </c>
      <c r="C3" s="193">
        <v>0.8632</v>
      </c>
      <c r="D3" s="191">
        <v>119.99</v>
      </c>
      <c r="E3" s="191">
        <f t="shared" si="35"/>
      </c>
      <c r="F3" s="194">
        <f t="shared" si="40"/>
      </c>
      <c r="G3" s="194">
        <f t="shared" si="4"/>
      </c>
      <c r="H3" s="194">
        <v>43.22</v>
      </c>
      <c r="I3" s="194">
        <f t="shared" si="10"/>
      </c>
      <c r="J3" s="191">
        <v>4</v>
      </c>
      <c r="K3" s="195">
        <v>0</v>
      </c>
      <c r="L3" s="195">
        <v>0</v>
      </c>
      <c r="M3" s="195">
        <v>0</v>
      </c>
      <c r="N3" s="195">
        <v>0</v>
      </c>
      <c r="O3" s="195">
        <v>0</v>
      </c>
      <c r="P3" s="195">
        <v>0</v>
      </c>
      <c r="Q3" s="195">
        <v>7.5</v>
      </c>
      <c r="R3" s="195">
        <f t="shared" si="16"/>
      </c>
      <c r="S3" s="195">
        <f t="shared" si="22"/>
      </c>
      <c r="T3" s="195">
        <f t="shared" si="26"/>
      </c>
      <c r="U3" s="193">
        <v>0.02</v>
      </c>
      <c r="V3" s="193">
        <v>0.15</v>
      </c>
      <c r="W3" s="196">
        <f t="shared" si="30"/>
      </c>
      <c r="X3" s="193">
        <v>0.15</v>
      </c>
      <c r="Y3" s="196">
        <f t="shared" si="31"/>
      </c>
      <c r="Z3" s="197">
        <f t="shared" si="36"/>
      </c>
      <c r="AA3" s="197">
        <f t="shared" si="0"/>
      </c>
      <c r="AB3" s="195">
        <f t="shared" si="5"/>
      </c>
      <c r="AC3" s="198">
        <f t="shared" si="11"/>
      </c>
      <c r="AD3" s="198">
        <f t="shared" si="17"/>
      </c>
      <c r="AE3" s="198">
        <f t="shared" si="23"/>
      </c>
      <c r="AF3" s="198">
        <f t="shared" si="27"/>
      </c>
      <c r="AG3" s="195">
        <f t="shared" si="32"/>
      </c>
      <c r="AH3" s="195"/>
      <c r="AI3" s="195">
        <f t="shared" si="37"/>
      </c>
      <c r="AJ3" s="198"/>
      <c r="AK3" s="198">
        <f t="shared" si="1"/>
      </c>
      <c r="AL3" s="198">
        <f t="shared" si="6"/>
      </c>
      <c r="AM3" s="198">
        <f t="shared" si="12"/>
      </c>
      <c r="AN3" s="198">
        <f t="shared" si="18"/>
      </c>
    </row>
    <row customHeight="true" ht="31.11111111111111" r="4">
      <c r="A4" s="191" t="s">
        <v>194</v>
      </c>
      <c r="B4" s="192">
        <v>7.4</v>
      </c>
      <c r="C4" s="193">
        <v>0.8632</v>
      </c>
      <c r="D4" s="191">
        <v>119.99</v>
      </c>
      <c r="E4" s="191">
        <f t="shared" si="35"/>
      </c>
      <c r="F4" s="194">
        <f t="shared" si="40"/>
      </c>
      <c r="G4" s="194">
        <f t="shared" si="4"/>
      </c>
      <c r="H4" s="194">
        <v>20.54</v>
      </c>
      <c r="I4" s="194">
        <f t="shared" si="10"/>
      </c>
      <c r="J4" s="191">
        <v>4</v>
      </c>
      <c r="K4" s="195">
        <v>0</v>
      </c>
      <c r="L4" s="195">
        <v>0</v>
      </c>
      <c r="M4" s="195">
        <v>0</v>
      </c>
      <c r="N4" s="195">
        <v>0</v>
      </c>
      <c r="O4" s="195">
        <v>0</v>
      </c>
      <c r="P4" s="195">
        <v>0</v>
      </c>
      <c r="Q4" s="195">
        <v>7.5</v>
      </c>
      <c r="R4" s="195">
        <f t="shared" si="16"/>
      </c>
      <c r="S4" s="195">
        <f t="shared" si="22"/>
      </c>
      <c r="T4" s="195">
        <f t="shared" si="26"/>
      </c>
      <c r="U4" s="193">
        <v>0.02</v>
      </c>
      <c r="V4" s="193">
        <v>0.15</v>
      </c>
      <c r="W4" s="196">
        <f t="shared" si="30"/>
      </c>
      <c r="X4" s="193">
        <v>0.15</v>
      </c>
      <c r="Y4" s="196">
        <f t="shared" si="31"/>
      </c>
      <c r="Z4" s="197">
        <f t="shared" si="36"/>
      </c>
      <c r="AA4" s="197">
        <f t="shared" si="0"/>
      </c>
      <c r="AB4" s="195">
        <f t="shared" si="5"/>
      </c>
      <c r="AC4" s="198">
        <f t="shared" si="11"/>
      </c>
      <c r="AD4" s="198">
        <f t="shared" si="17"/>
      </c>
      <c r="AE4" s="198">
        <f t="shared" si="23"/>
      </c>
      <c r="AF4" s="198">
        <f t="shared" si="27"/>
      </c>
      <c r="AG4" s="195">
        <f t="shared" si="32"/>
      </c>
      <c r="AH4" s="195"/>
      <c r="AI4" s="195">
        <f t="shared" si="37"/>
      </c>
      <c r="AJ4" s="198"/>
      <c r="AK4" s="198">
        <f t="shared" si="1"/>
      </c>
      <c r="AL4" s="198">
        <f t="shared" si="6"/>
      </c>
      <c r="AM4" s="198">
        <f t="shared" si="12"/>
      </c>
      <c r="AN4" s="198">
        <f t="shared" si="18"/>
      </c>
    </row>
    <row customHeight="true" ht="31.11111111111111" r="5">
      <c r="A5" s="199"/>
      <c r="B5" s="200"/>
      <c r="C5" s="201"/>
      <c r="D5" s="201"/>
      <c r="E5" s="202"/>
      <c r="F5" s="203"/>
      <c r="G5" s="203"/>
      <c r="H5" s="203"/>
      <c r="I5" s="203"/>
      <c r="J5" s="202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1"/>
      <c r="V5" s="201"/>
      <c r="W5" s="205"/>
      <c r="X5" s="201"/>
      <c r="Y5" s="205"/>
      <c r="Z5" s="205"/>
      <c r="AA5" s="205"/>
      <c r="AB5" s="204"/>
      <c r="AC5" s="206"/>
      <c r="AD5" s="206"/>
      <c r="AE5" s="206"/>
      <c r="AF5" s="206"/>
      <c r="AG5" s="204"/>
      <c r="AH5" s="204"/>
      <c r="AI5" s="204"/>
      <c r="AJ5" s="206"/>
      <c r="AK5" s="206"/>
      <c r="AL5" s="206"/>
      <c r="AM5" s="206"/>
      <c r="AN5" s="206"/>
    </row>
    <row customHeight="true" ht="45.925925925925924" r="6">
      <c r="A6" s="207" t="s">
        <v>195</v>
      </c>
      <c r="B6" s="208" t="s">
        <v>155</v>
      </c>
      <c r="C6" s="208" t="s">
        <v>196</v>
      </c>
      <c r="D6" s="208" t="s">
        <v>197</v>
      </c>
      <c r="E6" s="208" t="s">
        <v>198</v>
      </c>
      <c r="F6" s="208" t="s">
        <v>199</v>
      </c>
      <c r="G6" s="208" t="s">
        <v>200</v>
      </c>
      <c r="H6" s="209" t="s">
        <v>201</v>
      </c>
      <c r="I6" s="208" t="s">
        <v>160</v>
      </c>
      <c r="J6" s="208" t="s">
        <v>202</v>
      </c>
      <c r="K6" s="208" t="s">
        <v>203</v>
      </c>
      <c r="L6" s="208" t="s">
        <v>204</v>
      </c>
      <c r="M6" s="208" t="s">
        <v>205</v>
      </c>
      <c r="N6" s="209" t="s">
        <v>206</v>
      </c>
      <c r="O6" s="210" t="s">
        <v>207</v>
      </c>
      <c r="P6" s="208" t="s">
        <v>208</v>
      </c>
      <c r="Q6" s="208" t="s">
        <v>209</v>
      </c>
      <c r="R6" s="208" t="s">
        <v>210</v>
      </c>
      <c r="S6" s="208" t="s">
        <v>211</v>
      </c>
      <c r="T6" s="208" t="s">
        <v>212</v>
      </c>
      <c r="U6" s="208" t="s">
        <v>213</v>
      </c>
      <c r="V6" s="208" t="s">
        <v>214</v>
      </c>
      <c r="W6" s="208" t="s">
        <v>215</v>
      </c>
      <c r="X6" s="208" t="s">
        <v>216</v>
      </c>
      <c r="Y6" s="208" t="s">
        <v>217</v>
      </c>
      <c r="Z6" s="211" t="s">
        <v>218</v>
      </c>
      <c r="AA6" s="211" t="s">
        <v>219</v>
      </c>
      <c r="AB6" s="211"/>
    </row>
    <row customHeight="true" ht="30.370370370370367" r="7">
      <c r="A7" s="191" t="s">
        <v>220</v>
      </c>
      <c r="B7" s="192">
        <v>7.4</v>
      </c>
      <c r="C7" s="191" t="s">
        <v>221</v>
      </c>
      <c r="D7" s="191" t="s">
        <v>221</v>
      </c>
      <c r="E7" s="191" t="s">
        <v>222</v>
      </c>
      <c r="F7" s="194">
        <f t="shared" ref="F7:F9" si="24">IF(E7="有",(I7/B7+J7+Y7/B7)/(0.99999-K7-L7-M7-N7),(I7/B7+J7+Y7/B7)/(0.99999-K7-M7-N7))</f>
      </c>
      <c r="G7" s="194">
        <f t="shared" ref="G7:G9" si="28">IF(E7="有",(I7/B7+J7+Y7/B7)/(0.8-K7-L7-M7-N7-O7-P7),(I7/B7+J7+Y7/B7)/(0.8-K7-M7-N7-O7-P7))</f>
      </c>
      <c r="H7" s="212">
        <v>129.99</v>
      </c>
      <c r="I7" s="194">
        <v>122.57</v>
      </c>
      <c r="J7" s="191">
        <v>5.69</v>
      </c>
      <c r="K7" s="193">
        <v>0.15</v>
      </c>
      <c r="L7" s="193">
        <v>0.16</v>
      </c>
      <c r="M7" s="193">
        <v>0.07</v>
      </c>
      <c r="N7" s="193">
        <v>0.15</v>
      </c>
      <c r="O7" s="213">
        <f t="shared" ref="O7:O9" si="33">0.61/H7</f>
      </c>
      <c r="P7" s="193">
        <v>0.02</v>
      </c>
      <c r="Q7" s="194">
        <v>33.5</v>
      </c>
      <c r="R7" s="194">
        <v>26.5</v>
      </c>
      <c r="S7" s="194">
        <v>25</v>
      </c>
      <c r="T7" s="194">
        <v>2.3</v>
      </c>
      <c r="U7" s="196">
        <f t="shared" ref="U7:U9" si="38">Q7*R7*S7/6000</f>
      </c>
      <c r="V7" s="196">
        <f t="shared" ref="V7:V9" si="2">MAX(T7:U7)</f>
      </c>
      <c r="W7" s="196" t="s">
        <v>223</v>
      </c>
      <c r="X7" s="196">
        <v>5.55254</v>
      </c>
      <c r="Y7" s="196">
        <f t="shared" ref="Y7:Y9" si="7">V7*X7</f>
      </c>
      <c r="Z7" s="196">
        <f t="shared" ref="Z7:Z9" si="13">H7-SUM(K7:P7)*H7-J7-I7/B7-Y7/B7</f>
      </c>
      <c r="AA7" s="214">
        <f t="shared" ref="AA7:AA9" si="19">Z7/H7</f>
      </c>
      <c r="AB7" s="215"/>
      <c r="AC7" s="216"/>
      <c r="AD7" s="216"/>
      <c r="AE7" s="216"/>
      <c r="AF7" s="216"/>
      <c r="AG7" s="216"/>
      <c r="AH7" s="216"/>
      <c r="AI7" s="216"/>
      <c r="AJ7" s="216"/>
      <c r="AK7" s="216"/>
      <c r="AL7" s="216"/>
      <c r="AM7" s="216"/>
      <c r="AN7" s="216"/>
    </row>
    <row customHeight="true" ht="30.370370370370367" r="8">
      <c r="A8" s="191" t="s">
        <v>224</v>
      </c>
      <c r="B8" s="192">
        <v>7.4</v>
      </c>
      <c r="C8" s="191" t="s">
        <v>221</v>
      </c>
      <c r="D8" s="191" t="s">
        <v>221</v>
      </c>
      <c r="E8" s="191" t="s">
        <v>222</v>
      </c>
      <c r="F8" s="194">
        <f t="shared" si="24"/>
      </c>
      <c r="G8" s="194">
        <f t="shared" si="28"/>
      </c>
      <c r="H8" s="212">
        <v>119.99</v>
      </c>
      <c r="I8" s="194">
        <v>122.57</v>
      </c>
      <c r="J8" s="191">
        <v>5.69</v>
      </c>
      <c r="K8" s="193">
        <v>0.15</v>
      </c>
      <c r="L8" s="193">
        <v>0.16</v>
      </c>
      <c r="M8" s="193">
        <v>0.07</v>
      </c>
      <c r="N8" s="193">
        <v>0.15</v>
      </c>
      <c r="O8" s="213">
        <f t="shared" si="33"/>
      </c>
      <c r="P8" s="193">
        <v>0.02</v>
      </c>
      <c r="Q8" s="194">
        <v>33.5</v>
      </c>
      <c r="R8" s="194">
        <v>26.5</v>
      </c>
      <c r="S8" s="194">
        <v>25</v>
      </c>
      <c r="T8" s="194">
        <v>2.3</v>
      </c>
      <c r="U8" s="196">
        <f t="shared" si="38"/>
      </c>
      <c r="V8" s="196">
        <f t="shared" si="2"/>
      </c>
      <c r="W8" s="196" t="s">
        <v>223</v>
      </c>
      <c r="X8" s="196">
        <v>5.55254</v>
      </c>
      <c r="Y8" s="196">
        <f t="shared" si="7"/>
      </c>
      <c r="Z8" s="196">
        <f t="shared" si="13"/>
      </c>
      <c r="AA8" s="214">
        <f t="shared" si="19"/>
      </c>
      <c r="AB8" s="215"/>
      <c r="AC8" s="216"/>
      <c r="AD8" s="216"/>
      <c r="AE8" s="216"/>
      <c r="AF8" s="216"/>
      <c r="AG8" s="216"/>
      <c r="AH8" s="216"/>
      <c r="AI8" s="216"/>
      <c r="AJ8" s="216"/>
      <c r="AK8" s="216"/>
      <c r="AL8" s="216"/>
      <c r="AM8" s="216"/>
      <c r="AN8" s="216"/>
    </row>
    <row customHeight="true" ht="30.370370370370367" r="9">
      <c r="A9" s="191" t="s">
        <v>225</v>
      </c>
      <c r="B9" s="192">
        <v>7.4</v>
      </c>
      <c r="C9" s="191" t="s">
        <v>221</v>
      </c>
      <c r="D9" s="191" t="s">
        <v>221</v>
      </c>
      <c r="E9" s="191" t="s">
        <v>222</v>
      </c>
      <c r="F9" s="194">
        <f t="shared" si="24"/>
      </c>
      <c r="G9" s="194">
        <f t="shared" si="28"/>
      </c>
      <c r="H9" s="212">
        <v>109.99</v>
      </c>
      <c r="I9" s="194">
        <v>122.57</v>
      </c>
      <c r="J9" s="191">
        <v>5.69</v>
      </c>
      <c r="K9" s="193">
        <v>0.15</v>
      </c>
      <c r="L9" s="193">
        <v>0.16</v>
      </c>
      <c r="M9" s="193">
        <v>0.07</v>
      </c>
      <c r="N9" s="193">
        <v>0.15</v>
      </c>
      <c r="O9" s="213">
        <f t="shared" si="33"/>
      </c>
      <c r="P9" s="193">
        <v>0.02</v>
      </c>
      <c r="Q9" s="194">
        <v>33.5</v>
      </c>
      <c r="R9" s="194">
        <v>26.5</v>
      </c>
      <c r="S9" s="194">
        <v>25</v>
      </c>
      <c r="T9" s="194">
        <v>2.3</v>
      </c>
      <c r="U9" s="196">
        <f t="shared" si="38"/>
      </c>
      <c r="V9" s="196">
        <f t="shared" si="2"/>
      </c>
      <c r="W9" s="196" t="s">
        <v>223</v>
      </c>
      <c r="X9" s="196">
        <v>5.55254</v>
      </c>
      <c r="Y9" s="196">
        <f t="shared" si="7"/>
      </c>
      <c r="Z9" s="196">
        <f t="shared" si="13"/>
      </c>
      <c r="AA9" s="214">
        <f t="shared" si="19"/>
      </c>
      <c r="AB9" s="215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</row>
    <row customHeight="true" ht="29.629629629629626" r="10">
      <c r="A10" s="191"/>
      <c r="B10" s="192"/>
      <c r="C10" s="191"/>
      <c r="D10" s="191"/>
      <c r="E10" s="191"/>
      <c r="F10" s="194"/>
      <c r="G10" s="194"/>
      <c r="H10" s="194"/>
      <c r="I10" s="194"/>
      <c r="J10" s="191"/>
      <c r="K10" s="193"/>
      <c r="L10" s="193"/>
      <c r="M10" s="193"/>
      <c r="N10" s="193"/>
      <c r="O10" s="213"/>
      <c r="P10" s="193"/>
      <c r="Q10" s="194"/>
      <c r="R10" s="194"/>
      <c r="S10" s="194"/>
      <c r="T10" s="194"/>
      <c r="U10" s="196"/>
      <c r="V10" s="196"/>
      <c r="W10" s="196"/>
      <c r="X10" s="196"/>
      <c r="Y10" s="196"/>
      <c r="Z10" s="196"/>
      <c r="AA10" s="214"/>
      <c r="AB10" s="217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</row>
    <row customHeight="true" ht="29.629629629629626" r="11">
      <c r="A11" s="191" t="s">
        <v>226</v>
      </c>
      <c r="B11" s="192">
        <v>7.4</v>
      </c>
      <c r="C11" s="191" t="s">
        <v>221</v>
      </c>
      <c r="D11" s="191" t="s">
        <v>221</v>
      </c>
      <c r="E11" s="191" t="s">
        <v>222</v>
      </c>
      <c r="F11" s="194">
        <f t="shared" ref="F11:F13" si="25">IF(E11="有",(I11/B11+J11+Y11/B11)/(0.99999-K11-L11-M11-N11),(I11/B11+J11+Y11/B11)/(0.99999-K11-M11-N11))</f>
      </c>
      <c r="G11" s="194">
        <f t="shared" ref="G11:G13" si="29">IF(E11="有",(I11/B11+J11+Y11/B11)/(0.8-K11-L11-M11-N11-O11-P11),(I11/B11+J11+Y11/B11)/(0.8-K11-M11-N11-O11-P11))</f>
      </c>
      <c r="H11" s="212">
        <v>119.99</v>
      </c>
      <c r="I11" s="194">
        <v>122.57</v>
      </c>
      <c r="J11" s="191">
        <v>5.69</v>
      </c>
      <c r="K11" s="193">
        <v>0.15</v>
      </c>
      <c r="L11" s="193">
        <v>0.16</v>
      </c>
      <c r="M11" s="193">
        <v>0.07</v>
      </c>
      <c r="N11" s="193">
        <v>0.15</v>
      </c>
      <c r="O11" s="213">
        <f t="shared" ref="O11:O13" si="34">0.61/H11</f>
      </c>
      <c r="P11" s="193">
        <v>0.02</v>
      </c>
      <c r="Q11" s="194">
        <v>33.5</v>
      </c>
      <c r="R11" s="194">
        <v>26.5</v>
      </c>
      <c r="S11" s="194">
        <v>25</v>
      </c>
      <c r="T11" s="194">
        <v>2.3</v>
      </c>
      <c r="U11" s="196">
        <f t="shared" ref="U11:U13" si="39">Q11*R11*S11/6000</f>
      </c>
      <c r="V11" s="196">
        <f t="shared" ref="V11:V13" si="3">MAX(T11:U11)</f>
      </c>
      <c r="W11" s="196" t="s">
        <v>227</v>
      </c>
      <c r="X11" s="196">
        <v>11.68408</v>
      </c>
      <c r="Y11" s="196">
        <f t="shared" ref="Y11:Y13" si="8">V11*X11</f>
      </c>
      <c r="Z11" s="196">
        <f t="shared" ref="Z11:Z13" si="14">H11-SUM(K11:P11)*H11-J11-I11/B11-Y11/B11</f>
      </c>
      <c r="AA11" s="214">
        <f t="shared" ref="AA11:AA13" si="20">Z11/H11</f>
      </c>
      <c r="AB11" s="217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</row>
    <row customHeight="true" ht="29.629629629629626" r="12">
      <c r="A12" s="191" t="s">
        <v>226</v>
      </c>
      <c r="B12" s="192">
        <v>7.4</v>
      </c>
      <c r="C12" s="191" t="s">
        <v>221</v>
      </c>
      <c r="D12" s="191" t="s">
        <v>221</v>
      </c>
      <c r="E12" s="191" t="s">
        <v>222</v>
      </c>
      <c r="F12" s="194">
        <f t="shared" si="25"/>
      </c>
      <c r="G12" s="194">
        <f t="shared" si="29"/>
      </c>
      <c r="H12" s="212">
        <v>114.99</v>
      </c>
      <c r="I12" s="194">
        <v>122.57</v>
      </c>
      <c r="J12" s="191">
        <v>5.69</v>
      </c>
      <c r="K12" s="193">
        <v>0.15</v>
      </c>
      <c r="L12" s="193">
        <v>0.16</v>
      </c>
      <c r="M12" s="193">
        <v>0.07</v>
      </c>
      <c r="N12" s="193">
        <v>0.15</v>
      </c>
      <c r="O12" s="213">
        <f t="shared" si="34"/>
      </c>
      <c r="P12" s="193">
        <v>0.02</v>
      </c>
      <c r="Q12" s="194">
        <v>33.5</v>
      </c>
      <c r="R12" s="194">
        <v>26.5</v>
      </c>
      <c r="S12" s="194">
        <v>25</v>
      </c>
      <c r="T12" s="194">
        <v>2.3</v>
      </c>
      <c r="U12" s="196">
        <f t="shared" si="39"/>
      </c>
      <c r="V12" s="196">
        <f t="shared" si="3"/>
      </c>
      <c r="W12" s="196" t="s">
        <v>227</v>
      </c>
      <c r="X12" s="196">
        <v>11.68408</v>
      </c>
      <c r="Y12" s="196">
        <f t="shared" si="8"/>
      </c>
      <c r="Z12" s="196">
        <f t="shared" si="14"/>
      </c>
      <c r="AA12" s="214">
        <f t="shared" si="20"/>
      </c>
      <c r="AB12" s="217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</row>
    <row customHeight="true" ht="29.629629629629626" r="13">
      <c r="A13" s="191" t="s">
        <v>226</v>
      </c>
      <c r="B13" s="192">
        <v>7.4</v>
      </c>
      <c r="C13" s="191" t="s">
        <v>221</v>
      </c>
      <c r="D13" s="191" t="s">
        <v>221</v>
      </c>
      <c r="E13" s="191" t="s">
        <v>222</v>
      </c>
      <c r="F13" s="194">
        <f t="shared" si="25"/>
      </c>
      <c r="G13" s="194">
        <f t="shared" si="29"/>
      </c>
      <c r="H13" s="212">
        <v>109.99</v>
      </c>
      <c r="I13" s="194">
        <v>122.57</v>
      </c>
      <c r="J13" s="191">
        <v>5.69</v>
      </c>
      <c r="K13" s="193">
        <v>0.15</v>
      </c>
      <c r="L13" s="193">
        <v>0.16</v>
      </c>
      <c r="M13" s="193">
        <v>0.07</v>
      </c>
      <c r="N13" s="193">
        <v>0.15</v>
      </c>
      <c r="O13" s="213">
        <f t="shared" si="34"/>
      </c>
      <c r="P13" s="193">
        <v>0.02</v>
      </c>
      <c r="Q13" s="194">
        <v>33.5</v>
      </c>
      <c r="R13" s="194">
        <v>26.5</v>
      </c>
      <c r="S13" s="194">
        <v>25</v>
      </c>
      <c r="T13" s="194">
        <v>2.3</v>
      </c>
      <c r="U13" s="196">
        <f t="shared" si="39"/>
      </c>
      <c r="V13" s="196">
        <f t="shared" si="3"/>
      </c>
      <c r="W13" s="196" t="s">
        <v>227</v>
      </c>
      <c r="X13" s="196">
        <v>11.68408</v>
      </c>
      <c r="Y13" s="196">
        <f t="shared" si="8"/>
      </c>
      <c r="Z13" s="196">
        <f t="shared" si="14"/>
      </c>
      <c r="AA13" s="214">
        <f t="shared" si="20"/>
      </c>
      <c r="AB13" s="217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</row>
    <row customHeight="true" ht="41.48148148148148" r="14">
      <c r="AA14" s="215"/>
    </row>
    <row customHeight="true" ht="41.48148148148148" r="15">
      <c r="A15" s="218"/>
      <c r="B15" s="218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7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</row>
    <row customHeight="true" ht="45.925925925925924" r="16">
      <c r="A16" s="185" t="s">
        <v>228</v>
      </c>
      <c r="B16" s="186" t="s">
        <v>155</v>
      </c>
      <c r="C16" s="186" t="s">
        <v>196</v>
      </c>
      <c r="D16" s="186" t="s">
        <v>197</v>
      </c>
      <c r="E16" s="186" t="s">
        <v>198</v>
      </c>
      <c r="F16" s="186" t="s">
        <v>199</v>
      </c>
      <c r="G16" s="186" t="s">
        <v>200</v>
      </c>
      <c r="H16" s="187" t="s">
        <v>201</v>
      </c>
      <c r="I16" s="186" t="s">
        <v>160</v>
      </c>
      <c r="J16" s="186" t="s">
        <v>202</v>
      </c>
      <c r="K16" s="186" t="s">
        <v>203</v>
      </c>
      <c r="L16" s="186" t="s">
        <v>204</v>
      </c>
      <c r="M16" s="186" t="s">
        <v>205</v>
      </c>
      <c r="N16" s="187" t="s">
        <v>229</v>
      </c>
      <c r="O16" s="219" t="s">
        <v>207</v>
      </c>
      <c r="P16" s="186" t="s">
        <v>208</v>
      </c>
      <c r="Q16" s="186" t="s">
        <v>209</v>
      </c>
      <c r="R16" s="186" t="s">
        <v>210</v>
      </c>
      <c r="S16" s="186" t="s">
        <v>211</v>
      </c>
      <c r="T16" s="186" t="s">
        <v>212</v>
      </c>
      <c r="U16" s="186" t="s">
        <v>213</v>
      </c>
      <c r="V16" s="186" t="s">
        <v>214</v>
      </c>
      <c r="W16" s="186" t="s">
        <v>215</v>
      </c>
      <c r="X16" s="186" t="s">
        <v>216</v>
      </c>
      <c r="Y16" s="186" t="s">
        <v>217</v>
      </c>
      <c r="Z16" s="190" t="s">
        <v>218</v>
      </c>
      <c r="AA16" s="220" t="s">
        <v>219</v>
      </c>
      <c r="AB16" s="211"/>
    </row>
    <row customHeight="true" ht="30.370370370370367" r="17">
      <c r="A17" s="191" t="s">
        <v>230</v>
      </c>
      <c r="B17" s="192">
        <v>7.4</v>
      </c>
      <c r="C17" s="191" t="s">
        <v>221</v>
      </c>
      <c r="D17" s="191" t="s">
        <v>221</v>
      </c>
      <c r="E17" s="191" t="s">
        <v>222</v>
      </c>
      <c r="F17" s="194">
        <f>I17/B17+J17+Y17/B17+(H17*(1-N17)*(K17+M17+O17+P17))</f>
      </c>
      <c r="G17" s="194">
        <f>(I17/B17+J17+Y17/B17+(H17*(1-N17)*(K17+M17+O17+P17)))/0.8</f>
      </c>
      <c r="H17" s="212">
        <v>129.99</v>
      </c>
      <c r="I17" s="194">
        <v>122.57</v>
      </c>
      <c r="J17" s="191">
        <v>5.69</v>
      </c>
      <c r="K17" s="193">
        <v>0.15</v>
      </c>
      <c r="L17" s="193">
        <v>0.16</v>
      </c>
      <c r="M17" s="193">
        <v>0.07</v>
      </c>
      <c r="N17" s="193">
        <v>0.6</v>
      </c>
      <c r="O17" s="213">
        <f>0.02/H17</f>
      </c>
      <c r="P17" s="193">
        <v>0.02</v>
      </c>
      <c r="Q17" s="194">
        <v>33.5</v>
      </c>
      <c r="R17" s="194">
        <v>26.5</v>
      </c>
      <c r="S17" s="194">
        <v>25</v>
      </c>
      <c r="T17" s="194">
        <v>2.3</v>
      </c>
      <c r="U17" s="196">
        <f>Q17*R17*S17/6000</f>
      </c>
      <c r="V17" s="196">
        <f>MAX(T17:U17)</f>
      </c>
      <c r="W17" s="196" t="s">
        <v>227</v>
      </c>
      <c r="X17" s="196">
        <v>14.65</v>
      </c>
      <c r="Y17" s="196">
        <f>V17*X17</f>
      </c>
      <c r="Z17" s="196">
        <f>(H17*(1-N17))-I17/B17-J17-Y17/B17-(K17+M17+O17+P17)*(H17*(1-N17))</f>
      </c>
      <c r="AA17" s="214">
        <f>Z17/H17</f>
      </c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</row>
    <row customHeight="true" ht="41.48148148148148" r="18">
      <c r="AB18" s="218" t="s">
        <v>196</v>
      </c>
      <c r="AC18" s="221" t="s">
        <v>231</v>
      </c>
      <c r="AD18" s="218" t="s">
        <v>232</v>
      </c>
      <c r="AE18" s="222" t="s">
        <v>233</v>
      </c>
      <c r="AF18" s="222" t="s">
        <v>234</v>
      </c>
      <c r="AH18" s="218" t="s">
        <v>235</v>
      </c>
      <c r="AI18" s="218" t="s">
        <v>236</v>
      </c>
      <c r="AJ18" s="222" t="s">
        <v>237</v>
      </c>
      <c r="AK18" s="222" t="s">
        <v>238</v>
      </c>
    </row>
    <row customHeight="true" ht="41.48148148148148" r="19">
      <c r="A19" s="218"/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23"/>
      <c r="AC19" s="224"/>
      <c r="AD19" s="223"/>
      <c r="AE19" s="222"/>
      <c r="AF19" s="222"/>
      <c r="AG19" s="218"/>
      <c r="AH19" s="223"/>
      <c r="AI19" s="223"/>
      <c r="AJ19" s="222"/>
      <c r="AK19" s="222"/>
      <c r="AL19" s="218"/>
      <c r="AM19" s="218"/>
      <c r="AN19" s="218"/>
    </row>
    <row customHeight="true" ht="45.925925925925924" r="20">
      <c r="A20" s="225" t="s">
        <v>239</v>
      </c>
      <c r="B20" s="186" t="s">
        <v>155</v>
      </c>
      <c r="C20" s="186" t="s">
        <v>156</v>
      </c>
      <c r="D20" s="186" t="s">
        <v>197</v>
      </c>
      <c r="E20" s="186" t="s">
        <v>240</v>
      </c>
      <c r="F20" s="187" t="s">
        <v>241</v>
      </c>
      <c r="G20" s="186" t="s">
        <v>160</v>
      </c>
      <c r="H20" s="186" t="s">
        <v>161</v>
      </c>
      <c r="I20" s="186" t="s">
        <v>162</v>
      </c>
      <c r="J20" s="186" t="s">
        <v>175</v>
      </c>
      <c r="K20" s="186" t="s">
        <v>176</v>
      </c>
      <c r="L20" s="190" t="s">
        <v>242</v>
      </c>
      <c r="M20" s="190" t="s">
        <v>243</v>
      </c>
      <c r="N20" s="226" t="s">
        <v>244</v>
      </c>
      <c r="AB20" s="218" t="s">
        <v>245</v>
      </c>
      <c r="AC20" s="218">
        <v>7.5</v>
      </c>
      <c r="AD20" s="223">
        <f t="shared" ref="AD20:AD26" si="9">AC20*AF20</f>
      </c>
      <c r="AE20" s="215">
        <v>0.1695</v>
      </c>
      <c r="AF20" s="218">
        <v>0.3</v>
      </c>
      <c r="AG20" s="215">
        <v>0.0509</v>
      </c>
      <c r="AH20" s="215">
        <f t="shared" ref="AH20:AH25" si="15">AE20*AF20</f>
      </c>
      <c r="AI20" s="215">
        <f t="shared" ref="AI20:AI26" si="21">100%-AE20</f>
      </c>
    </row>
    <row customHeight="true" ht="38.51851851851852" r="21">
      <c r="A21" s="191" t="s">
        <v>246</v>
      </c>
      <c r="B21" s="192">
        <v>7.4</v>
      </c>
      <c r="C21" s="193">
        <v>0.44</v>
      </c>
      <c r="D21" s="193" t="s">
        <v>247</v>
      </c>
      <c r="E21" s="191">
        <v>129.99</v>
      </c>
      <c r="F21" s="194">
        <f>E21*C21</f>
      </c>
      <c r="G21" s="194">
        <v>122.57</v>
      </c>
      <c r="H21" s="194">
        <v>5.69</v>
      </c>
      <c r="I21" s="194">
        <f>SUM(G21:H21)</f>
      </c>
      <c r="J21" s="193">
        <v>0.15</v>
      </c>
      <c r="K21" s="196">
        <f>E21*B21*J21</f>
      </c>
      <c r="L21" s="195">
        <f>F21*B21-I21-K21</f>
      </c>
      <c r="M21" s="198">
        <f>L21/(E21*B21)</f>
      </c>
      <c r="N21" s="222">
        <f>E21*C21</f>
      </c>
      <c r="O21" s="222"/>
      <c r="P21" s="222"/>
      <c r="Q21" s="222"/>
      <c r="R21" s="222"/>
      <c r="S21" s="222"/>
      <c r="T21" s="222"/>
      <c r="U21" s="222"/>
      <c r="V21" s="222"/>
      <c r="W21" s="216"/>
      <c r="X21" s="216"/>
      <c r="Y21" s="216"/>
      <c r="AB21" s="218" t="s">
        <v>248</v>
      </c>
      <c r="AC21" s="218">
        <v>14</v>
      </c>
      <c r="AD21" s="223">
        <f t="shared" si="9"/>
      </c>
      <c r="AE21" s="215">
        <v>0.198</v>
      </c>
      <c r="AF21" s="218">
        <v>0.2</v>
      </c>
      <c r="AG21" s="215">
        <v>0.0396</v>
      </c>
      <c r="AH21" s="215">
        <f t="shared" si="15"/>
      </c>
      <c r="AI21" s="215">
        <f t="shared" si="21"/>
      </c>
    </row>
    <row customHeight="true" ht="41.48148148148148" r="22">
      <c r="AB22" s="218" t="s">
        <v>249</v>
      </c>
      <c r="AC22" s="218">
        <v>15</v>
      </c>
      <c r="AD22" s="223">
        <f t="shared" si="9"/>
      </c>
      <c r="AE22" s="215">
        <v>0.1846</v>
      </c>
      <c r="AF22" s="218">
        <v>0.15</v>
      </c>
      <c r="AG22" s="215">
        <v>0.0277</v>
      </c>
      <c r="AH22" s="215">
        <f t="shared" si="15"/>
      </c>
      <c r="AI22" s="215">
        <f t="shared" si="21"/>
      </c>
    </row>
    <row customHeight="true" ht="24.444444444444443" r="23">
      <c r="AB23" s="218" t="s">
        <v>250</v>
      </c>
      <c r="AC23" s="218">
        <v>19</v>
      </c>
      <c r="AD23" s="223">
        <f t="shared" si="9"/>
      </c>
      <c r="AE23" s="215">
        <v>0.1646</v>
      </c>
      <c r="AF23" s="218">
        <v>0.1</v>
      </c>
      <c r="AG23" s="215">
        <v>0.0165</v>
      </c>
      <c r="AH23" s="215">
        <f t="shared" si="15"/>
      </c>
      <c r="AI23" s="215">
        <f t="shared" si="21"/>
      </c>
    </row>
    <row customHeight="true" ht="35.55555555555555" r="24">
      <c r="AB24" s="218" t="s">
        <v>251</v>
      </c>
      <c r="AC24" s="218">
        <v>13.8</v>
      </c>
      <c r="AD24" s="223">
        <f t="shared" si="9"/>
      </c>
      <c r="AE24" s="215">
        <v>0.158</v>
      </c>
      <c r="AF24" s="218">
        <v>0.1</v>
      </c>
      <c r="AG24" s="215">
        <v>0.0158</v>
      </c>
      <c r="AH24" s="215">
        <f t="shared" si="15"/>
      </c>
      <c r="AI24" s="215">
        <f t="shared" si="21"/>
      </c>
    </row>
    <row customHeight="true" ht="41.48148148148148" r="25">
      <c r="AB25" s="218" t="s">
        <v>252</v>
      </c>
      <c r="AC25" s="218">
        <v>12.8</v>
      </c>
      <c r="AD25" s="223">
        <f t="shared" si="9"/>
      </c>
      <c r="AE25" s="215">
        <v>0.158</v>
      </c>
      <c r="AF25" s="218">
        <v>0.15</v>
      </c>
      <c r="AG25" s="215">
        <v>0.0237</v>
      </c>
      <c r="AH25" s="215">
        <f t="shared" si="15"/>
      </c>
      <c r="AI25" s="215">
        <f t="shared" si="21"/>
      </c>
    </row>
    <row customHeight="true" ht="41.48148148148148" r="26">
      <c r="AB26" s="218" t="s">
        <v>253</v>
      </c>
      <c r="AC26" s="218">
        <v>7.6</v>
      </c>
      <c r="AD26" s="223">
        <f t="shared" si="9"/>
      </c>
      <c r="AE26" s="215">
        <v>0.158</v>
      </c>
      <c r="AF26" s="218">
        <v>0.05</v>
      </c>
      <c r="AG26" s="215">
        <v>0.0237</v>
      </c>
      <c r="AH26" s="215">
        <v>0.0237</v>
      </c>
      <c r="AI26" s="215">
        <f t="shared" si="21"/>
      </c>
    </row>
    <row customHeight="true" ht="41.48148148148148" r="27"/>
    <row customHeight="true" ht="41.48148148148148" r="28"/>
    <row customHeight="true" ht="13.333333333333332" r="29"/>
    <row customHeight="true" ht="13.333333333333332" r="30"/>
    <row customHeight="true" ht="13.333333333333332" r="31"/>
    <row customHeight="true" ht="13.333333333333332" r="32"/>
    <row customHeight="true" ht="13.333333333333332" r="33">
      <c r="P33" s="218" t="s">
        <v>254</v>
      </c>
    </row>
    <row customHeight="true" ht="13.333333333333332" r="34"/>
    <row customHeight="true" ht="13.333333333333332" r="35"/>
    <row customHeight="true" ht="13.333333333333332" r="36"/>
    <row customHeight="true" ht="13.333333333333332" r="37"/>
    <row customHeight="true" ht="13.333333333333332" r="38"/>
    <row customHeight="true" ht="13.333333333333332" r="39"/>
    <row customHeight="true" ht="13.333333333333332" r="40"/>
    <row customHeight="true" ht="13.333333333333332" r="41"/>
    <row customHeight="true" ht="13.333333333333332" r="42"/>
    <row customHeight="true" ht="13.333333333333332" r="43"/>
    <row customHeight="true" ht="13.333333333333332" r="44"/>
    <row customHeight="true" ht="13.333333333333332" r="45"/>
    <row customHeight="true" ht="13.333333333333332" r="46"/>
    <row customHeight="true" ht="13.333333333333332" r="47"/>
    <row customHeight="true" ht="13.333333333333332" r="48"/>
    <row customHeight="true" ht="13.333333333333332" r="49"/>
    <row customHeight="true" ht="13.333333333333332" r="50"/>
    <row customHeight="true" ht="13.333333333333332" r="51"/>
    <row customHeight="true" ht="13.333333333333332" r="52"/>
    <row customHeight="true" ht="13.333333333333332" r="53"/>
    <row customHeight="true" ht="13.333333333333332" r="54"/>
    <row customHeight="true" ht="13.333333333333332" r="55"/>
    <row customHeight="true" ht="13.333333333333332" r="56"/>
  </sheetData>
  <dataValidations count="2">
    <dataValidation allowBlank="true" errorStyle="stop" showErrorMessage="true" sqref="C7:C13 C17:C17 D7:D13 D17:D17" type="list">
      <formula1>"US,CA,UK,DE,IT,ES,FR,JP,AU,IN"</formula1>
    </dataValidation>
    <dataValidation allowBlank="true" errorStyle="stop" showErrorMessage="true" sqref="E7:E13 E17:E17" type="list">
      <formula1>"有,无"</formula1>
    </dataValidation>
  </dataValidations>
  <drawing r:id="rId3"/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7.4"/>
    <col collapsed="false" customWidth="true" hidden="false" max="23" min="23" style="0" width="17.4"/>
    <col collapsed="false" customWidth="true" hidden="false" max="34" min="34" style="0" width="17.4"/>
    <col collapsed="false" customWidth="true" hidden="false" max="55" min="55" style="0" width="17.4"/>
    <col collapsed="false" customWidth="true" hidden="false" max="72" min="72" style="0" width="17.4"/>
    <col collapsed="false" customWidth="true" hidden="false" max="2" min="2" style="0" width="17.4"/>
    <col collapsed="false" customWidth="true" hidden="false" max="18" min="18" style="0" width="17.4"/>
    <col collapsed="false" customWidth="true" hidden="false" max="33" min="33" style="0" width="17.4"/>
    <col collapsed="false" customWidth="true" hidden="false" max="50" min="50" style="0" width="17.4"/>
    <col collapsed="false" customWidth="true" hidden="false" max="71" min="71" style="0" width="17.4"/>
    <col collapsed="false" customWidth="true" hidden="false" max="1" min="1" style="0" width="11.933333333333334"/>
    <col collapsed="false" customWidth="true" hidden="false" max="17" min="17" style="0" width="17.4"/>
    <col collapsed="false" customWidth="true" hidden="false" max="36" min="36" style="0" width="17.4"/>
    <col collapsed="false" customWidth="true" hidden="false" max="49" min="49" style="0" width="17.4"/>
    <col collapsed="false" customWidth="true" hidden="false" max="66" min="66" style="0" width="17.4"/>
    <col collapsed="false" customWidth="true" hidden="false" max="4" min="4" style="0" width="23.266666666666666"/>
    <col collapsed="false" customWidth="true" hidden="false" max="20" min="20" style="0" width="17.4"/>
    <col collapsed="false" customWidth="true" hidden="false" max="35" min="35" style="0" width="17.4"/>
    <col collapsed="false" customWidth="true" hidden="false" max="52" min="52" style="0" width="17.4"/>
    <col collapsed="false" customWidth="true" hidden="false" max="65" min="65" style="0" width="17.4"/>
    <col collapsed="false" customWidth="true" hidden="false" max="3" min="3" style="0" width="17.4"/>
    <col collapsed="false" customWidth="true" hidden="false" max="19" min="19" style="0" width="17.4"/>
    <col collapsed="false" customWidth="true" hidden="false" max="46" min="46" style="0" width="17.4"/>
    <col collapsed="false" customWidth="true" hidden="false" max="51" min="51" style="0" width="17.4"/>
    <col collapsed="false" customWidth="true" hidden="false" max="68" min="68" style="0" width="17.4"/>
    <col collapsed="false" customWidth="true" hidden="false" max="14" min="14" style="0" width="17.4"/>
    <col collapsed="false" customWidth="true" hidden="false" max="30" min="30" style="0" width="17.4"/>
    <col collapsed="false" customWidth="true" hidden="false" max="45" min="45" style="0" width="17.4"/>
    <col collapsed="false" customWidth="true" hidden="false" max="62" min="62" style="0" width="17.4"/>
    <col collapsed="false" customWidth="true" hidden="false" max="67" min="67" style="0" width="17.4"/>
    <col collapsed="false" customWidth="true" hidden="false" max="13" min="13" style="0" width="17.4"/>
    <col collapsed="false" customWidth="true" hidden="false" max="29" min="29" style="0" width="17.4"/>
    <col collapsed="false" customWidth="true" hidden="false" max="48" min="48" style="0" width="17.4"/>
    <col collapsed="false" customWidth="true" hidden="false" max="61" min="61" style="0" width="17.4"/>
    <col collapsed="false" customWidth="true" hidden="false" max="16" min="16" style="0" width="17.4"/>
    <col collapsed="false" customWidth="true" hidden="false" max="32" min="32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64" min="64" style="0" width="17.4"/>
    <col collapsed="false" customWidth="true" hidden="false" max="15" min="15" style="0" width="17.4"/>
    <col collapsed="false" customWidth="true" hidden="false" max="31" min="31" style="0" width="17.4"/>
    <col collapsed="false" customWidth="true" hidden="false" max="42" min="42" style="0" width="24.733333333333334"/>
    <col collapsed="false" customWidth="true" hidden="false" max="58" min="58" style="0" width="17.4"/>
    <col collapsed="false" customWidth="true" hidden="false" max="10" min="10" style="0" width="17.4"/>
    <col collapsed="false" customWidth="true" hidden="false" max="26" min="26" style="0" width="17.4"/>
    <col collapsed="false" customWidth="true" hidden="false" max="41" min="41" style="0" width="24.733333333333334"/>
    <col collapsed="false" customWidth="true" hidden="false" max="57" min="57" style="0" width="17.4"/>
    <col collapsed="false" customWidth="true" hidden="false" max="9" min="9" style="0" width="17.4"/>
    <col collapsed="false" customWidth="true" hidden="false" max="25" min="25" style="0" width="17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74" min="74" style="0" width="17.4"/>
    <col collapsed="false" customWidth="true" hidden="false" max="12" min="12" style="0" width="17.4"/>
    <col collapsed="false" customWidth="true" hidden="false" max="28" min="28" style="0" width="17.4"/>
    <col collapsed="false" customWidth="true" hidden="false" max="43" min="43" style="0" width="17.4"/>
    <col collapsed="false" customWidth="true" hidden="false" max="59" min="59" style="0" width="17.4"/>
    <col collapsed="false" customWidth="true" hidden="false" max="73" min="73" style="0" width="17.4"/>
    <col collapsed="false" customWidth="true" hidden="false" max="11" min="11" style="0" width="17.4"/>
    <col collapsed="false" customWidth="true" hidden="false" max="27" min="27" style="0" width="17.4"/>
    <col collapsed="false" customWidth="true" hidden="false" max="38" min="38" style="0" width="17.4"/>
    <col collapsed="false" customWidth="true" hidden="false" max="76" min="76" style="0" width="17.4"/>
    <col collapsed="false" customWidth="true" hidden="false" max="6" min="6" style="0" width="17.4"/>
    <col collapsed="false" customWidth="true" hidden="false" max="22" min="22" style="0" width="17.4"/>
    <col collapsed="false" customWidth="true" hidden="false" max="37" min="37" style="0" width="17.4"/>
    <col collapsed="false" customWidth="true" hidden="false" max="54" min="54" style="0" width="17.4"/>
    <col collapsed="false" customWidth="true" hidden="false" max="75" min="75" style="0" width="17.4"/>
    <col collapsed="false" customWidth="true" hidden="false" max="5" min="5" style="0" width="17.4"/>
    <col collapsed="false" customWidth="true" hidden="false" max="21" min="21" style="0" width="17.4"/>
    <col collapsed="false" customWidth="true" hidden="false" max="40" min="40" style="0" width="24.733333333333334"/>
    <col collapsed="false" customWidth="true" hidden="false" max="53" min="53" style="0" width="17.4"/>
    <col collapsed="false" customWidth="true" hidden="false" max="70" min="70" style="0" width="17.4"/>
    <col collapsed="false" customWidth="true" hidden="false" max="8" min="8" style="0" width="17.4"/>
    <col collapsed="false" customWidth="true" hidden="false" max="24" min="24" style="0" width="17.4"/>
    <col collapsed="false" customWidth="true" hidden="false" max="39" min="39" style="0" width="93.4"/>
    <col collapsed="false" customWidth="true" hidden="false" max="56" min="56" style="0" width="17.4"/>
    <col collapsed="false" customWidth="true" hidden="false" max="69" min="69" style="0" width="17.4"/>
  </cols>
  <sheetData>
    <row customHeight="true" ht="48.148148148148145" r="1">
      <c r="A1" s="227" t="s">
        <v>255</v>
      </c>
      <c r="B1" s="228" t="s">
        <v>256</v>
      </c>
      <c r="C1" s="228" t="s">
        <v>257</v>
      </c>
      <c r="D1" s="227" t="s">
        <v>258</v>
      </c>
      <c r="E1" s="227" t="s">
        <v>259</v>
      </c>
      <c r="F1" s="229" t="s">
        <v>260</v>
      </c>
      <c r="G1" s="230" t="s">
        <v>261</v>
      </c>
      <c r="H1" s="229" t="s">
        <v>262</v>
      </c>
      <c r="I1" s="229" t="s">
        <v>263</v>
      </c>
      <c r="J1" s="229" t="s">
        <v>264</v>
      </c>
      <c r="K1" s="231" t="s">
        <v>265</v>
      </c>
      <c r="L1" s="232" t="s">
        <v>266</v>
      </c>
      <c r="M1" s="233" t="s">
        <v>267</v>
      </c>
      <c r="N1" s="234" t="s">
        <v>268</v>
      </c>
      <c r="O1" s="235" t="s">
        <v>269</v>
      </c>
      <c r="P1" s="227" t="s">
        <v>270</v>
      </c>
      <c r="Q1" s="236" t="s">
        <v>271</v>
      </c>
      <c r="R1" s="237" t="s">
        <v>272</v>
      </c>
      <c r="S1" s="238" t="s">
        <v>273</v>
      </c>
      <c r="T1" s="239" t="s">
        <v>274</v>
      </c>
      <c r="U1" s="240" t="s">
        <v>275</v>
      </c>
      <c r="V1" s="240" t="s">
        <v>276</v>
      </c>
      <c r="W1" s="240" t="s">
        <v>277</v>
      </c>
      <c r="X1" s="241" t="s">
        <v>278</v>
      </c>
      <c r="Y1" s="242" t="s">
        <v>279</v>
      </c>
      <c r="Z1" s="242" t="s">
        <v>280</v>
      </c>
      <c r="AA1" s="241" t="s">
        <v>281</v>
      </c>
      <c r="AB1" s="241" t="s">
        <v>282</v>
      </c>
      <c r="AC1" s="241" t="s">
        <v>283</v>
      </c>
      <c r="AD1" s="241" t="s">
        <v>284</v>
      </c>
      <c r="AE1" s="241" t="s">
        <v>285</v>
      </c>
      <c r="AF1" s="243" t="s">
        <v>286</v>
      </c>
      <c r="AG1" s="244" t="s">
        <v>287</v>
      </c>
      <c r="AH1" s="243" t="s">
        <v>288</v>
      </c>
      <c r="AI1" s="242" t="s">
        <v>289</v>
      </c>
      <c r="AJ1" s="242" t="s">
        <v>290</v>
      </c>
      <c r="AK1" s="234" t="s">
        <v>291</v>
      </c>
      <c r="AL1" s="242" t="s">
        <v>292</v>
      </c>
      <c r="AM1" s="242" t="s">
        <v>293</v>
      </c>
      <c r="AN1" s="242" t="s">
        <v>281</v>
      </c>
      <c r="AO1" s="242" t="s">
        <v>294</v>
      </c>
      <c r="AP1" s="242" t="s">
        <v>295</v>
      </c>
      <c r="AQ1" s="242" t="s">
        <v>296</v>
      </c>
      <c r="AR1" s="242" t="s">
        <v>297</v>
      </c>
      <c r="AS1" s="242" t="s">
        <v>298</v>
      </c>
      <c r="AT1" s="242" t="s">
        <v>299</v>
      </c>
      <c r="AU1" s="242" t="s">
        <v>300</v>
      </c>
      <c r="AV1" s="242" t="s">
        <v>301</v>
      </c>
      <c r="AW1" s="242" t="s">
        <v>302</v>
      </c>
      <c r="AX1" s="242" t="s">
        <v>303</v>
      </c>
      <c r="AY1" s="245" t="s">
        <v>304</v>
      </c>
      <c r="AZ1" s="245" t="s">
        <v>305</v>
      </c>
      <c r="BA1" s="245" t="s">
        <v>306</v>
      </c>
      <c r="BB1" s="245" t="s">
        <v>295</v>
      </c>
      <c r="BC1" s="245" t="s">
        <v>296</v>
      </c>
      <c r="BD1" s="245" t="s">
        <v>297</v>
      </c>
      <c r="BE1" s="242" t="s">
        <v>298</v>
      </c>
      <c r="BF1" s="242" t="s">
        <v>299</v>
      </c>
      <c r="BG1" s="242" t="s">
        <v>300</v>
      </c>
      <c r="BH1" s="242" t="s">
        <v>301</v>
      </c>
      <c r="BI1" s="242" t="s">
        <v>302</v>
      </c>
      <c r="BJ1" s="242" t="s">
        <v>303</v>
      </c>
      <c r="BK1" s="245" t="s">
        <v>307</v>
      </c>
      <c r="BL1" s="245" t="s">
        <v>305</v>
      </c>
      <c r="BM1" s="245" t="s">
        <v>306</v>
      </c>
      <c r="BN1" s="245" t="s">
        <v>295</v>
      </c>
      <c r="BO1" s="245" t="s">
        <v>296</v>
      </c>
      <c r="BP1" s="245" t="s">
        <v>297</v>
      </c>
      <c r="BQ1" s="242" t="s">
        <v>298</v>
      </c>
      <c r="BR1" s="242" t="s">
        <v>299</v>
      </c>
      <c r="BS1" s="242" t="s">
        <v>300</v>
      </c>
      <c r="BT1" s="242" t="s">
        <v>301</v>
      </c>
      <c r="BU1" s="242" t="s">
        <v>302</v>
      </c>
      <c r="BV1" s="242" t="s">
        <v>303</v>
      </c>
      <c r="BW1" s="245" t="s">
        <v>308</v>
      </c>
      <c r="BX1" s="246" t="s">
        <v>309</v>
      </c>
    </row>
    <row customHeight="true" ht="17.777777777777775" r="2">
      <c r="A2" s="247" t="s">
        <v>310</v>
      </c>
      <c r="B2" s="247" t="s">
        <v>311</v>
      </c>
      <c r="C2" s="247" t="s">
        <v>312</v>
      </c>
      <c r="D2" s="248" t="s">
        <v>313</v>
      </c>
      <c r="E2" s="249" t="s">
        <v>314</v>
      </c>
      <c r="F2" s="250">
        <v>87</v>
      </c>
      <c r="G2" s="250">
        <f t="shared" ref="G2:G11" si="13">K2</f>
      </c>
      <c r="H2" s="251">
        <f t="shared" ref="H2:H11" si="19">INDEX(#NULL!,MATCH(1,(#NULL!=A2)*(#NULL!=C2),0))</f>
      </c>
      <c r="I2" s="251">
        <f t="shared" ref="I2:I11" si="0">H2=J2</f>
      </c>
      <c r="J2" s="250">
        <v>87</v>
      </c>
      <c r="K2" s="250">
        <v>119.99</v>
      </c>
      <c r="L2" s="252">
        <f t="shared" ref="L2:L11" si="7">J2-Q2/T2-AE2-AB2-R2-AC2-AD2</f>
      </c>
      <c r="M2" s="253">
        <f t="shared" ref="M2:M11" si="14">L2/J2</f>
      </c>
      <c r="N2" s="251">
        <f t="shared" ref="N2:N11" si="20">K2/1.2</f>
      </c>
      <c r="O2" s="254">
        <f t="shared" ref="O2:O11" si="1">(N2-J2)/N2</f>
      </c>
      <c r="P2" s="252">
        <f t="shared" ref="P2:P11" si="8">K2/1.2-J2</f>
      </c>
      <c r="Q2" s="251">
        <f t="shared" ref="Q2:Q11" si="15">AG2+AH2</f>
      </c>
      <c r="R2" s="251">
        <f t="shared" ref="R2:R11" si="21">IFERROR(IF(A2="UK",8.95/S2,IF(A2="DE",11.43/S2,IF(A2="FR",15.27/S2,IF(A2="IT",16.34/S2,IF(A2="ES",20.62/S2,IF(A2="NL",12/S2,IF(A2="PL",15.06/S2,IF(A2="SE",18.5/S2,IF(A2="BE",15.27/S2))))))))),0)</f>
      </c>
      <c r="S2" s="247">
        <v>4</v>
      </c>
      <c r="T2" s="255">
        <v>8.5</v>
      </c>
      <c r="U2" s="256">
        <v>0.1</v>
      </c>
      <c r="V2" s="253">
        <f t="shared" ref="V2:V11" si="2">AB2/K2</f>
      </c>
      <c r="W2" s="256">
        <v>0.15</v>
      </c>
      <c r="X2" s="256">
        <v>0.01</v>
      </c>
      <c r="Y2" s="256">
        <f t="shared" ref="Y2:Y11" si="9">Q2/(J2*T2)</f>
      </c>
      <c r="Z2" s="256">
        <f t="shared" ref="Z2:Z11" si="16">R2/J2</f>
      </c>
      <c r="AA2" s="257">
        <v>0.158</v>
      </c>
      <c r="AB2" s="258">
        <f t="shared" ref="AB2:AB11" si="22">J2*U2</f>
      </c>
      <c r="AC2" s="258">
        <f t="shared" ref="AC2:AC11" si="3">J2*W2</f>
      </c>
      <c r="AD2" s="258">
        <f t="shared" ref="AD2:AD11" si="10">J2*X2</f>
      </c>
      <c r="AE2" s="251">
        <f t="shared" ref="AE2:AE11" si="11">J2*AA2</f>
      </c>
      <c r="AF2" s="251">
        <v>138.5</v>
      </c>
      <c r="AG2" s="259">
        <f t="shared" ref="AG2:AG11" si="17">AF2/1.13</f>
      </c>
      <c r="AH2" s="255">
        <f>49.7/8.5</f>
      </c>
      <c r="AI2" s="256">
        <f t="shared" ref="AI2:AI11" si="4">AG2/(J2*T2)</f>
      </c>
      <c r="AJ2" s="256">
        <f t="shared" ref="AJ2:AJ11" si="12">AH2/T2/J2</f>
      </c>
      <c r="AK2" s="255">
        <v>54.2</v>
      </c>
      <c r="AL2" s="256">
        <f t="shared" ref="AL2:AL11" si="18">(N2-J2+AE2-AC2)/N2</f>
      </c>
      <c r="AM2" s="256" t="s">
        <v>315</v>
      </c>
      <c r="AN2" s="256" t="s">
        <v>316</v>
      </c>
      <c r="AO2" s="256"/>
      <c r="AP2" s="256"/>
      <c r="AQ2" s="256"/>
      <c r="AR2" s="256"/>
      <c r="AS2" s="256"/>
      <c r="AT2" s="256"/>
      <c r="AU2" s="256"/>
      <c r="AV2" s="256"/>
      <c r="AW2" s="256"/>
      <c r="AX2" s="256"/>
      <c r="AY2" s="260" t="s">
        <v>317</v>
      </c>
      <c r="AZ2" s="260" t="s">
        <v>317</v>
      </c>
      <c r="BA2" s="260" t="s">
        <v>317</v>
      </c>
      <c r="BB2" s="260" t="s">
        <v>317</v>
      </c>
      <c r="BC2" s="260" t="s">
        <v>317</v>
      </c>
      <c r="BD2" s="260" t="s">
        <v>317</v>
      </c>
      <c r="BE2" s="260" t="s">
        <v>317</v>
      </c>
      <c r="BF2" s="260" t="s">
        <v>317</v>
      </c>
      <c r="BG2" s="260" t="s">
        <v>317</v>
      </c>
      <c r="BH2" s="260" t="s">
        <v>317</v>
      </c>
      <c r="BI2" s="260" t="s">
        <v>317</v>
      </c>
      <c r="BJ2" s="260" t="s">
        <v>317</v>
      </c>
      <c r="BK2" s="260" t="s">
        <v>317</v>
      </c>
      <c r="BL2" s="260" t="s">
        <v>317</v>
      </c>
      <c r="BM2" s="260" t="s">
        <v>317</v>
      </c>
      <c r="BN2" s="260" t="s">
        <v>317</v>
      </c>
      <c r="BO2" s="260" t="s">
        <v>317</v>
      </c>
      <c r="BP2" s="260" t="s">
        <v>317</v>
      </c>
      <c r="BQ2" s="260" t="s">
        <v>317</v>
      </c>
      <c r="BR2" s="260" t="s">
        <v>317</v>
      </c>
      <c r="BS2" s="260" t="s">
        <v>317</v>
      </c>
      <c r="BT2" s="260" t="s">
        <v>317</v>
      </c>
      <c r="BU2" s="260" t="s">
        <v>317</v>
      </c>
      <c r="BV2" s="260" t="s">
        <v>317</v>
      </c>
      <c r="BW2" s="261"/>
      <c r="BX2" s="247" t="str">
        <v>#VALUE!</v>
      </c>
    </row>
    <row customHeight="true" ht="17.777777777777775" r="3">
      <c r="A3" s="247" t="s">
        <v>318</v>
      </c>
      <c r="B3" s="247" t="s">
        <v>319</v>
      </c>
      <c r="C3" s="247" t="s">
        <v>320</v>
      </c>
      <c r="D3" s="248" t="s">
        <v>321</v>
      </c>
      <c r="E3" s="249" t="s">
        <v>314</v>
      </c>
      <c r="F3" s="250">
        <v>87</v>
      </c>
      <c r="G3" s="250">
        <f t="shared" si="13"/>
      </c>
      <c r="H3" s="251">
        <f t="shared" si="19"/>
      </c>
      <c r="I3" s="251">
        <f t="shared" si="0"/>
      </c>
      <c r="J3" s="250">
        <v>87</v>
      </c>
      <c r="K3" s="250">
        <v>119.99</v>
      </c>
      <c r="L3" s="252">
        <f t="shared" si="7"/>
      </c>
      <c r="M3" s="253">
        <f t="shared" si="14"/>
      </c>
      <c r="N3" s="251">
        <f t="shared" si="20"/>
      </c>
      <c r="O3" s="254">
        <f t="shared" si="1"/>
      </c>
      <c r="P3" s="252">
        <f t="shared" si="8"/>
      </c>
      <c r="Q3" s="251">
        <f t="shared" si="15"/>
      </c>
      <c r="R3" s="251">
        <f t="shared" si="21"/>
      </c>
      <c r="S3" s="247">
        <v>4</v>
      </c>
      <c r="T3" s="255">
        <v>7.4</v>
      </c>
      <c r="U3" s="256">
        <v>0.1</v>
      </c>
      <c r="V3" s="253">
        <f t="shared" si="2"/>
      </c>
      <c r="W3" s="256">
        <v>0.15</v>
      </c>
      <c r="X3" s="256">
        <v>0.01</v>
      </c>
      <c r="Y3" s="256">
        <f t="shared" si="9"/>
      </c>
      <c r="Z3" s="256">
        <f t="shared" si="16"/>
      </c>
      <c r="AA3" s="257">
        <v>0.1695</v>
      </c>
      <c r="AB3" s="258">
        <f t="shared" si="22"/>
      </c>
      <c r="AC3" s="258">
        <f t="shared" si="3"/>
      </c>
      <c r="AD3" s="258">
        <f t="shared" si="10"/>
      </c>
      <c r="AE3" s="251">
        <f t="shared" si="11"/>
      </c>
      <c r="AF3" s="251">
        <v>138.5</v>
      </c>
      <c r="AG3" s="259">
        <f t="shared" si="17"/>
      </c>
      <c r="AH3" s="255">
        <f t="shared" ref="AH3:AH11" si="5">49.7/7.4</f>
      </c>
      <c r="AI3" s="256">
        <f t="shared" si="4"/>
      </c>
      <c r="AJ3" s="256">
        <f t="shared" si="12"/>
      </c>
      <c r="AK3" s="255">
        <v>54.2</v>
      </c>
      <c r="AL3" s="256">
        <f t="shared" si="18"/>
      </c>
      <c r="AM3" s="256" t="s">
        <v>322</v>
      </c>
      <c r="AN3" s="256" t="s">
        <v>323</v>
      </c>
      <c r="AO3" s="256"/>
      <c r="AP3" s="256"/>
      <c r="AQ3" s="256"/>
      <c r="AR3" s="256"/>
      <c r="AS3" s="260"/>
      <c r="AT3" s="260"/>
      <c r="AU3" s="260"/>
      <c r="AV3" s="260"/>
      <c r="AW3" s="260"/>
      <c r="AX3" s="260"/>
      <c r="AY3" s="260" t="s">
        <v>317</v>
      </c>
      <c r="AZ3" s="260" t="s">
        <v>317</v>
      </c>
      <c r="BA3" s="260" t="s">
        <v>317</v>
      </c>
      <c r="BB3" s="260" t="s">
        <v>317</v>
      </c>
      <c r="BC3" s="260" t="s">
        <v>317</v>
      </c>
      <c r="BD3" s="260" t="s">
        <v>317</v>
      </c>
      <c r="BE3" s="260" t="s">
        <v>317</v>
      </c>
      <c r="BF3" s="260" t="s">
        <v>317</v>
      </c>
      <c r="BG3" s="260" t="s">
        <v>317</v>
      </c>
      <c r="BH3" s="260" t="s">
        <v>317</v>
      </c>
      <c r="BI3" s="260" t="s">
        <v>317</v>
      </c>
      <c r="BJ3" s="260" t="s">
        <v>317</v>
      </c>
      <c r="BK3" s="260" t="s">
        <v>317</v>
      </c>
      <c r="BL3" s="260" t="s">
        <v>317</v>
      </c>
      <c r="BM3" s="260" t="s">
        <v>317</v>
      </c>
      <c r="BN3" s="260" t="s">
        <v>317</v>
      </c>
      <c r="BO3" s="260" t="s">
        <v>317</v>
      </c>
      <c r="BP3" s="260" t="s">
        <v>317</v>
      </c>
      <c r="BQ3" s="260" t="s">
        <v>317</v>
      </c>
      <c r="BR3" s="260" t="s">
        <v>317</v>
      </c>
      <c r="BS3" s="260" t="s">
        <v>317</v>
      </c>
      <c r="BT3" s="260" t="s">
        <v>317</v>
      </c>
      <c r="BU3" s="260" t="s">
        <v>317</v>
      </c>
      <c r="BV3" s="260" t="s">
        <v>317</v>
      </c>
      <c r="BW3" s="261"/>
      <c r="BX3" s="247" t="str">
        <v>#VALUE!</v>
      </c>
    </row>
    <row customHeight="true" ht="17.777777777777775" r="4">
      <c r="A4" s="247" t="s">
        <v>324</v>
      </c>
      <c r="B4" s="247" t="s">
        <v>319</v>
      </c>
      <c r="C4" s="247" t="s">
        <v>320</v>
      </c>
      <c r="D4" s="248" t="s">
        <v>325</v>
      </c>
      <c r="E4" s="249" t="s">
        <v>314</v>
      </c>
      <c r="F4" s="250">
        <v>87</v>
      </c>
      <c r="G4" s="250">
        <f t="shared" si="13"/>
      </c>
      <c r="H4" s="251">
        <f t="shared" si="19"/>
      </c>
      <c r="I4" s="251">
        <f t="shared" si="0"/>
      </c>
      <c r="J4" s="250">
        <v>87</v>
      </c>
      <c r="K4" s="250">
        <v>119.99</v>
      </c>
      <c r="L4" s="252">
        <f t="shared" si="7"/>
      </c>
      <c r="M4" s="253">
        <f t="shared" si="14"/>
      </c>
      <c r="N4" s="251">
        <f t="shared" si="20"/>
      </c>
      <c r="O4" s="254">
        <f t="shared" si="1"/>
      </c>
      <c r="P4" s="252">
        <f t="shared" si="8"/>
      </c>
      <c r="Q4" s="251">
        <f t="shared" si="15"/>
      </c>
      <c r="R4" s="251">
        <f t="shared" si="21"/>
      </c>
      <c r="S4" s="247">
        <v>4</v>
      </c>
      <c r="T4" s="255">
        <v>7.4</v>
      </c>
      <c r="U4" s="256">
        <v>0.1</v>
      </c>
      <c r="V4" s="253">
        <f t="shared" si="2"/>
      </c>
      <c r="W4" s="256">
        <v>0.05</v>
      </c>
      <c r="X4" s="256">
        <v>0.01</v>
      </c>
      <c r="Y4" s="256">
        <f t="shared" si="9"/>
      </c>
      <c r="Z4" s="256">
        <f t="shared" si="16"/>
      </c>
      <c r="AA4" s="257">
        <v>0.198</v>
      </c>
      <c r="AB4" s="258">
        <f t="shared" si="22"/>
      </c>
      <c r="AC4" s="258">
        <f t="shared" si="3"/>
      </c>
      <c r="AD4" s="258">
        <f t="shared" si="10"/>
      </c>
      <c r="AE4" s="251">
        <f t="shared" si="11"/>
      </c>
      <c r="AF4" s="251">
        <v>138.5</v>
      </c>
      <c r="AG4" s="259">
        <f t="shared" si="17"/>
      </c>
      <c r="AH4" s="255">
        <f t="shared" si="5"/>
      </c>
      <c r="AI4" s="256">
        <f t="shared" si="4"/>
      </c>
      <c r="AJ4" s="256">
        <f t="shared" si="12"/>
      </c>
      <c r="AK4" s="255">
        <v>54.2</v>
      </c>
      <c r="AL4" s="256">
        <f t="shared" si="18"/>
      </c>
      <c r="AM4" s="256" t="s">
        <v>326</v>
      </c>
      <c r="AN4" s="256" t="s">
        <v>327</v>
      </c>
      <c r="AO4" s="256"/>
      <c r="AP4" s="256"/>
      <c r="AQ4" s="256"/>
      <c r="AR4" s="256"/>
      <c r="AS4" s="260"/>
      <c r="AT4" s="260"/>
      <c r="AU4" s="260"/>
      <c r="AV4" s="260"/>
      <c r="AW4" s="260"/>
      <c r="AX4" s="260"/>
      <c r="AY4" s="260" t="s">
        <v>317</v>
      </c>
      <c r="AZ4" s="260" t="s">
        <v>317</v>
      </c>
      <c r="BA4" s="260" t="s">
        <v>317</v>
      </c>
      <c r="BB4" s="260" t="s">
        <v>317</v>
      </c>
      <c r="BC4" s="260" t="s">
        <v>317</v>
      </c>
      <c r="BD4" s="260" t="s">
        <v>317</v>
      </c>
      <c r="BE4" s="260" t="s">
        <v>317</v>
      </c>
      <c r="BF4" s="260" t="s">
        <v>317</v>
      </c>
      <c r="BG4" s="260" t="s">
        <v>317</v>
      </c>
      <c r="BH4" s="260" t="s">
        <v>317</v>
      </c>
      <c r="BI4" s="260" t="s">
        <v>317</v>
      </c>
      <c r="BJ4" s="260" t="s">
        <v>317</v>
      </c>
      <c r="BK4" s="260" t="s">
        <v>317</v>
      </c>
      <c r="BL4" s="260" t="s">
        <v>317</v>
      </c>
      <c r="BM4" s="260" t="s">
        <v>317</v>
      </c>
      <c r="BN4" s="260" t="s">
        <v>317</v>
      </c>
      <c r="BO4" s="260" t="s">
        <v>317</v>
      </c>
      <c r="BP4" s="260" t="s">
        <v>317</v>
      </c>
      <c r="BQ4" s="260" t="s">
        <v>317</v>
      </c>
      <c r="BR4" s="260" t="s">
        <v>317</v>
      </c>
      <c r="BS4" s="260" t="s">
        <v>317</v>
      </c>
      <c r="BT4" s="260" t="s">
        <v>317</v>
      </c>
      <c r="BU4" s="260" t="s">
        <v>317</v>
      </c>
      <c r="BV4" s="260" t="s">
        <v>317</v>
      </c>
      <c r="BW4" s="261"/>
      <c r="BX4" s="247" t="str">
        <v>#VALUE!</v>
      </c>
    </row>
    <row customHeight="true" ht="17.777777777777775" r="5">
      <c r="A5" s="247" t="s">
        <v>328</v>
      </c>
      <c r="B5" s="247" t="s">
        <v>319</v>
      </c>
      <c r="C5" s="247" t="s">
        <v>320</v>
      </c>
      <c r="D5" s="248" t="s">
        <v>329</v>
      </c>
      <c r="E5" s="249" t="s">
        <v>314</v>
      </c>
      <c r="F5" s="250">
        <v>87</v>
      </c>
      <c r="G5" s="250">
        <f t="shared" si="13"/>
      </c>
      <c r="H5" s="251">
        <f t="shared" si="19"/>
      </c>
      <c r="I5" s="251">
        <f t="shared" si="0"/>
      </c>
      <c r="J5" s="250">
        <v>87</v>
      </c>
      <c r="K5" s="250">
        <v>119.99</v>
      </c>
      <c r="L5" s="252">
        <f t="shared" si="7"/>
      </c>
      <c r="M5" s="253">
        <f t="shared" si="14"/>
      </c>
      <c r="N5" s="251">
        <f t="shared" si="20"/>
      </c>
      <c r="O5" s="254">
        <f t="shared" si="1"/>
      </c>
      <c r="P5" s="252">
        <f t="shared" si="8"/>
      </c>
      <c r="Q5" s="251">
        <f t="shared" si="15"/>
      </c>
      <c r="R5" s="251">
        <f t="shared" si="21"/>
      </c>
      <c r="S5" s="247">
        <v>4</v>
      </c>
      <c r="T5" s="255">
        <v>7.4</v>
      </c>
      <c r="U5" s="256">
        <v>0.1</v>
      </c>
      <c r="V5" s="253">
        <f t="shared" si="2"/>
      </c>
      <c r="W5" s="256">
        <v>0.05</v>
      </c>
      <c r="X5" s="256">
        <v>0.01</v>
      </c>
      <c r="Y5" s="256">
        <f t="shared" si="9"/>
      </c>
      <c r="Z5" s="256">
        <f t="shared" si="16"/>
      </c>
      <c r="AA5" s="257">
        <v>0.1846</v>
      </c>
      <c r="AB5" s="258">
        <f t="shared" si="22"/>
      </c>
      <c r="AC5" s="258">
        <f t="shared" si="3"/>
      </c>
      <c r="AD5" s="258">
        <f t="shared" si="10"/>
      </c>
      <c r="AE5" s="251">
        <f t="shared" si="11"/>
      </c>
      <c r="AF5" s="251">
        <v>138.5</v>
      </c>
      <c r="AG5" s="259">
        <f t="shared" si="17"/>
      </c>
      <c r="AH5" s="255">
        <f t="shared" si="5"/>
      </c>
      <c r="AI5" s="256">
        <f t="shared" si="4"/>
      </c>
      <c r="AJ5" s="256">
        <f t="shared" si="12"/>
      </c>
      <c r="AK5" s="255">
        <v>54.2</v>
      </c>
      <c r="AL5" s="253">
        <f t="shared" si="18"/>
      </c>
      <c r="AM5" s="253" t="s">
        <v>330</v>
      </c>
      <c r="AN5" s="253" t="s">
        <v>331</v>
      </c>
      <c r="AO5" s="253"/>
      <c r="AP5" s="253"/>
      <c r="AQ5" s="253"/>
      <c r="AR5" s="253"/>
      <c r="AS5" s="260"/>
      <c r="AT5" s="260"/>
      <c r="AU5" s="260"/>
      <c r="AV5" s="260"/>
      <c r="AW5" s="260"/>
      <c r="AX5" s="260"/>
      <c r="AY5" s="260" t="s">
        <v>317</v>
      </c>
      <c r="AZ5" s="260" t="s">
        <v>317</v>
      </c>
      <c r="BA5" s="260" t="s">
        <v>317</v>
      </c>
      <c r="BB5" s="260" t="s">
        <v>317</v>
      </c>
      <c r="BC5" s="260" t="s">
        <v>317</v>
      </c>
      <c r="BD5" s="260" t="s">
        <v>317</v>
      </c>
      <c r="BE5" s="260" t="s">
        <v>317</v>
      </c>
      <c r="BF5" s="260" t="s">
        <v>317</v>
      </c>
      <c r="BG5" s="260" t="s">
        <v>317</v>
      </c>
      <c r="BH5" s="260" t="s">
        <v>317</v>
      </c>
      <c r="BI5" s="260" t="s">
        <v>317</v>
      </c>
      <c r="BJ5" s="260" t="s">
        <v>317</v>
      </c>
      <c r="BK5" s="260" t="s">
        <v>317</v>
      </c>
      <c r="BL5" s="260" t="s">
        <v>317</v>
      </c>
      <c r="BM5" s="260" t="s">
        <v>317</v>
      </c>
      <c r="BN5" s="260" t="s">
        <v>317</v>
      </c>
      <c r="BO5" s="260" t="s">
        <v>317</v>
      </c>
      <c r="BP5" s="260" t="s">
        <v>317</v>
      </c>
      <c r="BQ5" s="260" t="s">
        <v>317</v>
      </c>
      <c r="BR5" s="260" t="s">
        <v>317</v>
      </c>
      <c r="BS5" s="260" t="s">
        <v>317</v>
      </c>
      <c r="BT5" s="260" t="s">
        <v>317</v>
      </c>
      <c r="BU5" s="260" t="s">
        <v>317</v>
      </c>
      <c r="BV5" s="260" t="s">
        <v>317</v>
      </c>
      <c r="BW5" s="261"/>
      <c r="BX5" s="247" t="str">
        <v>#VALUE!</v>
      </c>
    </row>
    <row customHeight="true" ht="17.777777777777775" r="6">
      <c r="A6" s="247" t="s">
        <v>332</v>
      </c>
      <c r="B6" s="247" t="s">
        <v>319</v>
      </c>
      <c r="C6" s="247" t="s">
        <v>320</v>
      </c>
      <c r="D6" s="248" t="s">
        <v>333</v>
      </c>
      <c r="E6" s="249" t="s">
        <v>314</v>
      </c>
      <c r="F6" s="250">
        <v>87</v>
      </c>
      <c r="G6" s="250">
        <f t="shared" si="13"/>
      </c>
      <c r="H6" s="251">
        <f t="shared" si="19"/>
      </c>
      <c r="I6" s="251">
        <f t="shared" si="0"/>
      </c>
      <c r="J6" s="250">
        <v>87</v>
      </c>
      <c r="K6" s="250">
        <v>119.99</v>
      </c>
      <c r="L6" s="252">
        <f t="shared" si="7"/>
      </c>
      <c r="M6" s="253">
        <f t="shared" si="14"/>
      </c>
      <c r="N6" s="251">
        <f t="shared" si="20"/>
      </c>
      <c r="O6" s="254">
        <f t="shared" si="1"/>
      </c>
      <c r="P6" s="252">
        <f t="shared" si="8"/>
      </c>
      <c r="Q6" s="251">
        <f t="shared" si="15"/>
      </c>
      <c r="R6" s="251">
        <f t="shared" si="21"/>
      </c>
      <c r="S6" s="247">
        <v>4</v>
      </c>
      <c r="T6" s="255">
        <v>7.4</v>
      </c>
      <c r="U6" s="256">
        <v>0.1</v>
      </c>
      <c r="V6" s="253">
        <f t="shared" si="2"/>
      </c>
      <c r="W6" s="256">
        <v>0.05</v>
      </c>
      <c r="X6" s="256">
        <v>0.01</v>
      </c>
      <c r="Y6" s="256">
        <f t="shared" si="9"/>
      </c>
      <c r="Z6" s="256">
        <f t="shared" si="16"/>
      </c>
      <c r="AA6" s="257">
        <v>0.1646</v>
      </c>
      <c r="AB6" s="258">
        <f t="shared" si="22"/>
      </c>
      <c r="AC6" s="258">
        <f t="shared" si="3"/>
      </c>
      <c r="AD6" s="258">
        <f t="shared" si="10"/>
      </c>
      <c r="AE6" s="251">
        <f t="shared" si="11"/>
      </c>
      <c r="AF6" s="251">
        <v>138.5</v>
      </c>
      <c r="AG6" s="259">
        <f t="shared" si="17"/>
      </c>
      <c r="AH6" s="255">
        <f t="shared" si="5"/>
      </c>
      <c r="AI6" s="256">
        <f t="shared" si="4"/>
      </c>
      <c r="AJ6" s="256">
        <f t="shared" si="12"/>
      </c>
      <c r="AK6" s="255">
        <v>54.2</v>
      </c>
      <c r="AL6" s="256">
        <f t="shared" si="18"/>
      </c>
      <c r="AM6" s="256" t="s">
        <v>334</v>
      </c>
      <c r="AN6" s="256" t="s">
        <v>335</v>
      </c>
      <c r="AO6" s="256"/>
      <c r="AP6" s="256"/>
      <c r="AQ6" s="256"/>
      <c r="AR6" s="256"/>
      <c r="AS6" s="260"/>
      <c r="AT6" s="260"/>
      <c r="AU6" s="260"/>
      <c r="AV6" s="260"/>
      <c r="AW6" s="260"/>
      <c r="AX6" s="260"/>
      <c r="AY6" s="260" t="s">
        <v>317</v>
      </c>
      <c r="AZ6" s="260" t="s">
        <v>317</v>
      </c>
      <c r="BA6" s="260" t="s">
        <v>317</v>
      </c>
      <c r="BB6" s="260" t="s">
        <v>317</v>
      </c>
      <c r="BC6" s="260" t="s">
        <v>317</v>
      </c>
      <c r="BD6" s="260" t="s">
        <v>317</v>
      </c>
      <c r="BE6" s="260" t="s">
        <v>317</v>
      </c>
      <c r="BF6" s="260" t="s">
        <v>317</v>
      </c>
      <c r="BG6" s="260" t="s">
        <v>317</v>
      </c>
      <c r="BH6" s="260" t="s">
        <v>317</v>
      </c>
      <c r="BI6" s="260" t="s">
        <v>317</v>
      </c>
      <c r="BJ6" s="260" t="s">
        <v>317</v>
      </c>
      <c r="BK6" s="260" t="s">
        <v>317</v>
      </c>
      <c r="BL6" s="260" t="s">
        <v>317</v>
      </c>
      <c r="BM6" s="260" t="s">
        <v>317</v>
      </c>
      <c r="BN6" s="260" t="s">
        <v>317</v>
      </c>
      <c r="BO6" s="260" t="s">
        <v>317</v>
      </c>
      <c r="BP6" s="260" t="s">
        <v>317</v>
      </c>
      <c r="BQ6" s="260" t="s">
        <v>317</v>
      </c>
      <c r="BR6" s="260" t="s">
        <v>317</v>
      </c>
      <c r="BS6" s="260" t="s">
        <v>317</v>
      </c>
      <c r="BT6" s="260" t="s">
        <v>317</v>
      </c>
      <c r="BU6" s="260" t="s">
        <v>317</v>
      </c>
      <c r="BV6" s="260" t="s">
        <v>317</v>
      </c>
      <c r="BW6" s="261"/>
      <c r="BX6" s="247" t="str">
        <v>#VALUE!</v>
      </c>
    </row>
    <row customHeight="true" ht="17.777777777777775" r="7">
      <c r="A7" s="247" t="s">
        <v>336</v>
      </c>
      <c r="B7" s="247" t="s">
        <v>319</v>
      </c>
      <c r="C7" s="247" t="s">
        <v>320</v>
      </c>
      <c r="D7" s="248" t="s">
        <v>337</v>
      </c>
      <c r="E7" s="249" t="s">
        <v>314</v>
      </c>
      <c r="F7" s="251">
        <v>97.09</v>
      </c>
      <c r="G7" s="250">
        <f t="shared" si="13"/>
      </c>
      <c r="H7" s="251">
        <f t="shared" si="19"/>
      </c>
      <c r="I7" s="251">
        <f t="shared" si="0"/>
      </c>
      <c r="J7" s="251">
        <v>97.09</v>
      </c>
      <c r="K7" s="262">
        <v>135.99</v>
      </c>
      <c r="L7" s="252">
        <f t="shared" si="7"/>
      </c>
      <c r="M7" s="253">
        <f t="shared" si="14"/>
      </c>
      <c r="N7" s="251">
        <f t="shared" si="20"/>
      </c>
      <c r="O7" s="254">
        <f t="shared" si="1"/>
      </c>
      <c r="P7" s="252">
        <f t="shared" si="8"/>
      </c>
      <c r="Q7" s="251">
        <f t="shared" si="15"/>
      </c>
      <c r="R7" s="251">
        <f t="shared" si="21"/>
      </c>
      <c r="S7" s="247">
        <v>4</v>
      </c>
      <c r="T7" s="255">
        <v>7.4</v>
      </c>
      <c r="U7" s="256">
        <v>0.1</v>
      </c>
      <c r="V7" s="253">
        <f t="shared" si="2"/>
      </c>
      <c r="W7" s="256">
        <v>0.05</v>
      </c>
      <c r="X7" s="256">
        <v>0.01</v>
      </c>
      <c r="Y7" s="256">
        <f t="shared" si="9"/>
      </c>
      <c r="Z7" s="256">
        <f t="shared" si="16"/>
      </c>
      <c r="AA7" s="257">
        <v>0.158</v>
      </c>
      <c r="AB7" s="258">
        <f t="shared" si="22"/>
      </c>
      <c r="AC7" s="258">
        <f t="shared" si="3"/>
      </c>
      <c r="AD7" s="258">
        <f t="shared" si="10"/>
      </c>
      <c r="AE7" s="251">
        <f t="shared" si="11"/>
      </c>
      <c r="AF7" s="251">
        <v>138.5</v>
      </c>
      <c r="AG7" s="259">
        <f t="shared" si="17"/>
      </c>
      <c r="AH7" s="255">
        <f t="shared" si="5"/>
      </c>
      <c r="AI7" s="256">
        <f t="shared" si="4"/>
      </c>
      <c r="AJ7" s="256">
        <f t="shared" si="12"/>
      </c>
      <c r="AK7" s="255">
        <v>54.2</v>
      </c>
      <c r="AL7" s="256">
        <f t="shared" si="18"/>
      </c>
      <c r="AM7" s="256" t="s">
        <v>334</v>
      </c>
      <c r="AN7" s="260" t="s">
        <v>338</v>
      </c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 t="s">
        <v>317</v>
      </c>
      <c r="AZ7" s="260" t="s">
        <v>317</v>
      </c>
      <c r="BA7" s="260" t="s">
        <v>317</v>
      </c>
      <c r="BB7" s="260" t="s">
        <v>317</v>
      </c>
      <c r="BC7" s="260" t="s">
        <v>317</v>
      </c>
      <c r="BD7" s="260" t="s">
        <v>317</v>
      </c>
      <c r="BE7" s="260" t="s">
        <v>317</v>
      </c>
      <c r="BF7" s="260" t="s">
        <v>317</v>
      </c>
      <c r="BG7" s="260" t="s">
        <v>317</v>
      </c>
      <c r="BH7" s="260" t="s">
        <v>317</v>
      </c>
      <c r="BI7" s="260" t="s">
        <v>317</v>
      </c>
      <c r="BJ7" s="260" t="s">
        <v>317</v>
      </c>
      <c r="BK7" s="260" t="s">
        <v>317</v>
      </c>
      <c r="BL7" s="260" t="s">
        <v>317</v>
      </c>
      <c r="BM7" s="260" t="s">
        <v>317</v>
      </c>
      <c r="BN7" s="260" t="s">
        <v>317</v>
      </c>
      <c r="BO7" s="260" t="s">
        <v>317</v>
      </c>
      <c r="BP7" s="260" t="s">
        <v>317</v>
      </c>
      <c r="BQ7" s="260" t="s">
        <v>317</v>
      </c>
      <c r="BR7" s="260" t="s">
        <v>317</v>
      </c>
      <c r="BS7" s="260" t="s">
        <v>317</v>
      </c>
      <c r="BT7" s="260" t="s">
        <v>317</v>
      </c>
      <c r="BU7" s="260" t="s">
        <v>317</v>
      </c>
      <c r="BV7" s="260" t="s">
        <v>317</v>
      </c>
      <c r="BW7" s="263">
        <f t="shared" ref="BW7:BW11" si="6">IF(H7&lt;J7,1,0)</f>
      </c>
      <c r="BX7" s="247" t="str">
        <v>#VALUE!</v>
      </c>
    </row>
    <row customHeight="true" ht="17.777777777777775" r="8">
      <c r="A8" s="247" t="s">
        <v>339</v>
      </c>
      <c r="B8" s="247" t="s">
        <v>319</v>
      </c>
      <c r="C8" s="247" t="s">
        <v>320</v>
      </c>
      <c r="D8" s="248" t="s">
        <v>340</v>
      </c>
      <c r="E8" s="249" t="s">
        <v>314</v>
      </c>
      <c r="F8" s="251">
        <v>138.54</v>
      </c>
      <c r="G8" s="250">
        <f t="shared" si="13"/>
      </c>
      <c r="H8" s="251">
        <f t="shared" si="19"/>
      </c>
      <c r="I8" s="251">
        <f t="shared" si="0"/>
      </c>
      <c r="J8" s="251">
        <v>128.54</v>
      </c>
      <c r="K8" s="262">
        <v>168</v>
      </c>
      <c r="L8" s="252">
        <f t="shared" si="7"/>
      </c>
      <c r="M8" s="253">
        <f t="shared" si="14"/>
      </c>
      <c r="N8" s="251">
        <f t="shared" si="20"/>
      </c>
      <c r="O8" s="254">
        <f t="shared" si="1"/>
      </c>
      <c r="P8" s="252">
        <f t="shared" si="8"/>
      </c>
      <c r="Q8" s="251">
        <f t="shared" si="15"/>
      </c>
      <c r="R8" s="251">
        <f t="shared" si="21"/>
      </c>
      <c r="S8" s="247">
        <v>4</v>
      </c>
      <c r="T8" s="255">
        <v>1.6</v>
      </c>
      <c r="U8" s="256">
        <v>0.1</v>
      </c>
      <c r="V8" s="253">
        <f t="shared" si="2"/>
      </c>
      <c r="W8" s="256">
        <v>0.05</v>
      </c>
      <c r="X8" s="256">
        <v>0.01</v>
      </c>
      <c r="Y8" s="256">
        <f t="shared" si="9"/>
      </c>
      <c r="Z8" s="256">
        <f t="shared" si="16"/>
      </c>
      <c r="AA8" s="257">
        <v>0.158</v>
      </c>
      <c r="AB8" s="258">
        <f t="shared" si="22"/>
      </c>
      <c r="AC8" s="258">
        <f t="shared" si="3"/>
      </c>
      <c r="AD8" s="258">
        <f t="shared" si="10"/>
      </c>
      <c r="AE8" s="251">
        <f t="shared" si="11"/>
      </c>
      <c r="AF8" s="251">
        <v>138.5</v>
      </c>
      <c r="AG8" s="259">
        <f t="shared" si="17"/>
      </c>
      <c r="AH8" s="255">
        <f t="shared" si="5"/>
      </c>
      <c r="AI8" s="256">
        <f t="shared" si="4"/>
      </c>
      <c r="AJ8" s="256">
        <f t="shared" si="12"/>
      </c>
      <c r="AK8" s="255">
        <v>54.2</v>
      </c>
      <c r="AL8" s="256">
        <f t="shared" si="18"/>
      </c>
      <c r="AM8" s="256" t="s">
        <v>334</v>
      </c>
      <c r="AN8" s="260" t="s">
        <v>341</v>
      </c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 t="s">
        <v>317</v>
      </c>
      <c r="AZ8" s="260" t="s">
        <v>317</v>
      </c>
      <c r="BA8" s="260" t="s">
        <v>317</v>
      </c>
      <c r="BB8" s="260" t="s">
        <v>317</v>
      </c>
      <c r="BC8" s="260" t="s">
        <v>317</v>
      </c>
      <c r="BD8" s="260" t="s">
        <v>317</v>
      </c>
      <c r="BE8" s="260" t="s">
        <v>317</v>
      </c>
      <c r="BF8" s="260" t="s">
        <v>317</v>
      </c>
      <c r="BG8" s="260" t="s">
        <v>317</v>
      </c>
      <c r="BH8" s="260" t="s">
        <v>317</v>
      </c>
      <c r="BI8" s="260" t="s">
        <v>317</v>
      </c>
      <c r="BJ8" s="260" t="s">
        <v>317</v>
      </c>
      <c r="BK8" s="260" t="s">
        <v>317</v>
      </c>
      <c r="BL8" s="260" t="s">
        <v>317</v>
      </c>
      <c r="BM8" s="260" t="s">
        <v>317</v>
      </c>
      <c r="BN8" s="260" t="s">
        <v>317</v>
      </c>
      <c r="BO8" s="260" t="s">
        <v>317</v>
      </c>
      <c r="BP8" s="260" t="s">
        <v>317</v>
      </c>
      <c r="BQ8" s="260" t="s">
        <v>317</v>
      </c>
      <c r="BR8" s="260" t="s">
        <v>317</v>
      </c>
      <c r="BS8" s="260" t="s">
        <v>317</v>
      </c>
      <c r="BT8" s="260" t="s">
        <v>317</v>
      </c>
      <c r="BU8" s="260" t="s">
        <v>317</v>
      </c>
      <c r="BV8" s="260" t="s">
        <v>317</v>
      </c>
      <c r="BW8" s="263">
        <f t="shared" si="6"/>
      </c>
      <c r="BX8" s="247" t="str">
        <v>#VALUE!</v>
      </c>
    </row>
    <row customHeight="true" ht="17.777777777777775" r="9">
      <c r="A9" s="247" t="s">
        <v>342</v>
      </c>
      <c r="B9" s="247" t="s">
        <v>319</v>
      </c>
      <c r="C9" s="247" t="s">
        <v>320</v>
      </c>
      <c r="D9" s="248" t="s">
        <v>343</v>
      </c>
      <c r="E9" s="249" t="s">
        <v>314</v>
      </c>
      <c r="F9" s="251">
        <v>389.61</v>
      </c>
      <c r="G9" s="250">
        <f t="shared" si="13"/>
      </c>
      <c r="H9" s="251">
        <f t="shared" si="19"/>
      </c>
      <c r="I9" s="251">
        <f t="shared" si="0"/>
      </c>
      <c r="J9" s="251">
        <v>389.61</v>
      </c>
      <c r="K9" s="262">
        <v>538</v>
      </c>
      <c r="L9" s="252">
        <f t="shared" si="7"/>
      </c>
      <c r="M9" s="253">
        <f t="shared" si="14"/>
      </c>
      <c r="N9" s="251">
        <f t="shared" si="20"/>
      </c>
      <c r="O9" s="254">
        <f t="shared" si="1"/>
      </c>
      <c r="P9" s="252">
        <f t="shared" si="8"/>
      </c>
      <c r="Q9" s="251">
        <f t="shared" si="15"/>
      </c>
      <c r="R9" s="251">
        <f t="shared" si="21"/>
      </c>
      <c r="S9" s="247">
        <v>4</v>
      </c>
      <c r="T9" s="255">
        <v>0.6</v>
      </c>
      <c r="U9" s="256">
        <v>0.1</v>
      </c>
      <c r="V9" s="253">
        <f t="shared" si="2"/>
      </c>
      <c r="W9" s="256">
        <v>0.05</v>
      </c>
      <c r="X9" s="256">
        <v>0.01</v>
      </c>
      <c r="Y9" s="256">
        <f t="shared" si="9"/>
      </c>
      <c r="Z9" s="256">
        <f t="shared" si="16"/>
      </c>
      <c r="AA9" s="257">
        <v>0.223</v>
      </c>
      <c r="AB9" s="258">
        <f t="shared" si="22"/>
      </c>
      <c r="AC9" s="258">
        <f t="shared" si="3"/>
      </c>
      <c r="AD9" s="258">
        <f t="shared" si="10"/>
      </c>
      <c r="AE9" s="251">
        <f t="shared" si="11"/>
      </c>
      <c r="AF9" s="251">
        <v>138.5</v>
      </c>
      <c r="AG9" s="259">
        <f t="shared" si="17"/>
      </c>
      <c r="AH9" s="255">
        <f t="shared" si="5"/>
      </c>
      <c r="AI9" s="256">
        <f t="shared" si="4"/>
      </c>
      <c r="AJ9" s="256">
        <f t="shared" si="12"/>
      </c>
      <c r="AK9" s="255">
        <v>54.2</v>
      </c>
      <c r="AL9" s="256">
        <f t="shared" si="18"/>
      </c>
      <c r="AM9" s="256" t="s">
        <v>334</v>
      </c>
      <c r="AN9" s="260" t="s">
        <v>344</v>
      </c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 t="s">
        <v>317</v>
      </c>
      <c r="AZ9" s="260" t="s">
        <v>317</v>
      </c>
      <c r="BA9" s="260" t="s">
        <v>317</v>
      </c>
      <c r="BB9" s="260" t="s">
        <v>317</v>
      </c>
      <c r="BC9" s="260" t="s">
        <v>317</v>
      </c>
      <c r="BD9" s="260" t="s">
        <v>317</v>
      </c>
      <c r="BE9" s="260" t="s">
        <v>317</v>
      </c>
      <c r="BF9" s="260" t="s">
        <v>317</v>
      </c>
      <c r="BG9" s="260" t="s">
        <v>317</v>
      </c>
      <c r="BH9" s="260" t="s">
        <v>317</v>
      </c>
      <c r="BI9" s="260" t="s">
        <v>317</v>
      </c>
      <c r="BJ9" s="260" t="s">
        <v>317</v>
      </c>
      <c r="BK9" s="260" t="s">
        <v>317</v>
      </c>
      <c r="BL9" s="260" t="s">
        <v>317</v>
      </c>
      <c r="BM9" s="260" t="s">
        <v>317</v>
      </c>
      <c r="BN9" s="260" t="s">
        <v>317</v>
      </c>
      <c r="BO9" s="260" t="s">
        <v>317</v>
      </c>
      <c r="BP9" s="260" t="s">
        <v>317</v>
      </c>
      <c r="BQ9" s="260" t="s">
        <v>317</v>
      </c>
      <c r="BR9" s="260" t="s">
        <v>317</v>
      </c>
      <c r="BS9" s="260" t="s">
        <v>317</v>
      </c>
      <c r="BT9" s="260" t="s">
        <v>317</v>
      </c>
      <c r="BU9" s="260" t="s">
        <v>317</v>
      </c>
      <c r="BV9" s="260" t="s">
        <v>317</v>
      </c>
      <c r="BW9" s="263">
        <f t="shared" si="6"/>
      </c>
      <c r="BX9" s="247" t="str">
        <v>#VALUE!</v>
      </c>
    </row>
    <row customHeight="true" ht="17.777777777777775" r="10">
      <c r="A10" s="247" t="s">
        <v>345</v>
      </c>
      <c r="B10" s="247" t="s">
        <v>319</v>
      </c>
      <c r="C10" s="247" t="s">
        <v>320</v>
      </c>
      <c r="D10" s="248" t="s">
        <v>346</v>
      </c>
      <c r="E10" s="249" t="s">
        <v>314</v>
      </c>
      <c r="F10" s="251">
        <v>87</v>
      </c>
      <c r="G10" s="250">
        <f t="shared" si="13"/>
      </c>
      <c r="H10" s="251">
        <f t="shared" si="19"/>
      </c>
      <c r="I10" s="251">
        <f t="shared" si="0"/>
      </c>
      <c r="J10" s="251">
        <v>87</v>
      </c>
      <c r="K10" s="262">
        <v>119.99</v>
      </c>
      <c r="L10" s="252">
        <f t="shared" si="7"/>
      </c>
      <c r="M10" s="253">
        <f t="shared" si="14"/>
      </c>
      <c r="N10" s="251">
        <f t="shared" si="20"/>
      </c>
      <c r="O10" s="254">
        <f t="shared" si="1"/>
      </c>
      <c r="P10" s="252">
        <f t="shared" si="8"/>
      </c>
      <c r="Q10" s="251">
        <f t="shared" si="15"/>
      </c>
      <c r="R10" s="251">
        <f t="shared" si="21"/>
      </c>
      <c r="S10" s="247">
        <v>4</v>
      </c>
      <c r="T10" s="255">
        <v>7.4</v>
      </c>
      <c r="U10" s="256">
        <v>0.1</v>
      </c>
      <c r="V10" s="253">
        <f t="shared" si="2"/>
      </c>
      <c r="W10" s="256">
        <v>0.05</v>
      </c>
      <c r="X10" s="256">
        <v>0.01</v>
      </c>
      <c r="Y10" s="256">
        <f t="shared" si="9"/>
      </c>
      <c r="Z10" s="256">
        <f t="shared" si="16"/>
      </c>
      <c r="AA10" s="257">
        <v>0.158</v>
      </c>
      <c r="AB10" s="258">
        <f t="shared" si="22"/>
      </c>
      <c r="AC10" s="258">
        <f t="shared" si="3"/>
      </c>
      <c r="AD10" s="258">
        <f t="shared" si="10"/>
      </c>
      <c r="AE10" s="251">
        <f t="shared" si="11"/>
      </c>
      <c r="AF10" s="251">
        <v>138.5</v>
      </c>
      <c r="AG10" s="259">
        <f t="shared" si="17"/>
      </c>
      <c r="AH10" s="255">
        <f t="shared" si="5"/>
      </c>
      <c r="AI10" s="256">
        <f t="shared" si="4"/>
      </c>
      <c r="AJ10" s="256">
        <f t="shared" si="12"/>
      </c>
      <c r="AK10" s="255">
        <v>54.2</v>
      </c>
      <c r="AL10" s="256">
        <f t="shared" si="18"/>
      </c>
      <c r="AM10" s="256" t="s">
        <v>334</v>
      </c>
      <c r="AN10" s="256" t="s">
        <v>347</v>
      </c>
      <c r="AO10" s="256"/>
      <c r="AP10" s="256"/>
      <c r="AQ10" s="256"/>
      <c r="AR10" s="256"/>
      <c r="AS10" s="260"/>
      <c r="AT10" s="260"/>
      <c r="AU10" s="260"/>
      <c r="AV10" s="260"/>
      <c r="AW10" s="260"/>
      <c r="AX10" s="260"/>
      <c r="AY10" s="260" t="s">
        <v>317</v>
      </c>
      <c r="AZ10" s="260" t="s">
        <v>317</v>
      </c>
      <c r="BA10" s="260" t="s">
        <v>317</v>
      </c>
      <c r="BB10" s="260" t="s">
        <v>317</v>
      </c>
      <c r="BC10" s="260" t="s">
        <v>317</v>
      </c>
      <c r="BD10" s="260" t="s">
        <v>317</v>
      </c>
      <c r="BE10" s="260" t="s">
        <v>317</v>
      </c>
      <c r="BF10" s="260" t="s">
        <v>317</v>
      </c>
      <c r="BG10" s="260" t="s">
        <v>317</v>
      </c>
      <c r="BH10" s="260" t="s">
        <v>317</v>
      </c>
      <c r="BI10" s="260" t="s">
        <v>317</v>
      </c>
      <c r="BJ10" s="260" t="s">
        <v>317</v>
      </c>
      <c r="BK10" s="260" t="s">
        <v>317</v>
      </c>
      <c r="BL10" s="260" t="s">
        <v>317</v>
      </c>
      <c r="BM10" s="260" t="s">
        <v>317</v>
      </c>
      <c r="BN10" s="260" t="s">
        <v>317</v>
      </c>
      <c r="BO10" s="260" t="s">
        <v>317</v>
      </c>
      <c r="BP10" s="260" t="s">
        <v>317</v>
      </c>
      <c r="BQ10" s="260" t="s">
        <v>317</v>
      </c>
      <c r="BR10" s="260" t="s">
        <v>317</v>
      </c>
      <c r="BS10" s="260" t="s">
        <v>317</v>
      </c>
      <c r="BT10" s="260" t="s">
        <v>317</v>
      </c>
      <c r="BU10" s="260" t="s">
        <v>317</v>
      </c>
      <c r="BV10" s="260" t="s">
        <v>317</v>
      </c>
      <c r="BW10" s="263">
        <f t="shared" si="6"/>
      </c>
      <c r="BX10" s="247" t="str">
        <v>#VALUE!</v>
      </c>
    </row>
    <row customHeight="true" ht="18.51851851851852" r="11">
      <c r="A11" s="247" t="s">
        <v>348</v>
      </c>
      <c r="B11" s="247" t="s">
        <v>319</v>
      </c>
      <c r="C11" s="247" t="s">
        <v>320</v>
      </c>
      <c r="D11" s="248" t="s">
        <v>349</v>
      </c>
      <c r="E11" s="249" t="s">
        <v>314</v>
      </c>
      <c r="F11" s="251">
        <v>87</v>
      </c>
      <c r="G11" s="250">
        <f t="shared" si="13"/>
      </c>
      <c r="H11" s="251">
        <f t="shared" si="19"/>
      </c>
      <c r="I11" s="251">
        <f t="shared" si="0"/>
      </c>
      <c r="J11" s="251">
        <v>87</v>
      </c>
      <c r="K11" s="262">
        <v>119.99</v>
      </c>
      <c r="L11" s="252">
        <f t="shared" si="7"/>
      </c>
      <c r="M11" s="253">
        <f t="shared" si="14"/>
      </c>
      <c r="N11" s="251">
        <f t="shared" si="20"/>
      </c>
      <c r="O11" s="254">
        <f t="shared" si="1"/>
      </c>
      <c r="P11" s="252">
        <f t="shared" si="8"/>
      </c>
      <c r="Q11" s="251">
        <f t="shared" si="15"/>
      </c>
      <c r="R11" s="251">
        <f t="shared" si="21"/>
      </c>
      <c r="S11" s="247">
        <v>4</v>
      </c>
      <c r="T11" s="255">
        <v>7.4</v>
      </c>
      <c r="U11" s="256">
        <v>0.1</v>
      </c>
      <c r="V11" s="253">
        <f t="shared" si="2"/>
      </c>
      <c r="W11" s="256">
        <v>0.05</v>
      </c>
      <c r="X11" s="256">
        <v>0.01</v>
      </c>
      <c r="Y11" s="256">
        <f t="shared" si="9"/>
      </c>
      <c r="Z11" s="256">
        <f t="shared" si="16"/>
      </c>
      <c r="AA11" s="257">
        <v>0.158</v>
      </c>
      <c r="AB11" s="258">
        <f t="shared" si="22"/>
      </c>
      <c r="AC11" s="258">
        <f t="shared" si="3"/>
      </c>
      <c r="AD11" s="258">
        <f t="shared" si="10"/>
      </c>
      <c r="AE11" s="251">
        <f t="shared" si="11"/>
      </c>
      <c r="AF11" s="251">
        <v>138.5</v>
      </c>
      <c r="AG11" s="259">
        <f t="shared" si="17"/>
      </c>
      <c r="AH11" s="255">
        <f t="shared" si="5"/>
      </c>
      <c r="AI11" s="256">
        <f t="shared" si="4"/>
      </c>
      <c r="AJ11" s="256">
        <f t="shared" si="12"/>
      </c>
      <c r="AK11" s="255">
        <v>54.2</v>
      </c>
      <c r="AL11" s="256">
        <f t="shared" si="18"/>
      </c>
      <c r="AM11" s="256" t="s">
        <v>334</v>
      </c>
      <c r="AN11" s="256" t="s">
        <v>347</v>
      </c>
      <c r="AO11" s="256"/>
      <c r="AP11" s="256"/>
      <c r="AQ11" s="256"/>
      <c r="AR11" s="256"/>
      <c r="AS11" s="260"/>
      <c r="AT11" s="260"/>
      <c r="AU11" s="260"/>
      <c r="AV11" s="260"/>
      <c r="AW11" s="260"/>
      <c r="AX11" s="260"/>
      <c r="AY11" s="260" t="s">
        <v>317</v>
      </c>
      <c r="AZ11" s="260" t="s">
        <v>317</v>
      </c>
      <c r="BA11" s="260" t="s">
        <v>317</v>
      </c>
      <c r="BB11" s="260" t="s">
        <v>317</v>
      </c>
      <c r="BC11" s="260" t="s">
        <v>317</v>
      </c>
      <c r="BD11" s="260" t="s">
        <v>317</v>
      </c>
      <c r="BE11" s="260" t="s">
        <v>317</v>
      </c>
      <c r="BF11" s="260" t="s">
        <v>317</v>
      </c>
      <c r="BG11" s="260" t="s">
        <v>317</v>
      </c>
      <c r="BH11" s="260" t="s">
        <v>317</v>
      </c>
      <c r="BI11" s="260" t="s">
        <v>317</v>
      </c>
      <c r="BJ11" s="260" t="s">
        <v>317</v>
      </c>
      <c r="BK11" s="260" t="s">
        <v>317</v>
      </c>
      <c r="BL11" s="260" t="s">
        <v>317</v>
      </c>
      <c r="BM11" s="260" t="s">
        <v>317</v>
      </c>
      <c r="BN11" s="260" t="s">
        <v>317</v>
      </c>
      <c r="BO11" s="260" t="s">
        <v>317</v>
      </c>
      <c r="BP11" s="260" t="s">
        <v>317</v>
      </c>
      <c r="BQ11" s="260" t="s">
        <v>317</v>
      </c>
      <c r="BR11" s="260" t="s">
        <v>317</v>
      </c>
      <c r="BS11" s="260" t="s">
        <v>317</v>
      </c>
      <c r="BT11" s="260" t="s">
        <v>317</v>
      </c>
      <c r="BU11" s="260" t="s">
        <v>317</v>
      </c>
      <c r="BV11" s="260" t="s">
        <v>317</v>
      </c>
      <c r="BW11" s="263">
        <f t="shared" si="6"/>
      </c>
      <c r="BX11" s="247" t="str">
        <v>#VALUE!</v>
      </c>
    </row>
    <row customHeight="true" ht="13.333333333333332" r="12">
      <c r="A12" s="264"/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4"/>
      <c r="BO12" s="264"/>
      <c r="BP12" s="264"/>
      <c r="BQ12" s="264"/>
      <c r="BR12" s="264"/>
      <c r="BS12" s="264"/>
      <c r="BT12" s="264"/>
      <c r="BU12" s="264"/>
      <c r="BV12" s="264"/>
      <c r="BW12" s="264"/>
      <c r="BX12" s="264"/>
    </row>
    <row customHeight="true" ht="13.333333333333332" r="13">
      <c r="A13" s="264"/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4"/>
      <c r="BL13" s="264"/>
      <c r="BM13" s="264"/>
      <c r="BN13" s="264"/>
      <c r="BO13" s="264"/>
      <c r="BP13" s="264"/>
      <c r="BQ13" s="264"/>
      <c r="BR13" s="264"/>
      <c r="BS13" s="264"/>
      <c r="BT13" s="264"/>
      <c r="BU13" s="264"/>
      <c r="BV13" s="264"/>
      <c r="BW13" s="264"/>
      <c r="BX13" s="264"/>
    </row>
    <row customHeight="true" ht="13.333333333333332" r="14">
      <c r="A14" s="264"/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X14" s="264"/>
      <c r="AY14" s="264"/>
      <c r="AZ14" s="264"/>
      <c r="BA14" s="264"/>
      <c r="BB14" s="264"/>
      <c r="BC14" s="264"/>
      <c r="BD14" s="264"/>
      <c r="BE14" s="264"/>
      <c r="BF14" s="264"/>
      <c r="BG14" s="264"/>
      <c r="BH14" s="264"/>
      <c r="BI14" s="264"/>
      <c r="BJ14" s="264"/>
      <c r="BK14" s="264"/>
      <c r="BL14" s="264"/>
      <c r="BM14" s="264"/>
      <c r="BN14" s="264"/>
      <c r="BO14" s="264"/>
      <c r="BP14" s="264"/>
      <c r="BQ14" s="264"/>
      <c r="BR14" s="264"/>
      <c r="BS14" s="264"/>
      <c r="BT14" s="264"/>
      <c r="BU14" s="264"/>
      <c r="BV14" s="264"/>
      <c r="BW14" s="264"/>
      <c r="BX14" s="264"/>
    </row>
    <row customHeight="true" ht="13.333333333333332" r="15">
      <c r="AO15" s="264"/>
      <c r="AP15" s="264"/>
    </row>
    <row customHeight="true" ht="13.333333333333332" r="16">
      <c r="AO16" s="264"/>
      <c r="AP16" s="264"/>
    </row>
    <row customHeight="true" ht="13.333333333333332" r="17">
      <c r="AO17" s="264"/>
      <c r="AP17" s="264"/>
    </row>
    <row customHeight="true" ht="13.333333333333332" r="18">
      <c r="AO18" s="264"/>
      <c r="AP18" s="264"/>
    </row>
    <row customHeight="true" ht="13.333333333333332" r="19">
      <c r="AO19" s="264"/>
      <c r="AP19" s="264"/>
    </row>
    <row customHeight="true" ht="13.333333333333332" r="20">
      <c r="AO20" s="264"/>
      <c r="AP20" s="264"/>
    </row>
  </sheetData>
  <conditionalFormatting sqref="M9:M11">
    <cfRule dxfId="0" operator="lessThanOrEqual" priority="1" stopIfTrue="true" type="cellIs">
      <formula>0</formula>
    </cfRule>
  </conditionalFormatting>
  <conditionalFormatting sqref="M9:M11 AB9:AD11">
    <cfRule dxfId="1" operator="lessThanOrEqual" priority="2" stopIfTrue="true" type="cellIs">
      <formula>0</formula>
    </cfRule>
  </conditionalFormatting>
  <conditionalFormatting sqref="M9:M11">
    <cfRule dxfId="2" operator="lessThanOrEqual" priority="3" stopIfTrue="true" type="cellIs">
      <formula>0</formula>
    </cfRule>
  </conditionalFormatting>
  <conditionalFormatting sqref="M9:M11 AB9:AD11">
    <cfRule dxfId="3" operator="lessThanOrEqual" priority="4" stopIfTrue="true" type="cellIs">
      <formula>0</formula>
    </cfRule>
  </conditionalFormatting>
  <conditionalFormatting sqref="M7:M11 AB7:AD11">
    <cfRule dxfId="4" operator="lessThanOrEqual" priority="5" stopIfTrue="true" type="cellIs">
      <formula>0</formula>
    </cfRule>
  </conditionalFormatting>
  <conditionalFormatting sqref="M7:M11 AB7:AD11">
    <cfRule dxfId="5" operator="lessThanOrEqual" priority="6" stopIfTrue="true" type="cellIs">
      <formula>0</formula>
    </cfRule>
  </conditionalFormatting>
  <conditionalFormatting sqref="M7:M11 AB7:AD11">
    <cfRule dxfId="6" operator="lessThanOrEqual" priority="7" stopIfTrue="true" type="cellIs">
      <formula>0</formula>
    </cfRule>
  </conditionalFormatting>
  <conditionalFormatting sqref="M9:M11 AB9:AD11">
    <cfRule dxfId="7" operator="lessThanOrEqual" priority="8" stopIfTrue="true" type="cellIs">
      <formula>0</formula>
    </cfRule>
  </conditionalFormatting>
  <conditionalFormatting sqref="M9:M11 AB9:AD11">
    <cfRule dxfId="8" operator="lessThanOrEqual" priority="9" stopIfTrue="true" type="cellIs">
      <formula>0</formula>
    </cfRule>
  </conditionalFormatting>
  <conditionalFormatting sqref="M7:M11">
    <cfRule dxfId="9" operator="lessThanOrEqual" priority="10" stopIfTrue="true" type="cellIs">
      <formula>0</formula>
    </cfRule>
  </conditionalFormatting>
  <conditionalFormatting sqref="L2:L11 M7:M11 AB7:AD11">
    <cfRule dxfId="10" operator="lessThanOrEqual" priority="11" stopIfTrue="true" type="cellIs">
      <formula>0</formula>
    </cfRule>
  </conditionalFormatting>
  <conditionalFormatting sqref="M9:M11 AB9:AD11">
    <cfRule dxfId="11" operator="lessThanOrEqual" priority="12" stopIfTrue="true" type="cellIs">
      <formula>0</formula>
    </cfRule>
  </conditionalFormatting>
  <conditionalFormatting sqref="M9:M11">
    <cfRule dxfId="12" operator="lessThanOrEqual" priority="13" stopIfTrue="true" type="cellIs">
      <formula>0</formula>
    </cfRule>
  </conditionalFormatting>
  <conditionalFormatting sqref="M9:M11">
    <cfRule dxfId="13" operator="lessThanOrEqual" priority="14" stopIfTrue="true" type="cellIs">
      <formula>0</formula>
    </cfRule>
  </conditionalFormatting>
  <conditionalFormatting sqref="M9:M11">
    <cfRule dxfId="14" operator="lessThanOrEqual" priority="15" stopIfTrue="true" type="cellIs">
      <formula>0</formula>
    </cfRule>
  </conditionalFormatting>
  <conditionalFormatting sqref="M9:M11">
    <cfRule dxfId="15" operator="lessThanOrEqual" priority="16" stopIfTrue="true" type="cellIs">
      <formula>0</formula>
    </cfRule>
  </conditionalFormatting>
  <conditionalFormatting sqref="M9:M11 AB9:AD11">
    <cfRule dxfId="16" operator="lessThanOrEqual" priority="17" stopIfTrue="true" type="cellIs">
      <formula>0</formula>
    </cfRule>
  </conditionalFormatting>
  <conditionalFormatting sqref="M9:M11 AB9:AD11">
    <cfRule dxfId="17" operator="lessThanOrEqual" priority="18" stopIfTrue="true" type="cellIs">
      <formula>0</formula>
    </cfRule>
  </conditionalFormatting>
  <conditionalFormatting sqref="M9:M11">
    <cfRule dxfId="18" operator="lessThanOrEqual" priority="19" stopIfTrue="true" type="cellIs">
      <formula>0</formula>
    </cfRule>
  </conditionalFormatting>
  <conditionalFormatting sqref="M7:M11">
    <cfRule dxfId="19" operator="lessThanOrEqual" priority="20" stopIfTrue="true" type="cellIs">
      <formula>0</formula>
    </cfRule>
  </conditionalFormatting>
  <conditionalFormatting sqref="M9:M11 AB9:AD11">
    <cfRule dxfId="20" operator="lessThanOrEqual" priority="21" stopIfTrue="true" type="cellIs">
      <formula>0</formula>
    </cfRule>
  </conditionalFormatting>
  <conditionalFormatting sqref="M7:M11">
    <cfRule dxfId="21" operator="lessThanOrEqual" priority="22" stopIfTrue="true" type="cellIs">
      <formula>0</formula>
    </cfRule>
  </conditionalFormatting>
  <conditionalFormatting sqref="M9:M11">
    <cfRule dxfId="22" operator="lessThanOrEqual" priority="23" stopIfTrue="true" type="cellIs">
      <formula>0</formula>
    </cfRule>
  </conditionalFormatting>
  <conditionalFormatting sqref="M9:M11">
    <cfRule dxfId="23" operator="lessThanOrEqual" priority="24" stopIfTrue="true" type="cellIs">
      <formula>0</formula>
    </cfRule>
  </conditionalFormatting>
  <conditionalFormatting sqref="M9:M11">
    <cfRule dxfId="24" operator="lessThanOrEqual" priority="25" stopIfTrue="true" type="cellIs">
      <formula>0</formula>
    </cfRule>
  </conditionalFormatting>
  <conditionalFormatting sqref="M7:M11">
    <cfRule dxfId="25" operator="lessThanOrEqual" priority="26" stopIfTrue="true" type="cellIs">
      <formula>0</formula>
    </cfRule>
  </conditionalFormatting>
  <conditionalFormatting sqref="M7:M11 AB7:AD11">
    <cfRule dxfId="26" operator="lessThanOrEqual" priority="27" stopIfTrue="true" type="cellIs">
      <formula>0</formula>
    </cfRule>
  </conditionalFormatting>
  <conditionalFormatting sqref="M9:M11 AB9:AD11">
    <cfRule dxfId="27" operator="lessThanOrEqual" priority="28" stopIfTrue="true" type="cellIs">
      <formula>0</formula>
    </cfRule>
  </conditionalFormatting>
  <conditionalFormatting sqref="M9:M11">
    <cfRule dxfId="28" operator="lessThanOrEqual" priority="29" stopIfTrue="true" type="cellIs">
      <formula>0</formula>
    </cfRule>
  </conditionalFormatting>
  <conditionalFormatting sqref="M9:M11">
    <cfRule dxfId="29" operator="lessThanOrEqual" priority="30" stopIfTrue="true" type="cellIs">
      <formula>0</formula>
    </cfRule>
  </conditionalFormatting>
  <conditionalFormatting sqref="M9:M11 AB9:AD11">
    <cfRule dxfId="30" operator="lessThanOrEqual" priority="31" stopIfTrue="true" type="cellIs">
      <formula>0</formula>
    </cfRule>
  </conditionalFormatting>
  <conditionalFormatting sqref="M9:M11">
    <cfRule dxfId="31" operator="lessThanOrEqual" priority="32" stopIfTrue="true" type="cellIs">
      <formula>0</formula>
    </cfRule>
  </conditionalFormatting>
  <conditionalFormatting sqref="M9:M11">
    <cfRule dxfId="32" operator="lessThanOrEqual" priority="33" stopIfTrue="true" type="cellIs">
      <formula>0</formula>
    </cfRule>
  </conditionalFormatting>
  <conditionalFormatting sqref="M9:M11 AB9:AD11">
    <cfRule dxfId="33" operator="lessThanOrEqual" priority="34" stopIfTrue="true" type="cellIs">
      <formula>0</formula>
    </cfRule>
  </conditionalFormatting>
  <conditionalFormatting sqref="M9:M11 AB9:AD11">
    <cfRule dxfId="34" operator="lessThanOrEqual" priority="35" stopIfTrue="true" type="cellIs">
      <formula>0</formula>
    </cfRule>
  </conditionalFormatting>
  <conditionalFormatting sqref="M9:M11">
    <cfRule dxfId="35" operator="lessThanOrEqual" priority="36" stopIfTrue="true" type="cellIs">
      <formula>0</formula>
    </cfRule>
  </conditionalFormatting>
  <conditionalFormatting sqref="M9:M11 AB9:AD11">
    <cfRule dxfId="36" operator="lessThanOrEqual" priority="37" stopIfTrue="true" type="cellIs">
      <formula>0</formula>
    </cfRule>
  </conditionalFormatting>
  <conditionalFormatting sqref="M9:M11">
    <cfRule dxfId="37" operator="lessThanOrEqual" priority="38" stopIfTrue="true" type="cellIs">
      <formula>0</formula>
    </cfRule>
  </conditionalFormatting>
  <conditionalFormatting sqref="M9:M11">
    <cfRule dxfId="38" operator="lessThanOrEqual" priority="39" stopIfTrue="true" type="cellIs">
      <formula>0</formula>
    </cfRule>
  </conditionalFormatting>
  <conditionalFormatting sqref="M9:M11 AB9:AD11">
    <cfRule dxfId="39" operator="lessThanOrEqual" priority="40" stopIfTrue="true" type="cellIs">
      <formula>0</formula>
    </cfRule>
  </conditionalFormatting>
  <conditionalFormatting sqref="M9:M11">
    <cfRule dxfId="40" operator="lessThanOrEqual" priority="41" stopIfTrue="true" type="cellIs">
      <formula>0</formula>
    </cfRule>
  </conditionalFormatting>
  <conditionalFormatting sqref="M7:M11 AB7:AD11">
    <cfRule dxfId="41" operator="lessThanOrEqual" priority="42" stopIfTrue="true" type="cellIs">
      <formula>0</formula>
    </cfRule>
  </conditionalFormatting>
  <conditionalFormatting sqref="M9:M11">
    <cfRule dxfId="42" operator="lessThanOrEqual" priority="43" stopIfTrue="true" type="cellIs">
      <formula>0</formula>
    </cfRule>
  </conditionalFormatting>
  <conditionalFormatting sqref="M9:M11 AB9:AD11">
    <cfRule dxfId="43" operator="lessThanOrEqual" priority="44" stopIfTrue="true" type="cellIs">
      <formula>0</formula>
    </cfRule>
  </conditionalFormatting>
  <conditionalFormatting sqref="M7:M11">
    <cfRule dxfId="44" operator="lessThanOrEqual" priority="45" stopIfTrue="true" type="cellIs">
      <formula>0</formula>
    </cfRule>
  </conditionalFormatting>
  <conditionalFormatting sqref="M9:M11">
    <cfRule dxfId="45" operator="lessThanOrEqual" priority="46" stopIfTrue="true" type="cellIs">
      <formula>0</formula>
    </cfRule>
  </conditionalFormatting>
  <conditionalFormatting sqref="M9:M11">
    <cfRule dxfId="46" operator="lessThanOrEqual" priority="47" stopIfTrue="true" type="cellIs">
      <formula>0</formula>
    </cfRule>
  </conditionalFormatting>
  <conditionalFormatting sqref="M7:M11">
    <cfRule dxfId="47" operator="lessThanOrEqual" priority="48" stopIfTrue="true" type="cellIs">
      <formula>0</formula>
    </cfRule>
  </conditionalFormatting>
  <conditionalFormatting sqref="M9:M11 AB9:AD11">
    <cfRule dxfId="48" operator="lessThanOrEqual" priority="49" stopIfTrue="true" type="cellIs">
      <formula>0</formula>
    </cfRule>
  </conditionalFormatting>
  <conditionalFormatting sqref="M9:M11">
    <cfRule dxfId="49" operator="lessThanOrEqual" priority="50" stopIfTrue="true" type="cellIs">
      <formula>0</formula>
    </cfRule>
  </conditionalFormatting>
  <conditionalFormatting sqref="M9:M11">
    <cfRule dxfId="50" operator="lessThanOrEqual" priority="51" stopIfTrue="true" type="cellIs">
      <formula>0</formula>
    </cfRule>
  </conditionalFormatting>
  <conditionalFormatting sqref="M9:M11 AB9:AD11">
    <cfRule dxfId="51" operator="lessThanOrEqual" priority="52" stopIfTrue="true" type="cellIs">
      <formula>0</formula>
    </cfRule>
  </conditionalFormatting>
  <conditionalFormatting sqref="M9:M11 AB9:AD11">
    <cfRule dxfId="52" operator="lessThanOrEqual" priority="53" stopIfTrue="true" type="cellIs">
      <formula>0</formula>
    </cfRule>
  </conditionalFormatting>
  <conditionalFormatting sqref="M9:M11 AB9:AD11">
    <cfRule dxfId="53" operator="lessThanOrEqual" priority="54" stopIfTrue="true" type="cellIs">
      <formula>0</formula>
    </cfRule>
  </conditionalFormatting>
  <conditionalFormatting sqref="M9:M11 AB9:AD11">
    <cfRule dxfId="54" operator="lessThanOrEqual" priority="55" stopIfTrue="true" type="cellIs">
      <formula>0</formula>
    </cfRule>
  </conditionalFormatting>
  <conditionalFormatting sqref="M9:M11 AB9:AD11">
    <cfRule dxfId="55" operator="lessThanOrEqual" priority="56" stopIfTrue="true" type="cellIs">
      <formula>0</formula>
    </cfRule>
  </conditionalFormatting>
  <conditionalFormatting sqref="M9:M11 AB9:AD11">
    <cfRule dxfId="56" operator="lessThanOrEqual" priority="57" stopIfTrue="true" type="cellIs">
      <formula>0</formula>
    </cfRule>
  </conditionalFormatting>
  <conditionalFormatting sqref="M9:M11 AB9:AD11">
    <cfRule dxfId="57" operator="lessThanOrEqual" priority="58" stopIfTrue="true" type="cellIs">
      <formula>0</formula>
    </cfRule>
  </conditionalFormatting>
  <conditionalFormatting sqref="M9:M11">
    <cfRule dxfId="58" operator="lessThanOrEqual" priority="59" stopIfTrue="true" type="cellIs">
      <formula>0</formula>
    </cfRule>
  </conditionalFormatting>
  <conditionalFormatting sqref="M9:M11 AB9:AD11">
    <cfRule dxfId="59" operator="lessThanOrEqual" priority="60" stopIfTrue="true" type="cellIs">
      <formula>0</formula>
    </cfRule>
  </conditionalFormatting>
  <conditionalFormatting sqref="M9:M11">
    <cfRule dxfId="60" operator="lessThanOrEqual" priority="61" stopIfTrue="true" type="cellIs">
      <formula>0</formula>
    </cfRule>
  </conditionalFormatting>
  <conditionalFormatting sqref="M9:M11 AB9:AD11">
    <cfRule dxfId="61" operator="lessThanOrEqual" priority="62" stopIfTrue="true" type="cellIs">
      <formula>0</formula>
    </cfRule>
  </conditionalFormatting>
  <conditionalFormatting sqref="M9:M11">
    <cfRule dxfId="62" operator="lessThanOrEqual" priority="63" stopIfTrue="true" type="cellIs">
      <formula>0</formula>
    </cfRule>
  </conditionalFormatting>
  <conditionalFormatting sqref="M7:M11">
    <cfRule dxfId="63" operator="lessThanOrEqual" priority="64" stopIfTrue="true" type="cellIs">
      <formula>0</formula>
    </cfRule>
  </conditionalFormatting>
  <conditionalFormatting sqref="M2:M2">
    <cfRule dxfId="64" operator="lessThanOrEqual" priority="65" stopIfTrue="true" type="cellIs">
      <formula>0</formula>
    </cfRule>
  </conditionalFormatting>
  <conditionalFormatting sqref="M9:M11">
    <cfRule dxfId="65" operator="lessThanOrEqual" priority="66" stopIfTrue="true" type="cellIs">
      <formula>0</formula>
    </cfRule>
  </conditionalFormatting>
  <conditionalFormatting sqref="M9:M11 AB9:AD11">
    <cfRule dxfId="66" operator="lessThanOrEqual" priority="67" stopIfTrue="true" type="cellIs">
      <formula>0</formula>
    </cfRule>
  </conditionalFormatting>
  <conditionalFormatting sqref="M7:M11 AB7:AD11">
    <cfRule dxfId="67" operator="lessThanOrEqual" priority="68" stopIfTrue="true" type="cellIs">
      <formula>0</formula>
    </cfRule>
  </conditionalFormatting>
  <conditionalFormatting sqref="M7:M11 AB7:AD11">
    <cfRule dxfId="68" operator="lessThanOrEqual" priority="69" stopIfTrue="true" type="cellIs">
      <formula>0</formula>
    </cfRule>
  </conditionalFormatting>
  <conditionalFormatting sqref="M9:M11 AB9:AD11">
    <cfRule dxfId="69" operator="lessThanOrEqual" priority="70" stopIfTrue="true" type="cellIs">
      <formula>0</formula>
    </cfRule>
  </conditionalFormatting>
  <conditionalFormatting sqref="M7:M11">
    <cfRule dxfId="70" operator="lessThanOrEqual" priority="71" stopIfTrue="true" type="cellIs">
      <formula>0</formula>
    </cfRule>
  </conditionalFormatting>
  <conditionalFormatting sqref="M9:M11 AB9:AD11">
    <cfRule dxfId="71" operator="lessThanOrEqual" priority="72" stopIfTrue="true" type="cellIs">
      <formula>0</formula>
    </cfRule>
  </conditionalFormatting>
  <conditionalFormatting sqref="M9:M11">
    <cfRule dxfId="72" operator="lessThanOrEqual" priority="73" stopIfTrue="true" type="cellIs">
      <formula>0</formula>
    </cfRule>
  </conditionalFormatting>
  <conditionalFormatting sqref="M9:M11">
    <cfRule dxfId="73" operator="lessThanOrEqual" priority="74" stopIfTrue="true" type="cellIs">
      <formula>0</formula>
    </cfRule>
  </conditionalFormatting>
  <conditionalFormatting sqref="M7:M11 AB7:AD11">
    <cfRule dxfId="74" operator="lessThanOrEqual" priority="75" stopIfTrue="true" type="cellIs">
      <formula>0</formula>
    </cfRule>
  </conditionalFormatting>
  <conditionalFormatting sqref="M7:M11">
    <cfRule dxfId="75" operator="lessThanOrEqual" priority="76" stopIfTrue="true" type="cellIs">
      <formula>0</formula>
    </cfRule>
  </conditionalFormatting>
  <conditionalFormatting sqref="M9:M11 AB9:AD11">
    <cfRule dxfId="76" operator="lessThanOrEqual" priority="77" stopIfTrue="true" type="cellIs">
      <formula>0</formula>
    </cfRule>
  </conditionalFormatting>
  <conditionalFormatting sqref="M9:M11 AB9:AD11">
    <cfRule dxfId="77" operator="lessThanOrEqual" priority="78" stopIfTrue="true" type="cellIs">
      <formula>0</formula>
    </cfRule>
  </conditionalFormatting>
  <conditionalFormatting sqref="M9:M11 AB9:AD11">
    <cfRule dxfId="78" operator="lessThanOrEqual" priority="79" stopIfTrue="true" type="cellIs">
      <formula>0</formula>
    </cfRule>
  </conditionalFormatting>
  <conditionalFormatting sqref="M7:M11">
    <cfRule dxfId="79" operator="lessThanOrEqual" priority="80" stopIfTrue="true" type="cellIs">
      <formula>0</formula>
    </cfRule>
  </conditionalFormatting>
  <conditionalFormatting sqref="M7:M11 AB7:AD11">
    <cfRule dxfId="80" operator="lessThanOrEqual" priority="81" stopIfTrue="true" type="cellIs">
      <formula>0</formula>
    </cfRule>
  </conditionalFormatting>
  <conditionalFormatting sqref="M2:M2">
    <cfRule dxfId="81" operator="lessThanOrEqual" priority="82" stopIfTrue="true" type="cellIs">
      <formula>0</formula>
    </cfRule>
  </conditionalFormatting>
  <conditionalFormatting sqref="M7:M11">
    <cfRule dxfId="82" operator="lessThanOrEqual" priority="83" stopIfTrue="true" type="cellIs">
      <formula>0</formula>
    </cfRule>
  </conditionalFormatting>
  <conditionalFormatting sqref="M7:M11">
    <cfRule dxfId="83" operator="lessThanOrEqual" priority="84" stopIfTrue="true" type="cellIs">
      <formula>0</formula>
    </cfRule>
  </conditionalFormatting>
  <conditionalFormatting sqref="M9:M11">
    <cfRule dxfId="84" operator="lessThanOrEqual" priority="85" stopIfTrue="true" type="cellIs">
      <formula>0</formula>
    </cfRule>
  </conditionalFormatting>
  <conditionalFormatting sqref="M9:M11">
    <cfRule dxfId="85" operator="lessThanOrEqual" priority="86" stopIfTrue="true" type="cellIs">
      <formula>0</formula>
    </cfRule>
  </conditionalFormatting>
  <conditionalFormatting sqref="M7:M11 AB7:AD11">
    <cfRule dxfId="86" operator="lessThanOrEqual" priority="87" stopIfTrue="true" type="cellIs">
      <formula>0</formula>
    </cfRule>
  </conditionalFormatting>
  <conditionalFormatting sqref="M9:M11">
    <cfRule dxfId="87" operator="lessThanOrEqual" priority="88" stopIfTrue="true" type="cellIs">
      <formula>0</formula>
    </cfRule>
  </conditionalFormatting>
  <conditionalFormatting sqref="M9:M11">
    <cfRule dxfId="88" operator="lessThanOrEqual" priority="89" stopIfTrue="true" type="cellIs">
      <formula>0</formula>
    </cfRule>
  </conditionalFormatting>
  <conditionalFormatting sqref="M9:M11 AB9:AD11">
    <cfRule dxfId="89" operator="lessThanOrEqual" priority="90" stopIfTrue="true" type="cellIs">
      <formula>0</formula>
    </cfRule>
  </conditionalFormatting>
  <conditionalFormatting sqref="M9:M11">
    <cfRule dxfId="90" operator="lessThanOrEqual" priority="91" stopIfTrue="true" type="cellIs">
      <formula>0</formula>
    </cfRule>
  </conditionalFormatting>
  <conditionalFormatting sqref="M9:M11">
    <cfRule dxfId="91" operator="lessThanOrEqual" priority="92" stopIfTrue="true" type="cellIs">
      <formula>0</formula>
    </cfRule>
  </conditionalFormatting>
  <conditionalFormatting sqref="M9:M11 AB9:AD11">
    <cfRule dxfId="92" operator="lessThanOrEqual" priority="93" stopIfTrue="true" type="cellIs">
      <formula>0</formula>
    </cfRule>
  </conditionalFormatting>
  <conditionalFormatting sqref="M9:M11">
    <cfRule dxfId="93" operator="lessThanOrEqual" priority="94" stopIfTrue="true" type="cellIs">
      <formula>0</formula>
    </cfRule>
  </conditionalFormatting>
  <conditionalFormatting sqref="M7:M11 AB7:AD11">
    <cfRule dxfId="94" operator="lessThanOrEqual" priority="95" stopIfTrue="true" type="cellIs">
      <formula>0</formula>
    </cfRule>
  </conditionalFormatting>
  <conditionalFormatting sqref="M9:M11">
    <cfRule dxfId="95" operator="lessThanOrEqual" priority="96" stopIfTrue="true" type="cellIs">
      <formula>0</formula>
    </cfRule>
  </conditionalFormatting>
  <conditionalFormatting sqref="M7:M11">
    <cfRule dxfId="96" operator="lessThanOrEqual" priority="97" stopIfTrue="true" type="cellIs">
      <formula>0</formula>
    </cfRule>
  </conditionalFormatting>
  <conditionalFormatting sqref="M9:M11">
    <cfRule dxfId="97" operator="lessThanOrEqual" priority="98" stopIfTrue="true" type="cellIs">
      <formula>0</formula>
    </cfRule>
  </conditionalFormatting>
  <conditionalFormatting sqref="M9:M11">
    <cfRule dxfId="98" operator="lessThanOrEqual" priority="99" stopIfTrue="true" type="cellIs">
      <formula>0</formula>
    </cfRule>
  </conditionalFormatting>
  <conditionalFormatting sqref="M9:M11">
    <cfRule dxfId="99" operator="lessThanOrEqual" priority="100" stopIfTrue="true" type="cellIs">
      <formula>0</formula>
    </cfRule>
  </conditionalFormatting>
  <conditionalFormatting sqref="M9:M11 AB9:AD11">
    <cfRule dxfId="100" operator="lessThanOrEqual" priority="101" stopIfTrue="true" type="cellIs">
      <formula>0</formula>
    </cfRule>
  </conditionalFormatting>
  <conditionalFormatting sqref="M7:M11">
    <cfRule dxfId="101" operator="lessThanOrEqual" priority="102" stopIfTrue="true" type="cellIs">
      <formula>0</formula>
    </cfRule>
  </conditionalFormatting>
  <conditionalFormatting sqref="M9:M11 AB9:AD11">
    <cfRule dxfId="102" operator="lessThanOrEqual" priority="103" stopIfTrue="true" type="cellIs">
      <formula>0</formula>
    </cfRule>
  </conditionalFormatting>
  <conditionalFormatting sqref="M9:M11 AB9:AD11">
    <cfRule dxfId="103" operator="lessThanOrEqual" priority="104" stopIfTrue="true" type="cellIs">
      <formula>0</formula>
    </cfRule>
  </conditionalFormatting>
  <conditionalFormatting sqref="M9:M11 AB9:AD11">
    <cfRule dxfId="104" operator="lessThanOrEqual" priority="105" stopIfTrue="true" type="cellIs">
      <formula>0</formula>
    </cfRule>
  </conditionalFormatting>
  <conditionalFormatting sqref="M7:M11 AB7:AD11">
    <cfRule dxfId="105" operator="lessThanOrEqual" priority="106" stopIfTrue="true" type="cellIs">
      <formula>0</formula>
    </cfRule>
  </conditionalFormatting>
  <conditionalFormatting sqref="M3:M6 M10:M11 AB3:AD6 AB10:AD11">
    <cfRule dxfId="106" operator="lessThanOrEqual" priority="107" stopIfTrue="true" type="cellIs">
      <formula>0</formula>
    </cfRule>
  </conditionalFormatting>
  <conditionalFormatting sqref="M9:M11">
    <cfRule dxfId="107" operator="lessThanOrEqual" priority="108" stopIfTrue="true" type="cellIs">
      <formula>0</formula>
    </cfRule>
  </conditionalFormatting>
  <conditionalFormatting sqref="M9:M11 AB9:AD11">
    <cfRule dxfId="108" operator="lessThanOrEqual" priority="109" stopIfTrue="true" type="cellIs">
      <formula>0</formula>
    </cfRule>
  </conditionalFormatting>
  <conditionalFormatting sqref="M7:M11">
    <cfRule dxfId="109" operator="lessThanOrEqual" priority="110" stopIfTrue="true" type="cellIs">
      <formula>0</formula>
    </cfRule>
  </conditionalFormatting>
  <conditionalFormatting sqref="M9:M11 AB9:AD11">
    <cfRule dxfId="110" operator="lessThanOrEqual" priority="111" stopIfTrue="true" type="cellIs">
      <formula>0</formula>
    </cfRule>
  </conditionalFormatting>
  <conditionalFormatting sqref="M9:M11">
    <cfRule dxfId="111" operator="lessThanOrEqual" priority="112" stopIfTrue="true" type="cellIs">
      <formula>0</formula>
    </cfRule>
  </conditionalFormatting>
  <conditionalFormatting sqref="M9:M11">
    <cfRule dxfId="112" operator="lessThanOrEqual" priority="113" stopIfTrue="true" type="cellIs">
      <formula>0</formula>
    </cfRule>
  </conditionalFormatting>
  <conditionalFormatting sqref="M9:M11 AB9:AD11">
    <cfRule dxfId="113" operator="lessThanOrEqual" priority="114" stopIfTrue="true" type="cellIs">
      <formula>0</formula>
    </cfRule>
  </conditionalFormatting>
  <conditionalFormatting sqref="M9:M11">
    <cfRule dxfId="114" operator="lessThanOrEqual" priority="115" stopIfTrue="true" type="cellIs">
      <formula>0</formula>
    </cfRule>
  </conditionalFormatting>
  <conditionalFormatting sqref="M9:M11">
    <cfRule dxfId="115" operator="lessThanOrEqual" priority="116" stopIfTrue="true" type="cellIs">
      <formula>0</formula>
    </cfRule>
  </conditionalFormatting>
  <conditionalFormatting sqref="M9:M11 AB9:AD11">
    <cfRule dxfId="116" operator="lessThanOrEqual" priority="117" stopIfTrue="true" type="cellIs">
      <formula>0</formula>
    </cfRule>
  </conditionalFormatting>
  <conditionalFormatting sqref="M7:M11 AB7:AD11">
    <cfRule dxfId="117" operator="lessThanOrEqual" priority="118" stopIfTrue="true" type="cellIs">
      <formula>0</formula>
    </cfRule>
  </conditionalFormatting>
  <conditionalFormatting sqref="M9:M11">
    <cfRule dxfId="118" operator="lessThanOrEqual" priority="119" stopIfTrue="true" type="cellIs">
      <formula>0</formula>
    </cfRule>
  </conditionalFormatting>
  <conditionalFormatting sqref="M9:M11">
    <cfRule dxfId="119" operator="lessThanOrEqual" priority="120" stopIfTrue="true" type="cellIs">
      <formula>0</formula>
    </cfRule>
  </conditionalFormatting>
  <conditionalFormatting sqref="M9:M11">
    <cfRule dxfId="120" operator="lessThanOrEqual" priority="121" stopIfTrue="true" type="cellIs">
      <formula>0</formula>
    </cfRule>
  </conditionalFormatting>
  <conditionalFormatting sqref="M9:M11">
    <cfRule dxfId="121" operator="lessThanOrEqual" priority="122" stopIfTrue="true" type="cellIs">
      <formula>0</formula>
    </cfRule>
  </conditionalFormatting>
  <conditionalFormatting sqref="M9:M11">
    <cfRule dxfId="122" operator="lessThanOrEqual" priority="123" stopIfTrue="true" type="cellIs">
      <formula>0</formula>
    </cfRule>
  </conditionalFormatting>
  <conditionalFormatting sqref="M9:M11">
    <cfRule dxfId="123" operator="lessThanOrEqual" priority="124" stopIfTrue="true" type="cellIs">
      <formula>0</formula>
    </cfRule>
  </conditionalFormatting>
  <conditionalFormatting sqref="M9:M11 AB9:AD11">
    <cfRule dxfId="124" operator="lessThanOrEqual" priority="125" stopIfTrue="true" type="cellIs">
      <formula>0</formula>
    </cfRule>
  </conditionalFormatting>
  <conditionalFormatting sqref="M9:M11 AB9:AD11">
    <cfRule dxfId="125" operator="lessThanOrEqual" priority="126" stopIfTrue="true" type="cellIs">
      <formula>0</formula>
    </cfRule>
  </conditionalFormatting>
  <conditionalFormatting sqref="M9:M11 AB9:AD11">
    <cfRule dxfId="126" operator="lessThanOrEqual" priority="127" stopIfTrue="true" type="cellIs">
      <formula>0</formula>
    </cfRule>
  </conditionalFormatting>
  <conditionalFormatting sqref="M7:M11">
    <cfRule dxfId="127" operator="lessThanOrEqual" priority="128" stopIfTrue="true" type="cellIs">
      <formula>0</formula>
    </cfRule>
  </conditionalFormatting>
  <conditionalFormatting sqref="M9:M11 AB9:AD11">
    <cfRule dxfId="128" operator="lessThanOrEqual" priority="129" stopIfTrue="true" type="cellIs">
      <formula>0</formula>
    </cfRule>
  </conditionalFormatting>
  <conditionalFormatting sqref="M9:M11 AB9:AD11">
    <cfRule dxfId="129" operator="lessThanOrEqual" priority="130" stopIfTrue="true" type="cellIs">
      <formula>0</formula>
    </cfRule>
  </conditionalFormatting>
  <conditionalFormatting sqref="M9:M11 AB9:AD11">
    <cfRule dxfId="130" operator="lessThanOrEqual" priority="131" stopIfTrue="true" type="cellIs">
      <formula>0</formula>
    </cfRule>
  </conditionalFormatting>
  <conditionalFormatting sqref="M9:M11">
    <cfRule dxfId="131" operator="lessThanOrEqual" priority="132" stopIfTrue="true" type="cellIs">
      <formula>0</formula>
    </cfRule>
  </conditionalFormatting>
  <conditionalFormatting sqref="L1:M1 Q1:R1 AB1:AB1">
    <cfRule dxfId="132" operator="lessThanOrEqual" priority="133" stopIfTrue="true" type="cellIs">
      <formula>0</formula>
    </cfRule>
  </conditionalFormatting>
  <conditionalFormatting sqref="M9:M11 AB9:AD11">
    <cfRule dxfId="133" operator="lessThanOrEqual" priority="134" stopIfTrue="true" type="cellIs">
      <formula>0</formula>
    </cfRule>
  </conditionalFormatting>
  <conditionalFormatting sqref="M2:M2 AB2:AD2">
    <cfRule dxfId="134" operator="lessThanOrEqual" priority="135" stopIfTrue="true" type="cellIs">
      <formula>0</formula>
    </cfRule>
  </conditionalFormatting>
  <conditionalFormatting sqref="M9:M11 AB9:AD11">
    <cfRule dxfId="135" operator="lessThanOrEqual" priority="136" stopIfTrue="true" type="cellIs">
      <formula>0</formula>
    </cfRule>
  </conditionalFormatting>
  <conditionalFormatting sqref="M7:M11 AB7:AD11">
    <cfRule dxfId="136" operator="lessThanOrEqual" priority="137" stopIfTrue="true" type="cellIs">
      <formula>0</formula>
    </cfRule>
  </conditionalFormatting>
  <conditionalFormatting sqref="M7:M11 AB7:AD11">
    <cfRule dxfId="137" operator="lessThanOrEqual" priority="138" stopIfTrue="true" type="cellIs">
      <formula>0</formula>
    </cfRule>
  </conditionalFormatting>
  <conditionalFormatting sqref="M9:M11 AB9:AD11">
    <cfRule dxfId="138" operator="lessThanOrEqual" priority="139" stopIfTrue="true" type="cellIs">
      <formula>0</formula>
    </cfRule>
  </conditionalFormatting>
  <conditionalFormatting sqref="M9:M11">
    <cfRule dxfId="139" operator="lessThanOrEqual" priority="140" stopIfTrue="true" type="cellIs">
      <formula>0</formula>
    </cfRule>
  </conditionalFormatting>
  <conditionalFormatting sqref="M9:M11">
    <cfRule dxfId="140" operator="lessThanOrEqual" priority="141" stopIfTrue="true" type="cellIs">
      <formula>0</formula>
    </cfRule>
  </conditionalFormatting>
  <conditionalFormatting sqref="M9:M11 AB9:AD11">
    <cfRule dxfId="141" operator="lessThanOrEqual" priority="142" stopIfTrue="true" type="cellIs">
      <formula>0</formula>
    </cfRule>
  </conditionalFormatting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5" min="5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20" min="20" style="0" width="10.333333333333334"/>
    <col collapsed="false" customWidth="true" hidden="false" max="24" min="24" style="0" width="17.4"/>
    <col collapsed="false" customWidth="true" hidden="false" max="4" min="4" style="0" width="30.466666666666665"/>
    <col collapsed="false" customWidth="true" hidden="false" max="8" min="8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2.733333333333333"/>
    <col collapsed="false" customWidth="true" hidden="false" max="23" min="23" style="0" width="10.466666666666667"/>
    <col collapsed="false" customWidth="true" hidden="false" max="3" min="3" style="0" width="17.4"/>
    <col collapsed="false" customWidth="true" hidden="false" max="7" min="7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2" min="22" style="0" width="12.333333333333334"/>
    <col collapsed="false" customWidth="true" hidden="false" max="21" min="21" style="0" width="17.4"/>
    <col collapsed="false" customWidth="true" hidden="false" max="25" min="25" style="0" width="17.4"/>
    <col collapsed="false" customWidth="true" hidden="false" max="1" min="1" style="0" width="14.2"/>
    <col collapsed="false" customWidth="true" hidden="false" max="2" min="2" style="0" width="17.4"/>
    <col collapsed="false" customWidth="true" hidden="false" max="6" min="6" style="0" width="17.4"/>
    <col collapsed="false" customWidth="true" hidden="false" max="9" min="9" style="0" width="32.46666666666667"/>
    <col collapsed="false" customWidth="true" hidden="false" max="13" min="13" style="0" width="17.4"/>
    <col collapsed="false" customWidth="true" hidden="false" max="17" min="17" style="0" width="17.4"/>
  </cols>
  <sheetData>
    <row customHeight="true" ht="18.51851851851852" r="1">
      <c r="A1" s="265" t="s">
        <v>350</v>
      </c>
      <c r="B1" s="265" t="s">
        <v>351</v>
      </c>
      <c r="C1" s="265" t="s">
        <v>352</v>
      </c>
      <c r="D1" s="265" t="s">
        <v>353</v>
      </c>
      <c r="E1" s="265" t="s">
        <v>354</v>
      </c>
      <c r="F1" s="265" t="s">
        <v>355</v>
      </c>
      <c r="G1" s="265" t="s">
        <v>356</v>
      </c>
      <c r="H1" s="265" t="s">
        <v>357</v>
      </c>
      <c r="I1" s="265" t="s">
        <v>358</v>
      </c>
      <c r="J1" s="265" t="s">
        <v>359</v>
      </c>
      <c r="K1" s="265" t="s">
        <v>360</v>
      </c>
      <c r="L1" s="266" t="s">
        <v>361</v>
      </c>
      <c r="M1" s="266" t="s">
        <v>362</v>
      </c>
      <c r="N1" s="266" t="s">
        <v>363</v>
      </c>
      <c r="O1" s="267" t="s">
        <v>364</v>
      </c>
      <c r="P1" s="268" t="s">
        <v>365</v>
      </c>
      <c r="Q1" s="269" t="s">
        <v>366</v>
      </c>
      <c r="R1" s="269" t="s">
        <v>367</v>
      </c>
      <c r="S1" s="269" t="s">
        <v>368</v>
      </c>
      <c r="T1" s="269" t="s">
        <v>369</v>
      </c>
      <c r="U1" s="269" t="s">
        <v>370</v>
      </c>
      <c r="V1" s="269" t="s">
        <v>371</v>
      </c>
      <c r="W1" s="269" t="s">
        <v>372</v>
      </c>
      <c r="X1" s="269" t="s">
        <v>373</v>
      </c>
      <c r="Y1" s="269" t="s">
        <v>374</v>
      </c>
    </row>
    <row customHeight="true" ht="18.51851851851852" r="2">
      <c r="A2" s="270" t="s">
        <v>375</v>
      </c>
      <c r="B2" s="270" t="s">
        <v>376</v>
      </c>
      <c r="C2" s="270">
        <v>45791</v>
      </c>
      <c r="D2" s="271" t="s">
        <v>377</v>
      </c>
      <c r="E2" s="271"/>
      <c r="F2" s="271"/>
      <c r="G2" s="271"/>
      <c r="H2" s="271">
        <v>30</v>
      </c>
      <c r="I2" s="271" t="s">
        <v>378</v>
      </c>
      <c r="J2" s="270" t="s">
        <v>377</v>
      </c>
      <c r="K2" s="270">
        <v>45802</v>
      </c>
      <c r="L2" s="271" t="s">
        <v>379</v>
      </c>
      <c r="M2" s="272" t="s">
        <v>380</v>
      </c>
      <c r="N2" s="273"/>
      <c r="O2" s="268" t="s">
        <v>381</v>
      </c>
      <c r="P2" s="268" t="s">
        <v>382</v>
      </c>
      <c r="Q2" s="269" t="s">
        <v>383</v>
      </c>
      <c r="R2" s="269">
        <v>45817.6999421296</v>
      </c>
      <c r="S2" s="269" t="s">
        <v>384</v>
      </c>
      <c r="T2" s="269" t="s">
        <v>385</v>
      </c>
      <c r="U2" s="269" t="s">
        <v>386</v>
      </c>
      <c r="V2" s="269" t="s">
        <v>387</v>
      </c>
      <c r="W2" s="269">
        <v>97.99</v>
      </c>
      <c r="X2" s="269">
        <v>97.99</v>
      </c>
      <c r="Y2" s="269" t="s">
        <v>388</v>
      </c>
    </row>
    <row customHeight="true" ht="18.51851851851852" r="3">
      <c r="A3" s="270" t="s">
        <v>375</v>
      </c>
      <c r="B3" s="270"/>
      <c r="C3" s="270"/>
      <c r="D3" s="271"/>
      <c r="E3" s="271"/>
      <c r="F3" s="271"/>
      <c r="G3" s="271"/>
      <c r="H3" s="271"/>
      <c r="I3" s="271"/>
      <c r="J3" s="270"/>
      <c r="K3" s="270"/>
      <c r="L3" s="271"/>
      <c r="M3" s="272"/>
      <c r="N3" s="273"/>
      <c r="O3" s="268"/>
      <c r="P3" s="268"/>
      <c r="Q3" s="269"/>
      <c r="R3" s="269"/>
      <c r="S3" s="269"/>
      <c r="T3" s="269"/>
      <c r="U3" s="269"/>
      <c r="V3" s="269"/>
      <c r="W3" s="269"/>
      <c r="X3" s="269"/>
      <c r="Y3" s="269"/>
    </row>
    <row customHeight="true" ht="18.51851851851852" r="4">
      <c r="A4" s="270" t="s">
        <v>375</v>
      </c>
      <c r="B4" s="270"/>
      <c r="C4" s="270"/>
      <c r="D4" s="271"/>
      <c r="E4" s="271"/>
      <c r="F4" s="271"/>
      <c r="G4" s="271"/>
      <c r="H4" s="271"/>
      <c r="I4" s="271"/>
      <c r="J4" s="270"/>
      <c r="K4" s="270"/>
      <c r="L4" s="271"/>
      <c r="M4" s="272"/>
      <c r="N4" s="273"/>
      <c r="O4" s="268"/>
      <c r="P4" s="268"/>
      <c r="Q4" s="269"/>
      <c r="R4" s="269"/>
      <c r="S4" s="269"/>
      <c r="T4" s="269"/>
      <c r="U4" s="269"/>
      <c r="V4" s="269"/>
      <c r="W4" s="269"/>
      <c r="X4" s="269"/>
      <c r="Y4" s="269"/>
    </row>
    <row customHeight="true" ht="18.51851851851852" r="5">
      <c r="A5" s="270" t="s">
        <v>375</v>
      </c>
      <c r="B5" s="270"/>
      <c r="C5" s="270"/>
      <c r="D5" s="271"/>
      <c r="E5" s="271"/>
      <c r="F5" s="271"/>
      <c r="G5" s="271"/>
      <c r="H5" s="271"/>
      <c r="I5" s="271"/>
      <c r="J5" s="270"/>
      <c r="K5" s="270"/>
      <c r="L5" s="271"/>
      <c r="M5" s="272"/>
      <c r="N5" s="273"/>
      <c r="O5" s="268"/>
      <c r="P5" s="268"/>
      <c r="Q5" s="269"/>
      <c r="R5" s="269"/>
      <c r="S5" s="269"/>
      <c r="T5" s="269"/>
      <c r="U5" s="269"/>
      <c r="V5" s="269"/>
      <c r="W5" s="269"/>
      <c r="X5" s="269"/>
      <c r="Y5" s="269"/>
    </row>
    <row customHeight="true" ht="18.51851851851852" r="6">
      <c r="A6" s="270" t="s">
        <v>375</v>
      </c>
      <c r="B6" s="270"/>
      <c r="C6" s="270"/>
      <c r="D6" s="271"/>
      <c r="E6" s="271"/>
      <c r="F6" s="271"/>
      <c r="G6" s="271"/>
      <c r="H6" s="271"/>
      <c r="I6" s="274"/>
      <c r="J6" s="270"/>
      <c r="K6" s="270"/>
      <c r="L6" s="271"/>
      <c r="M6" s="275"/>
      <c r="N6" s="276"/>
      <c r="O6" s="269"/>
      <c r="P6" s="269"/>
    </row>
    <row customHeight="true" ht="18.51851851851852" r="7">
      <c r="A7" s="270" t="s">
        <v>375</v>
      </c>
      <c r="B7" s="270"/>
      <c r="C7" s="270"/>
      <c r="D7" s="271"/>
      <c r="E7" s="271"/>
      <c r="F7" s="271"/>
      <c r="G7" s="271"/>
      <c r="H7" s="271"/>
      <c r="I7" s="274"/>
      <c r="J7" s="270"/>
      <c r="K7" s="270"/>
      <c r="L7" s="271"/>
      <c r="M7" s="275"/>
      <c r="N7" s="276"/>
      <c r="O7" s="269"/>
      <c r="P7" s="269"/>
    </row>
    <row customHeight="true" ht="18.51851851851852" r="8">
      <c r="A8" s="270" t="s">
        <v>375</v>
      </c>
      <c r="B8" s="270"/>
      <c r="C8" s="270"/>
      <c r="D8" s="271"/>
      <c r="E8" s="271"/>
      <c r="F8" s="271"/>
      <c r="G8" s="271"/>
      <c r="H8" s="271"/>
      <c r="I8" s="271"/>
      <c r="J8" s="270"/>
      <c r="K8" s="270"/>
      <c r="L8" s="271"/>
      <c r="M8" s="275"/>
      <c r="N8" s="276"/>
      <c r="O8" s="269"/>
      <c r="P8" s="269"/>
    </row>
    <row customHeight="true" ht="18.51851851851852" r="9">
      <c r="A9" s="270" t="s">
        <v>375</v>
      </c>
      <c r="B9" s="270"/>
      <c r="C9" s="270"/>
      <c r="D9" s="271"/>
      <c r="E9" s="271"/>
      <c r="F9" s="271"/>
      <c r="G9" s="271"/>
      <c r="H9" s="271"/>
      <c r="I9" s="271"/>
      <c r="J9" s="270"/>
      <c r="K9" s="270"/>
      <c r="L9" s="271"/>
      <c r="M9" s="275"/>
      <c r="N9" s="276"/>
      <c r="O9" s="269"/>
      <c r="P9" s="269"/>
    </row>
    <row customHeight="true" ht="18.51851851851852" r="10">
      <c r="A10" s="270" t="s">
        <v>375</v>
      </c>
      <c r="B10" s="270"/>
      <c r="C10" s="270"/>
      <c r="D10" s="271"/>
      <c r="E10" s="271"/>
      <c r="F10" s="271"/>
      <c r="G10" s="271"/>
      <c r="H10" s="268"/>
      <c r="I10" s="271"/>
      <c r="J10" s="270"/>
      <c r="K10" s="270"/>
      <c r="L10" s="271"/>
      <c r="M10" s="273"/>
      <c r="N10" s="273"/>
      <c r="O10" s="268"/>
      <c r="P10" s="268"/>
      <c r="Q10" s="269"/>
      <c r="R10" s="269"/>
      <c r="S10" s="269"/>
      <c r="T10" s="269"/>
      <c r="U10" s="269"/>
      <c r="V10" s="269"/>
      <c r="W10" s="269"/>
      <c r="X10" s="269"/>
      <c r="Y10" s="269"/>
    </row>
    <row customHeight="true" ht="18.51851851851852" r="11">
      <c r="A11" s="270" t="s">
        <v>375</v>
      </c>
      <c r="B11" s="270"/>
      <c r="C11" s="270"/>
      <c r="D11" s="271"/>
      <c r="E11" s="271"/>
      <c r="F11" s="271"/>
      <c r="G11" s="271"/>
      <c r="H11" s="271"/>
      <c r="I11" s="271"/>
      <c r="J11" s="270"/>
      <c r="K11" s="270"/>
      <c r="L11" s="271"/>
      <c r="M11" s="273"/>
      <c r="N11" s="273"/>
      <c r="O11" s="268"/>
      <c r="P11" s="268"/>
      <c r="Q11" s="269"/>
      <c r="R11" s="269"/>
      <c r="S11" s="269"/>
      <c r="T11" s="269"/>
      <c r="U11" s="269"/>
      <c r="V11" s="269"/>
      <c r="W11" s="269"/>
      <c r="X11" s="269"/>
      <c r="Y11" s="269"/>
    </row>
    <row customHeight="true" ht="18.51851851851852" r="12">
      <c r="A12" s="270" t="s">
        <v>375</v>
      </c>
      <c r="B12" s="270"/>
      <c r="C12" s="270"/>
      <c r="D12" s="271"/>
      <c r="E12" s="271"/>
      <c r="F12" s="271"/>
      <c r="G12" s="271"/>
      <c r="H12" s="271"/>
      <c r="I12" s="271"/>
      <c r="J12" s="270"/>
      <c r="K12" s="270"/>
      <c r="L12" s="271"/>
      <c r="M12" s="273"/>
      <c r="N12" s="273"/>
      <c r="O12" s="268"/>
      <c r="P12" s="268"/>
      <c r="Q12" s="269"/>
      <c r="R12" s="269"/>
      <c r="S12" s="269"/>
      <c r="T12" s="269"/>
      <c r="U12" s="269"/>
      <c r="V12" s="269"/>
      <c r="W12" s="269"/>
      <c r="X12" s="269"/>
      <c r="Y12" s="269"/>
    </row>
    <row customHeight="true" ht="18.51851851851852" r="13">
      <c r="A13" s="270" t="s">
        <v>375</v>
      </c>
      <c r="B13" s="270"/>
      <c r="C13" s="270"/>
      <c r="D13" s="271"/>
      <c r="E13" s="271"/>
      <c r="F13" s="271"/>
      <c r="G13" s="271"/>
      <c r="H13" s="271"/>
      <c r="I13" s="271"/>
      <c r="J13" s="270"/>
      <c r="K13" s="270"/>
      <c r="L13" s="271"/>
      <c r="M13" s="273"/>
      <c r="N13" s="273"/>
      <c r="O13" s="268"/>
      <c r="P13" s="268"/>
      <c r="Q13" s="269"/>
      <c r="R13" s="269"/>
      <c r="S13" s="269"/>
      <c r="T13" s="269"/>
      <c r="U13" s="269"/>
      <c r="V13" s="269"/>
      <c r="W13" s="269"/>
      <c r="X13" s="269"/>
      <c r="Y13" s="269"/>
    </row>
    <row customHeight="true" ht="18.51851851851852" r="14">
      <c r="A14" s="270" t="s">
        <v>375</v>
      </c>
      <c r="B14" s="270"/>
      <c r="C14" s="270"/>
      <c r="D14" s="271"/>
      <c r="E14" s="271"/>
      <c r="F14" s="271"/>
      <c r="G14" s="271"/>
      <c r="H14" s="271"/>
      <c r="I14" s="271"/>
      <c r="J14" s="270"/>
      <c r="K14" s="270"/>
      <c r="L14" s="271"/>
      <c r="M14" s="273"/>
      <c r="N14" s="273"/>
      <c r="O14" s="268"/>
      <c r="P14" s="268"/>
      <c r="Q14" s="269"/>
      <c r="R14" s="269"/>
      <c r="S14" s="269"/>
      <c r="T14" s="269"/>
      <c r="U14" s="269"/>
      <c r="V14" s="269"/>
      <c r="W14" s="269"/>
      <c r="X14" s="269"/>
      <c r="Y14" s="269"/>
    </row>
    <row customHeight="true" ht="18.51851851851852" r="15">
      <c r="A15" s="270" t="s">
        <v>375</v>
      </c>
      <c r="B15" s="270"/>
      <c r="C15" s="270"/>
      <c r="D15" s="271"/>
      <c r="E15" s="271"/>
      <c r="F15" s="271"/>
      <c r="G15" s="271"/>
      <c r="H15" s="271"/>
      <c r="I15" s="271"/>
      <c r="J15" s="270"/>
      <c r="K15" s="270"/>
      <c r="L15" s="271"/>
      <c r="M15" s="273"/>
      <c r="N15" s="273"/>
      <c r="O15" s="268"/>
      <c r="P15" s="268"/>
      <c r="Q15" s="269"/>
      <c r="R15" s="269"/>
      <c r="S15" s="269"/>
      <c r="T15" s="269"/>
      <c r="U15" s="269"/>
      <c r="V15" s="269"/>
      <c r="W15" s="269"/>
      <c r="X15" s="269"/>
      <c r="Y15" s="269"/>
    </row>
    <row customHeight="true" ht="18.51851851851852" r="16">
      <c r="A16" s="270" t="s">
        <v>375</v>
      </c>
      <c r="B16" s="270"/>
      <c r="C16" s="270"/>
      <c r="D16" s="271"/>
      <c r="E16" s="271"/>
      <c r="F16" s="271"/>
      <c r="G16" s="271"/>
      <c r="H16" s="271"/>
      <c r="I16" s="271"/>
      <c r="J16" s="270"/>
      <c r="K16" s="270"/>
      <c r="L16" s="271"/>
      <c r="M16" s="273"/>
      <c r="N16" s="273"/>
      <c r="O16" s="268"/>
      <c r="P16" s="268"/>
      <c r="Q16" s="269"/>
      <c r="R16" s="269"/>
      <c r="S16" s="269"/>
      <c r="T16" s="269"/>
      <c r="U16" s="269"/>
      <c r="V16" s="269"/>
      <c r="W16" s="269"/>
      <c r="X16" s="269"/>
      <c r="Y16" s="269"/>
    </row>
    <row customHeight="true" ht="18.51851851851852" r="17">
      <c r="A17" s="270" t="s">
        <v>375</v>
      </c>
      <c r="B17" s="270"/>
      <c r="C17" s="270"/>
      <c r="D17" s="271"/>
      <c r="E17" s="271"/>
      <c r="F17" s="271"/>
      <c r="G17" s="271"/>
      <c r="H17" s="271"/>
      <c r="I17" s="271"/>
      <c r="J17" s="270"/>
      <c r="K17" s="270"/>
      <c r="L17" s="271"/>
      <c r="M17" s="273"/>
      <c r="N17" s="273"/>
      <c r="O17" s="268"/>
      <c r="P17" s="268"/>
      <c r="Q17" s="269"/>
      <c r="R17" s="269"/>
      <c r="S17" s="269"/>
      <c r="T17" s="269"/>
      <c r="U17" s="269"/>
      <c r="V17" s="269"/>
      <c r="W17" s="269"/>
      <c r="X17" s="269"/>
      <c r="Y17" s="269"/>
    </row>
    <row customHeight="true" ht="18.51851851851852" r="18">
      <c r="A18" s="270" t="s">
        <v>375</v>
      </c>
      <c r="B18" s="270"/>
      <c r="C18" s="270"/>
      <c r="D18" s="271"/>
      <c r="E18" s="271"/>
      <c r="F18" s="274"/>
      <c r="G18" s="274"/>
      <c r="H18" s="274"/>
      <c r="I18" s="271"/>
      <c r="J18" s="270"/>
      <c r="K18" s="270"/>
      <c r="L18" s="271"/>
      <c r="M18" s="273"/>
      <c r="N18" s="273"/>
      <c r="O18" s="268"/>
      <c r="P18" s="268"/>
      <c r="Q18" s="269"/>
      <c r="R18" s="269"/>
      <c r="S18" s="269"/>
      <c r="T18" s="269"/>
      <c r="U18" s="269"/>
      <c r="V18" s="269"/>
      <c r="W18" s="269"/>
      <c r="X18" s="269"/>
      <c r="Y18" s="269"/>
    </row>
    <row customHeight="true" ht="18.51851851851852" r="19">
      <c r="A19" s="270" t="s">
        <v>375</v>
      </c>
      <c r="B19" s="270"/>
      <c r="C19" s="270"/>
      <c r="D19" s="271"/>
      <c r="E19" s="271"/>
      <c r="F19" s="271"/>
      <c r="G19" s="271"/>
      <c r="H19" s="271"/>
      <c r="I19" s="277"/>
      <c r="J19" s="270"/>
      <c r="K19" s="270"/>
      <c r="L19" s="271"/>
      <c r="M19" s="273"/>
      <c r="N19" s="273"/>
      <c r="O19" s="268"/>
      <c r="P19" s="268"/>
      <c r="Q19" s="269"/>
      <c r="R19" s="269"/>
      <c r="S19" s="269"/>
      <c r="T19" s="269"/>
      <c r="U19" s="269"/>
      <c r="V19" s="269"/>
      <c r="W19" s="269"/>
      <c r="X19" s="269"/>
      <c r="Y19" s="269"/>
    </row>
    <row customHeight="true" ht="18.51851851851852" r="20">
      <c r="A20" s="270" t="s">
        <v>375</v>
      </c>
      <c r="B20" s="270"/>
      <c r="C20" s="270"/>
      <c r="D20" s="271"/>
      <c r="E20" s="271"/>
      <c r="F20" s="276"/>
      <c r="G20" s="276"/>
      <c r="H20" s="276"/>
      <c r="I20" s="276"/>
      <c r="J20" s="270"/>
      <c r="K20" s="270"/>
      <c r="L20" s="271"/>
      <c r="M20" s="276"/>
      <c r="N20" s="276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</row>
    <row customHeight="true" ht="18.51851851851852" r="21">
      <c r="A21" s="270" t="s">
        <v>375</v>
      </c>
      <c r="B21" s="270"/>
      <c r="C21" s="270"/>
      <c r="D21" s="271"/>
      <c r="E21" s="271"/>
      <c r="F21" s="276"/>
      <c r="G21" s="276"/>
      <c r="H21" s="276"/>
      <c r="I21" s="276"/>
      <c r="J21" s="270"/>
      <c r="K21" s="270"/>
      <c r="L21" s="271"/>
      <c r="M21" s="276"/>
      <c r="N21" s="276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</row>
    <row customHeight="true" ht="18.51851851851852" r="22">
      <c r="A22" s="270" t="s">
        <v>375</v>
      </c>
      <c r="B22" s="270"/>
      <c r="C22" s="270"/>
      <c r="D22" s="271"/>
      <c r="E22" s="271"/>
      <c r="F22" s="276"/>
      <c r="G22" s="276"/>
      <c r="H22" s="276"/>
      <c r="I22" s="276"/>
      <c r="J22" s="270"/>
      <c r="K22" s="270"/>
      <c r="L22" s="271"/>
      <c r="M22" s="276"/>
      <c r="N22" s="276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</row>
    <row customHeight="true" ht="18.51851851851852" r="23">
      <c r="A23" s="270" t="s">
        <v>375</v>
      </c>
      <c r="B23" s="270"/>
      <c r="C23" s="270"/>
      <c r="D23" s="271"/>
      <c r="E23" s="271"/>
      <c r="F23" s="276"/>
      <c r="G23" s="276"/>
      <c r="H23" s="276"/>
      <c r="I23" s="276"/>
      <c r="J23" s="270"/>
      <c r="K23" s="270"/>
      <c r="L23" s="271"/>
      <c r="M23" s="276"/>
      <c r="N23" s="276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</row>
    <row customHeight="true" ht="18.51851851851852" r="24">
      <c r="A24" s="270" t="s">
        <v>375</v>
      </c>
      <c r="B24" s="270"/>
      <c r="C24" s="270"/>
      <c r="D24" s="271"/>
      <c r="E24" s="271"/>
      <c r="F24" s="276"/>
      <c r="G24" s="276"/>
      <c r="H24" s="276"/>
      <c r="I24" s="276"/>
      <c r="J24" s="270"/>
      <c r="K24" s="270"/>
      <c r="L24" s="271"/>
      <c r="M24" s="276"/>
      <c r="N24" s="276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</row>
    <row customHeight="true" ht="18.51851851851852" r="25">
      <c r="A25" s="270" t="s">
        <v>375</v>
      </c>
      <c r="B25" s="270"/>
      <c r="C25" s="270"/>
      <c r="D25" s="271"/>
      <c r="E25" s="271"/>
      <c r="F25" s="276"/>
      <c r="G25" s="276"/>
      <c r="H25" s="276"/>
      <c r="I25" s="276"/>
      <c r="J25" s="270"/>
      <c r="K25" s="270"/>
      <c r="L25" s="271"/>
      <c r="M25" s="276"/>
      <c r="N25" s="276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</row>
    <row customHeight="true" ht="18.51851851851852" r="26">
      <c r="A26" s="270" t="s">
        <v>375</v>
      </c>
      <c r="B26" s="270"/>
      <c r="C26" s="270"/>
      <c r="D26" s="271"/>
      <c r="E26" s="271"/>
      <c r="F26" s="276"/>
      <c r="G26" s="276"/>
      <c r="H26" s="276"/>
      <c r="I26" s="276"/>
      <c r="J26" s="270"/>
      <c r="K26" s="270"/>
      <c r="L26" s="271"/>
      <c r="M26" s="276"/>
      <c r="N26" s="276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</row>
    <row customHeight="true" ht="18.51851851851852" r="27">
      <c r="A27" s="270" t="s">
        <v>375</v>
      </c>
      <c r="B27" s="270"/>
      <c r="C27" s="270"/>
      <c r="D27" s="271"/>
      <c r="E27" s="271"/>
      <c r="F27" s="276"/>
      <c r="G27" s="276"/>
      <c r="H27" s="276"/>
      <c r="I27" s="276"/>
      <c r="J27" s="270"/>
      <c r="K27" s="270"/>
      <c r="L27" s="271"/>
      <c r="M27" s="276"/>
      <c r="N27" s="276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</row>
    <row customHeight="true" ht="18.51851851851852" r="28">
      <c r="A28" s="270" t="s">
        <v>375</v>
      </c>
      <c r="B28" s="270"/>
      <c r="C28" s="270"/>
      <c r="D28" s="271"/>
      <c r="E28" s="271"/>
      <c r="F28" s="276"/>
      <c r="G28" s="276"/>
      <c r="H28" s="276"/>
      <c r="I28" s="276"/>
      <c r="J28" s="270"/>
      <c r="K28" s="270"/>
      <c r="L28" s="271"/>
      <c r="M28" s="276"/>
      <c r="N28" s="276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</row>
    <row customHeight="true" ht="18.51851851851852" r="29">
      <c r="A29" s="270" t="s">
        <v>375</v>
      </c>
      <c r="B29" s="270"/>
      <c r="C29" s="270"/>
      <c r="D29" s="271"/>
      <c r="E29" s="271"/>
      <c r="F29" s="276"/>
      <c r="G29" s="276"/>
      <c r="H29" s="276"/>
      <c r="I29" s="276"/>
      <c r="J29" s="270"/>
      <c r="K29" s="270"/>
      <c r="L29" s="271"/>
      <c r="M29" s="276"/>
      <c r="N29" s="276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</row>
    <row customHeight="true" ht="18.51851851851852" r="30">
      <c r="A30" s="270" t="s">
        <v>375</v>
      </c>
      <c r="B30" s="270"/>
      <c r="C30" s="270"/>
      <c r="D30" s="271"/>
      <c r="E30" s="271"/>
      <c r="F30" s="276"/>
      <c r="G30" s="276"/>
      <c r="H30" s="276"/>
      <c r="I30" s="276"/>
      <c r="J30" s="270"/>
      <c r="K30" s="270"/>
      <c r="L30" s="271"/>
      <c r="M30" s="276"/>
      <c r="N30" s="276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</row>
    <row customHeight="true" ht="18.51851851851852" r="31">
      <c r="A31" s="270" t="s">
        <v>375</v>
      </c>
      <c r="B31" s="270"/>
      <c r="C31" s="270"/>
      <c r="D31" s="271"/>
      <c r="E31" s="271"/>
      <c r="F31" s="276"/>
      <c r="G31" s="276"/>
      <c r="H31" s="276"/>
      <c r="I31" s="276"/>
      <c r="J31" s="270"/>
      <c r="K31" s="270"/>
      <c r="L31" s="271"/>
      <c r="M31" s="276"/>
      <c r="N31" s="276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</row>
    <row customHeight="true" ht="18.51851851851852" r="32">
      <c r="A32" s="270" t="s">
        <v>375</v>
      </c>
      <c r="B32" s="270"/>
      <c r="C32" s="270"/>
      <c r="D32" s="271"/>
      <c r="E32" s="271"/>
      <c r="F32" s="276"/>
      <c r="G32" s="276"/>
      <c r="H32" s="276"/>
      <c r="I32" s="276"/>
      <c r="J32" s="270"/>
      <c r="K32" s="270"/>
      <c r="L32" s="271"/>
      <c r="M32" s="276"/>
      <c r="N32" s="276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</row>
    <row customHeight="true" ht="18.51851851851852" r="33">
      <c r="A33" s="270" t="s">
        <v>375</v>
      </c>
      <c r="B33" s="270"/>
      <c r="C33" s="270"/>
      <c r="D33" s="271"/>
      <c r="E33" s="271"/>
      <c r="F33" s="276"/>
      <c r="G33" s="276"/>
      <c r="H33" s="276"/>
      <c r="I33" s="276"/>
      <c r="J33" s="270"/>
      <c r="K33" s="270"/>
      <c r="L33" s="271"/>
      <c r="M33" s="276"/>
      <c r="N33" s="276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</row>
    <row customHeight="true" ht="18.51851851851852" r="34">
      <c r="A34" s="270" t="s">
        <v>375</v>
      </c>
      <c r="B34" s="270"/>
      <c r="C34" s="270"/>
      <c r="D34" s="271"/>
      <c r="E34" s="271"/>
      <c r="F34" s="276"/>
      <c r="G34" s="276"/>
      <c r="H34" s="276"/>
      <c r="I34" s="276"/>
      <c r="J34" s="270"/>
      <c r="K34" s="270"/>
      <c r="L34" s="271"/>
      <c r="M34" s="276"/>
      <c r="N34" s="276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</row>
    <row customHeight="true" ht="18.51851851851852" r="35">
      <c r="A35" s="270" t="s">
        <v>375</v>
      </c>
      <c r="B35" s="270"/>
      <c r="C35" s="270"/>
      <c r="D35" s="271"/>
      <c r="E35" s="271"/>
      <c r="F35" s="276"/>
      <c r="G35" s="276"/>
      <c r="H35" s="276"/>
      <c r="I35" s="276"/>
      <c r="J35" s="270"/>
      <c r="K35" s="270"/>
      <c r="L35" s="271"/>
      <c r="M35" s="276"/>
      <c r="N35" s="276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</row>
    <row customHeight="true" ht="18.51851851851852" r="36">
      <c r="A36" s="270" t="s">
        <v>375</v>
      </c>
      <c r="B36" s="270"/>
      <c r="C36" s="270"/>
      <c r="D36" s="271"/>
      <c r="E36" s="271"/>
      <c r="F36" s="276"/>
      <c r="G36" s="276"/>
      <c r="H36" s="276"/>
      <c r="I36" s="276"/>
      <c r="J36" s="270"/>
      <c r="K36" s="270"/>
      <c r="L36" s="271"/>
      <c r="M36" s="276"/>
      <c r="N36" s="276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</row>
    <row customHeight="true" ht="18.51851851851852" r="37">
      <c r="A37" s="270" t="s">
        <v>375</v>
      </c>
      <c r="B37" s="270"/>
      <c r="C37" s="270"/>
      <c r="D37" s="271"/>
      <c r="E37" s="271"/>
      <c r="F37" s="276"/>
      <c r="G37" s="276"/>
      <c r="H37" s="276"/>
      <c r="I37" s="276"/>
      <c r="J37" s="270"/>
      <c r="K37" s="270"/>
      <c r="L37" s="271"/>
      <c r="M37" s="276"/>
      <c r="N37" s="276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</row>
    <row customHeight="true" ht="18.51851851851852" r="38">
      <c r="A38" s="270" t="s">
        <v>375</v>
      </c>
      <c r="B38" s="270"/>
      <c r="C38" s="270"/>
      <c r="D38" s="271"/>
      <c r="E38" s="271"/>
      <c r="F38" s="276"/>
      <c r="G38" s="276"/>
      <c r="H38" s="276"/>
      <c r="I38" s="276"/>
      <c r="J38" s="270"/>
      <c r="K38" s="270"/>
      <c r="L38" s="271"/>
      <c r="M38" s="276"/>
      <c r="N38" s="276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</row>
    <row customHeight="true" ht="18.51851851851852" r="39">
      <c r="A39" s="270" t="s">
        <v>375</v>
      </c>
      <c r="B39" s="270"/>
      <c r="C39" s="270"/>
      <c r="D39" s="271"/>
      <c r="E39" s="271"/>
      <c r="F39" s="276"/>
      <c r="G39" s="276"/>
      <c r="H39" s="276"/>
      <c r="I39" s="276"/>
      <c r="J39" s="270"/>
      <c r="K39" s="270"/>
      <c r="L39" s="271"/>
      <c r="M39" s="276"/>
      <c r="N39" s="276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</row>
    <row customHeight="true" ht="18.51851851851852" r="40">
      <c r="A40" s="270" t="s">
        <v>375</v>
      </c>
      <c r="B40" s="270"/>
      <c r="C40" s="270"/>
      <c r="D40" s="271"/>
      <c r="E40" s="271"/>
      <c r="F40" s="276"/>
      <c r="G40" s="276"/>
      <c r="H40" s="276"/>
      <c r="I40" s="276"/>
      <c r="J40" s="270"/>
      <c r="K40" s="270"/>
      <c r="L40" s="271"/>
      <c r="M40" s="276"/>
      <c r="N40" s="276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</row>
    <row customHeight="true" ht="18.51851851851852" r="41">
      <c r="A41" s="270" t="s">
        <v>375</v>
      </c>
      <c r="B41" s="270"/>
      <c r="C41" s="270"/>
      <c r="D41" s="271"/>
      <c r="E41" s="271"/>
      <c r="F41" s="276"/>
      <c r="G41" s="276"/>
      <c r="H41" s="276"/>
      <c r="I41" s="274"/>
      <c r="J41" s="270"/>
      <c r="K41" s="270"/>
      <c r="L41" s="271"/>
      <c r="M41" s="276"/>
      <c r="N41" s="276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</row>
    <row customHeight="true" ht="18.51851851851852" r="42">
      <c r="A42" s="270" t="s">
        <v>375</v>
      </c>
      <c r="B42" s="270"/>
      <c r="C42" s="270"/>
      <c r="D42" s="271"/>
      <c r="E42" s="271"/>
      <c r="F42" s="276"/>
      <c r="G42" s="276"/>
      <c r="H42" s="276"/>
      <c r="I42" s="274"/>
      <c r="J42" s="270"/>
      <c r="K42" s="270"/>
      <c r="L42" s="271"/>
      <c r="M42" s="276"/>
      <c r="N42" s="276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</row>
    <row customHeight="true" ht="18.51851851851852" r="43">
      <c r="A43" s="270" t="s">
        <v>375</v>
      </c>
      <c r="B43" s="270"/>
      <c r="C43" s="270"/>
      <c r="D43" s="271"/>
      <c r="E43" s="271"/>
      <c r="F43" s="276"/>
      <c r="G43" s="276"/>
      <c r="H43" s="276"/>
      <c r="I43" s="274"/>
      <c r="J43" s="270"/>
      <c r="K43" s="270"/>
      <c r="L43" s="271"/>
      <c r="M43" s="276"/>
      <c r="N43" s="276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</row>
    <row customHeight="true" ht="18.51851851851852" r="44">
      <c r="A44" s="270" t="s">
        <v>375</v>
      </c>
      <c r="B44" s="270"/>
      <c r="C44" s="270"/>
      <c r="D44" s="271"/>
      <c r="E44" s="271"/>
      <c r="F44" s="276"/>
      <c r="G44" s="276"/>
      <c r="H44" s="276"/>
      <c r="I44" s="274"/>
      <c r="J44" s="270"/>
      <c r="K44" s="270"/>
      <c r="L44" s="271"/>
      <c r="M44" s="276"/>
      <c r="N44" s="276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</row>
    <row customHeight="true" ht="18.51851851851852" r="45">
      <c r="A45" s="270" t="s">
        <v>375</v>
      </c>
      <c r="B45" s="270"/>
      <c r="C45" s="270"/>
      <c r="D45" s="271"/>
      <c r="E45" s="271"/>
      <c r="F45" s="276"/>
      <c r="G45" s="276"/>
      <c r="H45" s="276"/>
      <c r="I45" s="274"/>
      <c r="J45" s="270"/>
      <c r="K45" s="270"/>
      <c r="L45" s="271"/>
      <c r="M45" s="276"/>
      <c r="N45" s="276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</row>
    <row customHeight="true" ht="18.51851851851852" r="46">
      <c r="A46" s="270" t="s">
        <v>375</v>
      </c>
      <c r="B46" s="270"/>
      <c r="C46" s="270"/>
      <c r="D46" s="271"/>
      <c r="E46" s="271"/>
      <c r="F46" s="276"/>
      <c r="G46" s="276"/>
      <c r="H46" s="276"/>
      <c r="I46" s="274"/>
      <c r="J46" s="270"/>
      <c r="K46" s="270"/>
      <c r="L46" s="271"/>
      <c r="M46" s="276"/>
      <c r="N46" s="276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</row>
    <row customHeight="true" ht="18.51851851851852" r="47">
      <c r="A47" s="270" t="s">
        <v>375</v>
      </c>
      <c r="B47" s="270"/>
      <c r="C47" s="270"/>
      <c r="D47" s="271"/>
      <c r="E47" s="271"/>
      <c r="F47" s="276"/>
      <c r="G47" s="276"/>
      <c r="H47" s="276"/>
      <c r="I47" s="274"/>
      <c r="J47" s="270"/>
      <c r="K47" s="270"/>
      <c r="L47" s="271"/>
      <c r="M47" s="276"/>
      <c r="N47" s="276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</row>
    <row customHeight="true" ht="18.51851851851852" r="48">
      <c r="A48" s="270" t="s">
        <v>375</v>
      </c>
      <c r="B48" s="270"/>
      <c r="C48" s="270"/>
      <c r="D48" s="271"/>
      <c r="E48" s="271"/>
      <c r="F48" s="276"/>
      <c r="G48" s="276"/>
      <c r="H48" s="276"/>
      <c r="I48" s="274"/>
      <c r="J48" s="270"/>
      <c r="K48" s="270"/>
      <c r="L48" s="271"/>
      <c r="M48" s="276"/>
      <c r="N48" s="276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</row>
    <row customHeight="true" ht="18.51851851851852" r="49">
      <c r="A49" s="270" t="s">
        <v>375</v>
      </c>
      <c r="B49" s="270"/>
      <c r="C49" s="270"/>
      <c r="D49" s="271"/>
      <c r="E49" s="276"/>
      <c r="F49" s="276"/>
      <c r="G49" s="276"/>
      <c r="H49" s="276"/>
      <c r="I49" s="274"/>
      <c r="J49" s="270"/>
      <c r="K49" s="270"/>
      <c r="L49" s="271"/>
      <c r="M49" s="276"/>
      <c r="N49" s="276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</row>
    <row customHeight="true" ht="18.51851851851852" r="50">
      <c r="A50" s="270" t="s">
        <v>375</v>
      </c>
      <c r="B50" s="270"/>
      <c r="C50" s="270"/>
      <c r="D50" s="271"/>
      <c r="E50" s="276"/>
      <c r="F50" s="276"/>
      <c r="G50" s="276"/>
      <c r="H50" s="276"/>
      <c r="I50" s="276"/>
      <c r="J50" s="270"/>
      <c r="K50" s="270"/>
      <c r="L50" s="271"/>
      <c r="M50" s="276"/>
      <c r="N50" s="276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</row>
    <row customHeight="true" ht="18.51851851851852" r="51">
      <c r="A51" s="270" t="s">
        <v>375</v>
      </c>
      <c r="B51" s="270"/>
      <c r="C51" s="270"/>
      <c r="D51" s="271"/>
      <c r="E51" s="271"/>
      <c r="F51" s="278"/>
      <c r="G51" s="271"/>
      <c r="H51" s="271"/>
      <c r="I51" s="276"/>
      <c r="J51" s="270"/>
      <c r="K51" s="270"/>
      <c r="L51" s="271"/>
      <c r="M51" s="276"/>
      <c r="N51" s="276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</row>
    <row customHeight="true" ht="18.51851851851852" r="52">
      <c r="A52" s="270" t="s">
        <v>375</v>
      </c>
      <c r="B52" s="270"/>
      <c r="C52" s="270"/>
      <c r="D52" s="271"/>
      <c r="E52" s="271"/>
      <c r="F52" s="278"/>
      <c r="G52" s="271"/>
      <c r="H52" s="271"/>
      <c r="I52" s="274"/>
      <c r="J52" s="270"/>
      <c r="K52" s="270"/>
      <c r="L52" s="271"/>
      <c r="M52" s="276"/>
      <c r="N52" s="276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</row>
    <row customHeight="true" ht="18.51851851851852" r="53">
      <c r="A53" s="270" t="s">
        <v>375</v>
      </c>
      <c r="B53" s="270"/>
      <c r="C53" s="270"/>
      <c r="D53" s="271"/>
      <c r="E53" s="271"/>
      <c r="F53" s="278"/>
      <c r="G53" s="271"/>
      <c r="H53" s="271"/>
      <c r="I53" s="274"/>
      <c r="J53" s="270"/>
      <c r="K53" s="270"/>
      <c r="L53" s="271"/>
      <c r="M53" s="276"/>
      <c r="N53" s="276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</row>
    <row customHeight="true" ht="18.51851851851852" r="54">
      <c r="A54" s="270" t="s">
        <v>375</v>
      </c>
      <c r="B54" s="270"/>
      <c r="C54" s="270"/>
      <c r="D54" s="271"/>
      <c r="E54" s="271"/>
      <c r="F54" s="278"/>
      <c r="G54" s="271"/>
      <c r="H54" s="271"/>
      <c r="I54" s="274"/>
      <c r="J54" s="270"/>
      <c r="K54" s="270"/>
      <c r="L54" s="271"/>
      <c r="M54" s="276"/>
      <c r="N54" s="276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</row>
    <row customHeight="true" ht="18.51851851851852" r="55">
      <c r="A55" s="270" t="s">
        <v>375</v>
      </c>
      <c r="B55" s="270"/>
      <c r="C55" s="270"/>
      <c r="D55" s="271"/>
      <c r="E55" s="276"/>
      <c r="F55" s="276"/>
      <c r="G55" s="276"/>
      <c r="H55" s="276"/>
      <c r="I55" s="271"/>
      <c r="J55" s="270"/>
      <c r="K55" s="270"/>
      <c r="L55" s="271"/>
      <c r="M55" s="276"/>
      <c r="N55" s="276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</row>
    <row customHeight="true" ht="18.51851851851852" r="56">
      <c r="A56" s="270" t="s">
        <v>375</v>
      </c>
      <c r="B56" s="270"/>
      <c r="C56" s="270"/>
      <c r="D56" s="271"/>
      <c r="E56" s="276"/>
      <c r="F56" s="276"/>
      <c r="G56" s="276"/>
      <c r="H56" s="276"/>
      <c r="I56" s="271"/>
      <c r="J56" s="270"/>
      <c r="K56" s="270"/>
      <c r="L56" s="271"/>
      <c r="M56" s="276"/>
      <c r="N56" s="276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</row>
    <row customHeight="true" ht="18.51851851851852" r="57">
      <c r="A57" s="270" t="s">
        <v>375</v>
      </c>
      <c r="B57" s="270"/>
      <c r="C57" s="270"/>
      <c r="D57" s="271"/>
      <c r="E57" s="276"/>
      <c r="F57" s="276"/>
      <c r="G57" s="276"/>
      <c r="H57" s="276"/>
      <c r="I57" s="276"/>
      <c r="J57" s="270"/>
      <c r="K57" s="270"/>
      <c r="L57" s="271"/>
      <c r="M57" s="276"/>
      <c r="N57" s="276"/>
      <c r="O57" s="269"/>
      <c r="T57" s="269"/>
      <c r="U57" s="269"/>
      <c r="V57" s="269"/>
      <c r="W57" s="269"/>
      <c r="X57" s="269"/>
      <c r="Y57" s="269"/>
    </row>
    <row customHeight="true" ht="18.51851851851852" r="58">
      <c r="A58" s="270" t="s">
        <v>375</v>
      </c>
      <c r="B58" s="270"/>
      <c r="C58" s="270"/>
      <c r="D58" s="271"/>
      <c r="E58" s="271"/>
      <c r="F58" s="279"/>
      <c r="G58" s="279"/>
      <c r="H58" s="279"/>
      <c r="I58" s="274"/>
      <c r="J58" s="270"/>
      <c r="K58" s="280"/>
      <c r="L58" s="279"/>
      <c r="M58" s="281"/>
      <c r="N58" s="281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</row>
    <row customHeight="true" ht="18.51851851851852" r="59">
      <c r="A59" s="270" t="s">
        <v>375</v>
      </c>
      <c r="B59" s="270"/>
      <c r="C59" s="270"/>
      <c r="D59" s="271"/>
      <c r="E59" s="271"/>
      <c r="F59" s="281"/>
      <c r="G59" s="281"/>
      <c r="H59" s="281"/>
      <c r="I59" s="274"/>
      <c r="J59" s="270"/>
      <c r="K59" s="280"/>
      <c r="L59" s="279"/>
      <c r="M59" s="281"/>
      <c r="N59" s="281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</row>
    <row customHeight="true" ht="18.51851851851852" r="60">
      <c r="A60" s="270" t="s">
        <v>375</v>
      </c>
      <c r="B60" s="270"/>
      <c r="C60" s="270"/>
      <c r="D60" s="271"/>
      <c r="E60" s="276"/>
      <c r="F60" s="276"/>
      <c r="G60" s="276"/>
      <c r="H60" s="276"/>
      <c r="I60" s="276"/>
      <c r="J60" s="270"/>
      <c r="K60" s="270"/>
      <c r="L60" s="271"/>
      <c r="M60" s="276"/>
      <c r="N60" s="276"/>
      <c r="T60" s="269"/>
      <c r="U60" s="269"/>
      <c r="V60" s="269"/>
      <c r="W60" s="269"/>
      <c r="X60" s="269"/>
      <c r="Y60" s="269"/>
    </row>
    <row customHeight="true" ht="18.51851851851852" r="61">
      <c r="A61" s="270" t="s">
        <v>375</v>
      </c>
      <c r="B61" s="270"/>
      <c r="C61" s="270"/>
      <c r="D61" s="271"/>
      <c r="E61" s="276"/>
      <c r="F61" s="276"/>
      <c r="G61" s="276"/>
      <c r="H61" s="276"/>
      <c r="I61" s="276"/>
      <c r="J61" s="270"/>
      <c r="K61" s="270"/>
      <c r="L61" s="271"/>
      <c r="M61" s="276"/>
      <c r="N61" s="276"/>
      <c r="T61" s="269"/>
      <c r="U61" s="269"/>
      <c r="V61" s="269"/>
      <c r="W61" s="269"/>
      <c r="X61" s="269"/>
      <c r="Y61" s="269"/>
    </row>
    <row customHeight="true" ht="18.51851851851852" r="62">
      <c r="A62" s="270" t="s">
        <v>375</v>
      </c>
      <c r="B62" s="270"/>
      <c r="C62" s="270"/>
      <c r="D62" s="271"/>
      <c r="E62" s="276"/>
      <c r="F62" s="276"/>
      <c r="G62" s="276"/>
      <c r="H62" s="276"/>
      <c r="I62" s="271"/>
      <c r="J62" s="270"/>
      <c r="K62" s="270"/>
      <c r="L62" s="271"/>
      <c r="M62" s="276"/>
      <c r="N62" s="276"/>
      <c r="T62" s="269"/>
      <c r="U62" s="269"/>
      <c r="V62" s="269"/>
      <c r="W62" s="269"/>
      <c r="X62" s="269"/>
      <c r="Y62" s="269"/>
    </row>
    <row customHeight="true" ht="18.51851851851852" r="63">
      <c r="A63" s="270" t="s">
        <v>375</v>
      </c>
      <c r="B63" s="270"/>
      <c r="C63" s="270"/>
      <c r="D63" s="271"/>
      <c r="E63" s="281"/>
      <c r="F63" s="281"/>
      <c r="G63" s="281"/>
      <c r="H63" s="281"/>
      <c r="I63" s="279"/>
      <c r="J63" s="280"/>
      <c r="K63" s="280"/>
      <c r="L63" s="279"/>
      <c r="M63" s="281"/>
      <c r="N63" s="281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</row>
    <row customHeight="true" ht="18.51851851851852" r="64">
      <c r="A64" s="270" t="s">
        <v>375</v>
      </c>
      <c r="B64" s="270"/>
      <c r="C64" s="270"/>
      <c r="D64" s="271"/>
      <c r="E64" s="276"/>
      <c r="F64" s="276"/>
      <c r="G64" s="276"/>
      <c r="H64" s="276"/>
      <c r="I64" s="276"/>
      <c r="J64" s="270"/>
      <c r="K64" s="270"/>
      <c r="L64" s="271"/>
      <c r="M64" s="276"/>
      <c r="N64" s="276"/>
      <c r="T64" s="269"/>
      <c r="U64" s="269"/>
      <c r="V64" s="269"/>
      <c r="W64" s="269"/>
      <c r="X64" s="269"/>
      <c r="Y64" s="269"/>
    </row>
    <row customHeight="true" ht="18.51851851851852" r="65">
      <c r="A65" s="270" t="s">
        <v>375</v>
      </c>
      <c r="B65" s="270"/>
      <c r="C65" s="270"/>
      <c r="D65" s="271"/>
      <c r="E65" s="276"/>
      <c r="F65" s="276"/>
      <c r="G65" s="276"/>
      <c r="H65" s="276"/>
      <c r="I65" s="276"/>
      <c r="J65" s="270"/>
      <c r="K65" s="270"/>
      <c r="L65" s="271"/>
      <c r="M65" s="276"/>
      <c r="N65" s="276"/>
      <c r="T65" s="269"/>
      <c r="U65" s="269"/>
      <c r="V65" s="269"/>
      <c r="W65" s="269"/>
      <c r="X65" s="269"/>
      <c r="Y65" s="269"/>
    </row>
    <row customHeight="true" ht="18.51851851851852" r="66">
      <c r="A66" s="270" t="s">
        <v>375</v>
      </c>
      <c r="B66" s="270"/>
      <c r="C66" s="270"/>
      <c r="D66" s="271"/>
      <c r="E66" s="281"/>
      <c r="F66" s="281"/>
      <c r="G66" s="281"/>
      <c r="H66" s="281"/>
      <c r="I66" s="281"/>
      <c r="J66" s="280"/>
      <c r="K66" s="280"/>
      <c r="L66" s="279"/>
      <c r="M66" s="281"/>
      <c r="N66" s="281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</row>
    <row customHeight="true" ht="18.51851851851852" r="67">
      <c r="A67" s="270" t="s">
        <v>375</v>
      </c>
      <c r="B67" s="270"/>
      <c r="C67" s="270"/>
      <c r="D67" s="271"/>
      <c r="E67" s="276"/>
      <c r="F67" s="276"/>
      <c r="G67" s="276"/>
      <c r="H67" s="276"/>
      <c r="I67" s="276"/>
      <c r="J67" s="270"/>
      <c r="K67" s="270"/>
      <c r="L67" s="271"/>
      <c r="M67" s="276"/>
      <c r="N67" s="276"/>
      <c r="T67" s="269"/>
      <c r="U67" s="269"/>
      <c r="V67" s="269"/>
      <c r="W67" s="269"/>
      <c r="X67" s="269"/>
      <c r="Y67" s="269"/>
    </row>
    <row customHeight="true" ht="18.51851851851852" r="68">
      <c r="A68" s="270" t="s">
        <v>375</v>
      </c>
      <c r="B68" s="270"/>
      <c r="C68" s="270"/>
      <c r="D68" s="271"/>
      <c r="E68" s="281"/>
      <c r="F68" s="281"/>
      <c r="G68" s="281"/>
      <c r="H68" s="281"/>
      <c r="I68" s="279"/>
      <c r="J68" s="280"/>
      <c r="K68" s="280"/>
      <c r="L68" s="279"/>
      <c r="M68" s="281"/>
      <c r="N68" s="281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</row>
    <row customHeight="true" ht="18.51851851851852" r="69">
      <c r="A69" s="270" t="s">
        <v>375</v>
      </c>
      <c r="B69" s="270"/>
      <c r="C69" s="270"/>
      <c r="D69" s="271"/>
      <c r="E69" s="281"/>
      <c r="F69" s="281"/>
      <c r="G69" s="281"/>
      <c r="H69" s="281"/>
      <c r="I69" s="281"/>
      <c r="J69" s="280"/>
      <c r="K69" s="280"/>
      <c r="L69" s="279"/>
      <c r="M69" s="281"/>
      <c r="N69" s="281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</row>
    <row customHeight="true" ht="18.51851851851852" r="70">
      <c r="A70" s="270" t="s">
        <v>375</v>
      </c>
      <c r="B70" s="270"/>
      <c r="C70" s="270"/>
      <c r="D70" s="271"/>
      <c r="E70" s="276"/>
      <c r="F70" s="276"/>
      <c r="G70" s="276"/>
      <c r="H70" s="276"/>
      <c r="I70" s="276"/>
      <c r="J70" s="270"/>
      <c r="K70" s="270"/>
      <c r="L70" s="271"/>
      <c r="M70" s="276"/>
      <c r="N70" s="276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</row>
    <row customHeight="true" ht="18.51851851851852" r="71">
      <c r="A71" s="270" t="s">
        <v>375</v>
      </c>
      <c r="B71" s="270"/>
      <c r="C71" s="270"/>
      <c r="D71" s="271"/>
      <c r="E71" s="281"/>
      <c r="F71" s="281"/>
      <c r="G71" s="281"/>
      <c r="H71" s="281"/>
      <c r="I71" s="281"/>
      <c r="J71" s="280"/>
      <c r="K71" s="280"/>
      <c r="L71" s="279"/>
      <c r="M71" s="281"/>
      <c r="N71" s="281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</row>
    <row customHeight="true" ht="18.51851851851852" r="72">
      <c r="A72" s="270" t="s">
        <v>375</v>
      </c>
      <c r="B72" s="270"/>
      <c r="C72" s="270"/>
      <c r="D72" s="271"/>
      <c r="E72" s="281"/>
      <c r="F72" s="281"/>
      <c r="G72" s="281"/>
      <c r="H72" s="281"/>
      <c r="I72" s="281"/>
      <c r="J72" s="280"/>
      <c r="K72" s="280"/>
      <c r="L72" s="279"/>
      <c r="M72" s="281"/>
      <c r="N72" s="281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</row>
    <row customHeight="true" ht="18.51851851851852" r="73">
      <c r="A73" s="270" t="s">
        <v>375</v>
      </c>
      <c r="B73" s="270"/>
      <c r="C73" s="270"/>
      <c r="D73" s="271"/>
      <c r="E73" s="276"/>
      <c r="F73" s="276"/>
      <c r="G73" s="276"/>
      <c r="H73" s="276"/>
      <c r="I73" s="276"/>
      <c r="J73" s="270"/>
      <c r="K73" s="270"/>
      <c r="L73" s="271"/>
      <c r="M73" s="276"/>
      <c r="N73" s="276"/>
      <c r="T73" s="269"/>
      <c r="U73" s="269"/>
      <c r="V73" s="269"/>
      <c r="W73" s="269"/>
      <c r="X73" s="269"/>
      <c r="Y73" s="269"/>
    </row>
    <row customHeight="true" ht="18.51851851851852" r="74">
      <c r="A74" s="270" t="s">
        <v>375</v>
      </c>
      <c r="B74" s="270"/>
      <c r="C74" s="270"/>
      <c r="D74" s="271"/>
      <c r="E74" s="281"/>
      <c r="F74" s="281"/>
      <c r="G74" s="281"/>
      <c r="H74" s="281"/>
      <c r="I74" s="279"/>
      <c r="J74" s="280"/>
      <c r="K74" s="280"/>
      <c r="L74" s="279"/>
      <c r="M74" s="281"/>
      <c r="N74" s="281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</row>
    <row customHeight="true" ht="18.51851851851852" r="75">
      <c r="A75" s="270" t="s">
        <v>375</v>
      </c>
      <c r="B75" s="270"/>
      <c r="C75" s="270"/>
      <c r="D75" s="271"/>
      <c r="E75" s="281"/>
      <c r="F75" s="281"/>
      <c r="G75" s="281"/>
      <c r="H75" s="281"/>
      <c r="I75" s="281"/>
      <c r="J75" s="280"/>
      <c r="K75" s="280"/>
      <c r="L75" s="279"/>
      <c r="M75" s="281"/>
      <c r="N75" s="281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</row>
    <row customHeight="true" ht="18.51851851851852" r="76">
      <c r="A76" s="270" t="s">
        <v>375</v>
      </c>
      <c r="B76" s="270"/>
      <c r="C76" s="270"/>
      <c r="D76" s="271"/>
      <c r="E76" s="276"/>
      <c r="F76" s="276"/>
      <c r="G76" s="276"/>
      <c r="H76" s="276"/>
      <c r="I76" s="276"/>
      <c r="J76" s="270"/>
      <c r="K76" s="270"/>
      <c r="L76" s="271"/>
      <c r="M76" s="276"/>
      <c r="N76" s="276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</row>
    <row customHeight="true" ht="18.51851851851852" r="77">
      <c r="A77" s="270" t="s">
        <v>375</v>
      </c>
      <c r="B77" s="270"/>
      <c r="C77" s="270"/>
      <c r="D77" s="271"/>
      <c r="E77" s="281"/>
      <c r="F77" s="281"/>
      <c r="G77" s="281"/>
      <c r="H77" s="281"/>
      <c r="I77" s="279"/>
      <c r="J77" s="280"/>
      <c r="K77" s="280"/>
      <c r="L77" s="279"/>
      <c r="M77" s="281"/>
      <c r="N77" s="281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</row>
    <row customHeight="true" ht="18.51851851851852" r="78">
      <c r="A78" s="270" t="s">
        <v>375</v>
      </c>
      <c r="B78" s="270"/>
      <c r="C78" s="270"/>
      <c r="D78" s="271"/>
      <c r="E78" s="281"/>
      <c r="F78" s="281"/>
      <c r="G78" s="281"/>
      <c r="H78" s="281"/>
      <c r="I78" s="281"/>
      <c r="J78" s="280"/>
      <c r="K78" s="280"/>
      <c r="L78" s="279"/>
      <c r="M78" s="281"/>
      <c r="N78" s="281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</row>
    <row customHeight="true" ht="18.51851851851852" r="79">
      <c r="A79" s="270" t="s">
        <v>375</v>
      </c>
      <c r="B79" s="270"/>
      <c r="C79" s="270"/>
      <c r="D79" s="271"/>
      <c r="E79" s="276"/>
      <c r="F79" s="276"/>
      <c r="G79" s="276"/>
      <c r="H79" s="276"/>
      <c r="I79" s="276"/>
      <c r="J79" s="270"/>
      <c r="K79" s="270"/>
      <c r="L79" s="271"/>
      <c r="M79" s="276"/>
      <c r="N79" s="276"/>
      <c r="T79" s="269"/>
      <c r="U79" s="269"/>
      <c r="V79" s="269"/>
      <c r="W79" s="269"/>
      <c r="X79" s="269"/>
      <c r="Y79" s="269"/>
    </row>
    <row customHeight="true" ht="18.51851851851852" r="80">
      <c r="A80" s="270" t="s">
        <v>375</v>
      </c>
      <c r="B80" s="270"/>
      <c r="C80" s="270"/>
      <c r="D80" s="271"/>
      <c r="E80" s="279"/>
      <c r="F80" s="279"/>
      <c r="G80" s="279"/>
      <c r="H80" s="279"/>
      <c r="I80" s="279"/>
      <c r="J80" s="280"/>
      <c r="K80" s="270"/>
      <c r="L80" s="279"/>
      <c r="M80" s="281"/>
      <c r="N80" s="281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</row>
    <row customHeight="true" ht="18.51851851851852" r="81">
      <c r="A81" s="270" t="s">
        <v>375</v>
      </c>
      <c r="B81" s="270"/>
      <c r="C81" s="270"/>
      <c r="D81" s="271"/>
      <c r="E81" s="281"/>
      <c r="F81" s="281"/>
      <c r="G81" s="281"/>
      <c r="H81" s="281"/>
      <c r="I81" s="281"/>
      <c r="J81" s="280"/>
      <c r="K81" s="270"/>
      <c r="L81" s="279"/>
      <c r="M81" s="281"/>
      <c r="N81" s="281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</row>
    <row customHeight="true" ht="18.51851851851852" r="82">
      <c r="A82" s="270" t="s">
        <v>375</v>
      </c>
      <c r="B82" s="270"/>
      <c r="C82" s="270"/>
      <c r="D82" s="271"/>
      <c r="E82" s="281"/>
      <c r="F82" s="281"/>
      <c r="G82" s="281"/>
      <c r="H82" s="281"/>
      <c r="I82" s="281"/>
      <c r="J82" s="280"/>
      <c r="K82" s="270"/>
      <c r="L82" s="279"/>
      <c r="M82" s="281"/>
      <c r="N82" s="281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</row>
    <row customHeight="true" ht="18.51851851851852" r="83">
      <c r="A83" s="270" t="s">
        <v>375</v>
      </c>
      <c r="B83" s="270"/>
      <c r="C83" s="270"/>
      <c r="D83" s="271"/>
      <c r="E83" s="281"/>
      <c r="F83" s="281"/>
      <c r="G83" s="281"/>
      <c r="H83" s="281"/>
      <c r="I83" s="281"/>
      <c r="J83" s="280"/>
      <c r="K83" s="270"/>
      <c r="L83" s="279"/>
      <c r="M83" s="281"/>
      <c r="N83" s="281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</row>
    <row customHeight="true" ht="18.51851851851852" r="84">
      <c r="A84" s="270" t="s">
        <v>375</v>
      </c>
      <c r="B84" s="270"/>
      <c r="C84" s="270"/>
      <c r="D84" s="271"/>
      <c r="E84" s="281"/>
      <c r="F84" s="281"/>
      <c r="G84" s="281"/>
      <c r="H84" s="281"/>
      <c r="I84" s="281"/>
      <c r="J84" s="280"/>
      <c r="K84" s="270"/>
      <c r="L84" s="279"/>
      <c r="M84" s="281"/>
      <c r="N84" s="281"/>
      <c r="T84" s="269"/>
      <c r="U84" s="269"/>
      <c r="V84" s="269"/>
      <c r="W84" s="269"/>
      <c r="X84" s="269"/>
      <c r="Y84" s="269"/>
    </row>
    <row customHeight="true" ht="18.51851851851852" r="85">
      <c r="A85" s="270" t="s">
        <v>375</v>
      </c>
      <c r="B85" s="270"/>
      <c r="C85" s="270"/>
      <c r="D85" s="271"/>
      <c r="E85" s="281"/>
      <c r="F85" s="281"/>
      <c r="G85" s="281"/>
      <c r="H85" s="281"/>
      <c r="I85" s="270"/>
      <c r="J85" s="280"/>
      <c r="K85" s="270"/>
      <c r="L85" s="279"/>
      <c r="M85" s="281"/>
      <c r="N85" s="281"/>
      <c r="T85" s="269"/>
      <c r="U85" s="269"/>
      <c r="V85" s="269"/>
      <c r="W85" s="269"/>
      <c r="X85" s="269"/>
      <c r="Y85" s="269"/>
    </row>
    <row customHeight="true" ht="18.51851851851852" r="86">
      <c r="A86" s="270" t="s">
        <v>375</v>
      </c>
      <c r="B86" s="270"/>
      <c r="C86" s="270"/>
      <c r="D86" s="271"/>
      <c r="E86" s="281"/>
      <c r="F86" s="281"/>
      <c r="G86" s="281"/>
      <c r="H86" s="281"/>
      <c r="I86" s="270"/>
      <c r="J86" s="280"/>
      <c r="K86" s="270"/>
      <c r="L86" s="279"/>
      <c r="M86" s="281"/>
      <c r="N86" s="281"/>
      <c r="T86" s="269"/>
      <c r="U86" s="269"/>
      <c r="V86" s="269"/>
      <c r="W86" s="269"/>
      <c r="X86" s="269"/>
      <c r="Y86" s="269"/>
    </row>
    <row customHeight="true" ht="18.51851851851852" r="87">
      <c r="A87" s="270" t="s">
        <v>375</v>
      </c>
      <c r="B87" s="270"/>
      <c r="C87" s="270"/>
      <c r="D87" s="271"/>
      <c r="E87" s="281"/>
      <c r="F87" s="281"/>
      <c r="G87" s="281"/>
      <c r="H87" s="281"/>
      <c r="I87" s="270"/>
      <c r="J87" s="280"/>
      <c r="K87" s="270"/>
      <c r="L87" s="279"/>
      <c r="M87" s="281"/>
      <c r="N87" s="281"/>
      <c r="T87" s="269"/>
      <c r="U87" s="269"/>
      <c r="V87" s="269"/>
      <c r="W87" s="269"/>
      <c r="X87" s="269"/>
      <c r="Y87" s="269"/>
    </row>
    <row customHeight="true" ht="18.51851851851852" r="88">
      <c r="A88" s="270" t="s">
        <v>375</v>
      </c>
      <c r="B88" s="270"/>
      <c r="C88" s="270"/>
      <c r="D88" s="271"/>
      <c r="E88" s="281"/>
      <c r="F88" s="281"/>
      <c r="G88" s="281"/>
      <c r="H88" s="281"/>
      <c r="I88" s="270"/>
      <c r="J88" s="280"/>
      <c r="K88" s="270"/>
      <c r="L88" s="279"/>
      <c r="M88" s="281"/>
      <c r="N88" s="281"/>
      <c r="T88" s="269"/>
      <c r="U88" s="269"/>
      <c r="V88" s="269"/>
      <c r="W88" s="269"/>
      <c r="X88" s="269"/>
      <c r="Y88" s="269"/>
    </row>
    <row customHeight="true" ht="18.51851851851852" r="89">
      <c r="A89" s="270" t="s">
        <v>375</v>
      </c>
      <c r="B89" s="270"/>
      <c r="C89" s="270"/>
      <c r="D89" s="271"/>
      <c r="E89" s="281"/>
      <c r="F89" s="281"/>
      <c r="G89" s="281"/>
      <c r="H89" s="281"/>
      <c r="I89" s="270"/>
      <c r="J89" s="280"/>
      <c r="K89" s="270"/>
      <c r="L89" s="279"/>
      <c r="M89" s="281"/>
      <c r="N89" s="281"/>
      <c r="T89" s="269"/>
      <c r="U89" s="269"/>
      <c r="V89" s="269"/>
      <c r="W89" s="269"/>
      <c r="X89" s="269"/>
      <c r="Y89" s="269"/>
    </row>
    <row customHeight="true" ht="18.51851851851852" r="90">
      <c r="A90" s="270" t="s">
        <v>375</v>
      </c>
      <c r="B90" s="270"/>
      <c r="C90" s="270"/>
      <c r="D90" s="271"/>
      <c r="E90" s="281"/>
      <c r="F90" s="281"/>
      <c r="G90" s="281"/>
      <c r="H90" s="281"/>
      <c r="I90" s="270"/>
      <c r="J90" s="280"/>
      <c r="K90" s="270"/>
      <c r="L90" s="279"/>
      <c r="M90" s="281"/>
      <c r="N90" s="281"/>
      <c r="O90" s="269"/>
      <c r="P90" s="269"/>
      <c r="Q90" s="269"/>
      <c r="R90" s="269"/>
      <c r="S90" s="269"/>
    </row>
    <row customHeight="true" ht="18.51851851851852" r="91">
      <c r="A91" s="270" t="s">
        <v>375</v>
      </c>
      <c r="B91" s="270"/>
      <c r="C91" s="270"/>
      <c r="D91" s="271"/>
      <c r="E91" s="281"/>
      <c r="F91" s="281"/>
      <c r="G91" s="281"/>
      <c r="H91" s="281"/>
      <c r="I91" s="270"/>
      <c r="J91" s="270"/>
      <c r="K91" s="270"/>
      <c r="L91" s="279"/>
      <c r="M91" s="281"/>
      <c r="N91" s="281"/>
      <c r="T91" s="269"/>
      <c r="U91" s="269"/>
      <c r="V91" s="269"/>
      <c r="W91" s="269"/>
      <c r="X91" s="269"/>
      <c r="Y91" s="269"/>
    </row>
    <row customHeight="true" ht="18.51851851851852" r="92">
      <c r="A92" s="270" t="s">
        <v>375</v>
      </c>
      <c r="B92" s="270"/>
      <c r="C92" s="270"/>
      <c r="D92" s="271"/>
      <c r="E92" s="281"/>
      <c r="F92" s="281"/>
      <c r="G92" s="281"/>
      <c r="H92" s="281"/>
      <c r="I92" s="274"/>
      <c r="J92" s="270"/>
      <c r="K92" s="270"/>
      <c r="L92" s="279"/>
      <c r="M92" s="281"/>
      <c r="N92" s="281"/>
      <c r="T92" s="269"/>
      <c r="U92" s="269"/>
      <c r="V92" s="269"/>
      <c r="W92" s="269"/>
      <c r="X92" s="269"/>
      <c r="Y92" s="269"/>
    </row>
    <row customHeight="true" ht="18.51851851851852" r="93">
      <c r="A93" s="270" t="s">
        <v>375</v>
      </c>
      <c r="B93" s="270"/>
      <c r="C93" s="270"/>
      <c r="D93" s="271"/>
      <c r="E93" s="281"/>
      <c r="F93" s="281"/>
      <c r="G93" s="281"/>
      <c r="H93" s="281"/>
      <c r="I93" s="274"/>
      <c r="J93" s="270"/>
      <c r="K93" s="270"/>
      <c r="L93" s="279"/>
      <c r="M93" s="281"/>
      <c r="N93" s="281"/>
      <c r="T93" s="269"/>
      <c r="U93" s="269"/>
      <c r="V93" s="269"/>
      <c r="W93" s="269"/>
      <c r="X93" s="269"/>
      <c r="Y93" s="269"/>
    </row>
    <row customHeight="true" ht="18.51851851851852" r="94">
      <c r="A94" s="270" t="s">
        <v>375</v>
      </c>
      <c r="B94" s="270"/>
      <c r="C94" s="270"/>
      <c r="D94" s="271"/>
      <c r="E94" s="281"/>
      <c r="F94" s="281"/>
      <c r="G94" s="281"/>
      <c r="H94" s="281"/>
      <c r="I94" s="281"/>
      <c r="J94" s="270"/>
      <c r="K94" s="270"/>
      <c r="L94" s="279"/>
      <c r="M94" s="281"/>
      <c r="N94" s="281"/>
      <c r="T94" s="269"/>
      <c r="U94" s="269"/>
      <c r="V94" s="269"/>
      <c r="W94" s="269"/>
      <c r="X94" s="269"/>
      <c r="Y94" s="269"/>
    </row>
    <row customHeight="true" ht="18.51851851851852" r="95">
      <c r="A95" s="270" t="s">
        <v>375</v>
      </c>
      <c r="B95" s="270"/>
      <c r="C95" s="270"/>
      <c r="D95" s="271"/>
      <c r="E95" s="281"/>
      <c r="F95" s="281"/>
      <c r="G95" s="281"/>
      <c r="H95" s="281"/>
      <c r="I95" s="274"/>
      <c r="J95" s="270"/>
      <c r="K95" s="270"/>
      <c r="L95" s="279"/>
      <c r="M95" s="281"/>
      <c r="N95" s="281"/>
      <c r="T95" s="269"/>
      <c r="U95" s="269"/>
      <c r="V95" s="269"/>
      <c r="W95" s="269"/>
      <c r="X95" s="269"/>
      <c r="Y95" s="269"/>
    </row>
    <row customHeight="true" ht="18.51851851851852" r="96">
      <c r="A96" s="270" t="s">
        <v>375</v>
      </c>
      <c r="B96" s="270"/>
      <c r="C96" s="270"/>
      <c r="D96" s="271"/>
      <c r="E96" s="281"/>
      <c r="F96" s="281"/>
      <c r="G96" s="281"/>
      <c r="H96" s="281"/>
      <c r="I96" s="274"/>
      <c r="J96" s="270"/>
      <c r="K96" s="270"/>
      <c r="L96" s="279"/>
      <c r="M96" s="281"/>
      <c r="N96" s="281"/>
      <c r="T96" s="269"/>
      <c r="U96" s="269"/>
      <c r="V96" s="269"/>
      <c r="W96" s="269"/>
      <c r="X96" s="269"/>
      <c r="Y96" s="269"/>
    </row>
    <row customHeight="true" ht="18.51851851851852" r="97">
      <c r="A97" s="270" t="s">
        <v>375</v>
      </c>
      <c r="B97" s="270"/>
      <c r="C97" s="270"/>
      <c r="D97" s="271"/>
      <c r="E97" s="281"/>
      <c r="F97" s="281"/>
      <c r="G97" s="281"/>
      <c r="H97" s="281"/>
      <c r="I97" s="281"/>
      <c r="J97" s="280"/>
      <c r="K97" s="270"/>
      <c r="L97" s="279"/>
      <c r="M97" s="281"/>
      <c r="N97" s="281"/>
      <c r="T97" s="269"/>
      <c r="U97" s="269"/>
      <c r="V97" s="269"/>
      <c r="W97" s="269"/>
      <c r="X97" s="269"/>
      <c r="Y97" s="269"/>
    </row>
    <row customHeight="true" ht="18.51851851851852" r="98">
      <c r="A98" s="270" t="s">
        <v>375</v>
      </c>
      <c r="B98" s="270"/>
      <c r="C98" s="270"/>
      <c r="D98" s="271"/>
      <c r="E98" s="281"/>
      <c r="F98" s="281"/>
      <c r="G98" s="281"/>
      <c r="H98" s="281"/>
      <c r="I98" s="281"/>
      <c r="J98" s="280"/>
      <c r="K98" s="270"/>
      <c r="L98" s="279"/>
      <c r="M98" s="281"/>
      <c r="N98" s="281"/>
      <c r="T98" s="269"/>
      <c r="U98" s="269"/>
      <c r="V98" s="269"/>
      <c r="W98" s="269"/>
      <c r="X98" s="269"/>
      <c r="Y98" s="269"/>
    </row>
    <row customHeight="true" ht="18.51851851851852" r="99">
      <c r="A99" s="270" t="s">
        <v>375</v>
      </c>
      <c r="B99" s="270"/>
      <c r="C99" s="270"/>
      <c r="D99" s="271"/>
      <c r="E99" s="281"/>
      <c r="F99" s="281"/>
      <c r="G99" s="281"/>
      <c r="H99" s="281"/>
      <c r="I99" s="281"/>
      <c r="J99" s="280"/>
      <c r="K99" s="270"/>
      <c r="L99" s="279"/>
      <c r="M99" s="281"/>
      <c r="N99" s="281"/>
      <c r="T99" s="269"/>
      <c r="U99" s="269"/>
      <c r="V99" s="269"/>
      <c r="W99" s="269"/>
      <c r="X99" s="269"/>
      <c r="Y99" s="269"/>
    </row>
    <row customHeight="true" ht="18.51851851851852" r="100">
      <c r="A100" s="270" t="s">
        <v>375</v>
      </c>
      <c r="B100" s="270"/>
      <c r="C100" s="270"/>
      <c r="D100" s="271"/>
      <c r="E100" s="281"/>
      <c r="F100" s="281"/>
      <c r="G100" s="281"/>
      <c r="H100" s="281"/>
      <c r="I100" s="281"/>
      <c r="J100" s="280"/>
      <c r="K100" s="270"/>
      <c r="L100" s="279"/>
      <c r="M100" s="281"/>
      <c r="N100" s="281"/>
      <c r="T100" s="269"/>
      <c r="U100" s="269"/>
      <c r="V100" s="269"/>
      <c r="W100" s="269"/>
      <c r="X100" s="269"/>
      <c r="Y100" s="269"/>
    </row>
    <row customHeight="true" ht="18.51851851851852" r="101">
      <c r="A101" s="270" t="s">
        <v>375</v>
      </c>
      <c r="B101" s="270"/>
      <c r="C101" s="270"/>
      <c r="D101" s="271"/>
      <c r="E101" s="281"/>
      <c r="F101" s="281"/>
      <c r="G101" s="281"/>
      <c r="H101" s="281"/>
      <c r="I101" s="281"/>
      <c r="J101" s="280"/>
      <c r="K101" s="270"/>
      <c r="L101" s="279"/>
      <c r="M101" s="281"/>
      <c r="N101" s="281"/>
      <c r="T101" s="269"/>
      <c r="U101" s="269"/>
      <c r="V101" s="269"/>
      <c r="W101" s="269"/>
      <c r="X101" s="269"/>
      <c r="Y101" s="269"/>
    </row>
    <row customHeight="true" ht="18.51851851851852" r="102">
      <c r="A102" s="270" t="s">
        <v>375</v>
      </c>
      <c r="B102" s="270"/>
      <c r="C102" s="270"/>
      <c r="D102" s="271"/>
      <c r="E102" s="281"/>
      <c r="F102" s="281"/>
      <c r="G102" s="281"/>
      <c r="H102" s="281"/>
      <c r="I102" s="281"/>
      <c r="J102" s="280"/>
      <c r="K102" s="270"/>
      <c r="L102" s="279"/>
      <c r="M102" s="281"/>
      <c r="N102" s="281"/>
      <c r="T102" s="269"/>
      <c r="U102" s="269"/>
      <c r="V102" s="269"/>
      <c r="W102" s="269"/>
      <c r="X102" s="269"/>
      <c r="Y102" s="269"/>
    </row>
    <row customHeight="true" ht="18.51851851851852" r="103">
      <c r="A103" s="270" t="s">
        <v>375</v>
      </c>
      <c r="B103" s="270"/>
      <c r="C103" s="270"/>
      <c r="D103" s="271"/>
      <c r="E103" s="281"/>
      <c r="F103" s="281"/>
      <c r="G103" s="281"/>
      <c r="H103" s="281"/>
      <c r="I103" s="281"/>
      <c r="J103" s="280"/>
      <c r="K103" s="270"/>
      <c r="L103" s="279"/>
      <c r="M103" s="281"/>
      <c r="N103" s="281"/>
      <c r="T103" s="269"/>
      <c r="U103" s="269"/>
      <c r="V103" s="269"/>
      <c r="W103" s="269"/>
      <c r="X103" s="269"/>
      <c r="Y103" s="269"/>
    </row>
    <row customHeight="true" ht="18.51851851851852" r="104">
      <c r="A104" s="270" t="s">
        <v>375</v>
      </c>
      <c r="B104" s="270"/>
      <c r="C104" s="270"/>
      <c r="D104" s="271"/>
      <c r="E104" s="281"/>
      <c r="F104" s="281"/>
      <c r="G104" s="281"/>
      <c r="H104" s="281"/>
      <c r="I104" s="281"/>
      <c r="J104" s="280"/>
      <c r="K104" s="270"/>
      <c r="L104" s="279"/>
      <c r="M104" s="281"/>
      <c r="N104" s="281"/>
      <c r="T104" s="269"/>
      <c r="U104" s="269"/>
      <c r="V104" s="269"/>
      <c r="W104" s="269"/>
      <c r="X104" s="269"/>
      <c r="Y104" s="269"/>
    </row>
    <row customHeight="true" ht="18.51851851851852" r="105">
      <c r="A105" s="270" t="s">
        <v>375</v>
      </c>
      <c r="B105" s="270"/>
      <c r="C105" s="270"/>
      <c r="D105" s="271"/>
      <c r="E105" s="281"/>
      <c r="F105" s="281"/>
      <c r="G105" s="281"/>
      <c r="H105" s="281"/>
      <c r="I105" s="281"/>
      <c r="J105" s="280"/>
      <c r="K105" s="270"/>
      <c r="L105" s="279"/>
      <c r="M105" s="281"/>
      <c r="N105" s="281"/>
      <c r="T105" s="269"/>
      <c r="U105" s="269"/>
      <c r="V105" s="269"/>
      <c r="W105" s="269"/>
      <c r="X105" s="269"/>
      <c r="Y105" s="269"/>
    </row>
  </sheetData>
  <autoFilter ref="A1:Y105"/>
  <hyperlinks>
    <hyperlink ref="M2" display="https://www.amazon.de/-/en/gp/customer-reviews/R2TXX03FE6F4KN/ref=cm_cr_arp_d_rvw_ttl?ie=UTF8&amp;ASIN=B0F1F7J8V3" r:id="rId3"/>
  </hyperlinks>
  <legacy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>
      <pane state="frozen" topLeftCell="C6" xSplit="2" ySplit="5"/>
    </sheetView>
  </sheetViews>
  <sheetFormatPr defaultRowHeight="16"/>
  <cols>
    <col collapsed="false" customWidth="true" hidden="false" max="27" min="27" style="0" width="181.26666666666668"/>
    <col collapsed="false" customWidth="true" hidden="false" max="3" min="3" style="0" width="22.333333333333332"/>
    <col collapsed="false" customWidth="true" hidden="false" max="7" min="7" style="0" width="22.333333333333332"/>
    <col collapsed="false" customWidth="true" hidden="false" max="11" min="11" style="0" width="22.333333333333332"/>
    <col collapsed="false" customWidth="true" hidden="false" max="15" min="15" style="0" width="22.333333333333332"/>
    <col collapsed="false" customWidth="true" hidden="false" max="19" min="19" style="0" width="22.333333333333332"/>
    <col collapsed="false" customWidth="true" hidden="false" max="23" min="23" style="0" width="22.333333333333332"/>
    <col collapsed="false" customWidth="true" hidden="false" max="4" min="4" style="0" width="22.333333333333332"/>
    <col collapsed="false" customWidth="true" hidden="false" max="8" min="8" style="0" width="22.333333333333332"/>
    <col collapsed="false" customWidth="true" hidden="false" max="12" min="12" style="0" width="22.333333333333332"/>
    <col collapsed="false" customWidth="true" hidden="false" max="16" min="16" style="0" width="22.333333333333332"/>
    <col collapsed="false" customWidth="true" hidden="false" max="20" min="20" style="0" width="22.333333333333332"/>
    <col collapsed="false" customWidth="true" hidden="false" max="24" min="24" style="0" width="22.333333333333332"/>
    <col collapsed="false" customWidth="true" hidden="false" max="25" min="25" style="0" width="22.333333333333332"/>
    <col collapsed="false" customWidth="true" hidden="false" max="1" min="1" style="0" width="15.666666666666666"/>
    <col collapsed="false" customWidth="true" hidden="false" max="5" min="5" style="0" width="22.333333333333332"/>
    <col collapsed="false" customWidth="true" hidden="false" max="9" min="9" style="0" width="22.333333333333332"/>
    <col collapsed="false" customWidth="true" hidden="false" max="13" min="13" style="0" width="22.333333333333332"/>
    <col collapsed="false" customWidth="true" hidden="false" max="17" min="17" style="0" width="22.333333333333332"/>
    <col collapsed="false" customWidth="true" hidden="false" max="21" min="21" style="0" width="22.333333333333332"/>
    <col collapsed="false" customWidth="true" hidden="false" max="26" min="26" style="0" width="22.333333333333332"/>
    <col collapsed="false" customWidth="true" hidden="false" max="2" min="2" style="0" width="24.066666666666666"/>
    <col collapsed="false" customWidth="true" hidden="false" max="6" min="6" style="0" width="22.333333333333332"/>
    <col collapsed="false" customWidth="true" hidden="false" max="10" min="10" style="0" width="22.333333333333332"/>
    <col collapsed="false" customWidth="true" hidden="false" max="14" min="14" style="0" width="22.333333333333332"/>
    <col collapsed="false" customWidth="true" hidden="false" max="18" min="18" style="0" width="22.333333333333332"/>
    <col collapsed="false" customWidth="true" hidden="false" max="22" min="22" style="0" width="22.333333333333332"/>
  </cols>
  <sheetData>
    <row customHeight="true" ht="28.148148148148145" r="1">
      <c r="A1" s="283" t="s">
        <v>389</v>
      </c>
      <c r="B1" s="283"/>
      <c r="C1" s="284" t="s">
        <v>390</v>
      </c>
      <c r="D1" s="284"/>
      <c r="E1" s="284"/>
      <c r="F1" s="284"/>
      <c r="G1" s="285" t="s">
        <v>391</v>
      </c>
      <c r="H1" s="285"/>
      <c r="I1" s="285"/>
      <c r="J1" s="285"/>
      <c r="K1" s="286" t="s">
        <v>392</v>
      </c>
      <c r="L1" s="286"/>
      <c r="M1" s="286"/>
      <c r="N1" s="286"/>
      <c r="O1" s="287" t="s">
        <v>393</v>
      </c>
      <c r="P1" s="287"/>
      <c r="Q1" s="287"/>
      <c r="R1" s="287"/>
      <c r="S1" s="285" t="s">
        <v>394</v>
      </c>
      <c r="T1" s="285"/>
      <c r="U1" s="285"/>
      <c r="V1" s="285"/>
      <c r="W1" s="288" t="s">
        <v>395</v>
      </c>
      <c r="X1" s="288"/>
      <c r="Y1" s="288"/>
      <c r="Z1" s="288"/>
      <c r="AA1" s="289"/>
    </row>
    <row customHeight="true" ht="28.888888888888886" r="2">
      <c r="A2" s="283">
        <v>8</v>
      </c>
      <c r="B2" s="283"/>
      <c r="C2" s="290" t="s">
        <v>396</v>
      </c>
      <c r="D2" s="290"/>
      <c r="E2" s="290"/>
      <c r="F2" s="290"/>
      <c r="G2" s="291" t="s">
        <v>397</v>
      </c>
      <c r="H2" s="291"/>
      <c r="I2" s="291"/>
      <c r="J2" s="291"/>
      <c r="K2" s="292" t="s">
        <v>398</v>
      </c>
      <c r="L2" s="292"/>
      <c r="M2" s="292"/>
      <c r="N2" s="292"/>
      <c r="O2" s="293" t="s">
        <v>399</v>
      </c>
      <c r="P2" s="293"/>
      <c r="Q2" s="293"/>
      <c r="R2" s="293"/>
      <c r="S2" s="291" t="s">
        <v>399</v>
      </c>
      <c r="T2" s="291"/>
      <c r="U2" s="291"/>
      <c r="V2" s="291"/>
      <c r="W2" s="294" t="s">
        <v>399</v>
      </c>
      <c r="X2" s="294"/>
      <c r="Y2" s="294"/>
      <c r="Z2" s="294"/>
      <c r="AA2" s="295"/>
    </row>
    <row customHeight="true" ht="19.25925925925926" r="3">
      <c r="A3" s="296" t="s">
        <v>400</v>
      </c>
      <c r="B3" s="296"/>
      <c r="C3" s="284" t="s">
        <v>401</v>
      </c>
      <c r="D3" s="284" t="s">
        <v>402</v>
      </c>
      <c r="E3" s="284" t="s">
        <v>403</v>
      </c>
      <c r="F3" s="284" t="s">
        <v>404</v>
      </c>
      <c r="G3" s="285" t="s">
        <v>401</v>
      </c>
      <c r="H3" s="285" t="s">
        <v>402</v>
      </c>
      <c r="I3" s="285" t="s">
        <v>403</v>
      </c>
      <c r="J3" s="285" t="s">
        <v>404</v>
      </c>
      <c r="K3" s="286" t="s">
        <v>401</v>
      </c>
      <c r="L3" s="286" t="s">
        <v>402</v>
      </c>
      <c r="M3" s="286" t="s">
        <v>403</v>
      </c>
      <c r="N3" s="297" t="s">
        <v>404</v>
      </c>
      <c r="O3" s="287" t="s">
        <v>401</v>
      </c>
      <c r="P3" s="287" t="s">
        <v>402</v>
      </c>
      <c r="Q3" s="287" t="s">
        <v>403</v>
      </c>
      <c r="R3" s="287" t="s">
        <v>404</v>
      </c>
      <c r="S3" s="285" t="s">
        <v>401</v>
      </c>
      <c r="T3" s="285" t="s">
        <v>402</v>
      </c>
      <c r="U3" s="285" t="s">
        <v>403</v>
      </c>
      <c r="V3" s="285" t="s">
        <v>404</v>
      </c>
      <c r="W3" s="288" t="s">
        <v>401</v>
      </c>
      <c r="X3" s="288" t="s">
        <v>402</v>
      </c>
      <c r="Y3" s="288" t="s">
        <v>403</v>
      </c>
      <c r="Z3" s="288" t="s">
        <v>404</v>
      </c>
      <c r="AA3" s="289"/>
    </row>
    <row customHeight="true" ht="19.25925925925926" r="4">
      <c r="A4" s="296" t="s">
        <v>405</v>
      </c>
      <c r="B4" s="298" t="s">
        <v>406</v>
      </c>
      <c r="C4" s="299" t="s">
        <v>407</v>
      </c>
      <c r="D4" s="299" t="s">
        <v>408</v>
      </c>
      <c r="E4" s="299" t="s">
        <v>409</v>
      </c>
      <c r="F4" s="300" t="s">
        <v>410</v>
      </c>
      <c r="G4" s="301" t="s">
        <v>411</v>
      </c>
      <c r="H4" s="301" t="s">
        <v>412</v>
      </c>
      <c r="I4" s="301" t="s">
        <v>413</v>
      </c>
      <c r="J4" s="301" t="s">
        <v>414</v>
      </c>
      <c r="K4" s="302" t="s">
        <v>415</v>
      </c>
      <c r="L4" s="302" t="s">
        <v>416</v>
      </c>
      <c r="M4" s="302" t="s">
        <v>417</v>
      </c>
      <c r="N4" s="302" t="s">
        <v>418</v>
      </c>
      <c r="O4" s="303" t="s">
        <v>419</v>
      </c>
      <c r="P4" s="303" t="s">
        <v>420</v>
      </c>
      <c r="Q4" s="303" t="s">
        <v>421</v>
      </c>
      <c r="R4" s="303" t="s">
        <v>422</v>
      </c>
      <c r="S4" s="304" t="s">
        <v>423</v>
      </c>
      <c r="T4" s="304" t="s">
        <v>424</v>
      </c>
      <c r="U4" s="304" t="s">
        <v>425</v>
      </c>
      <c r="V4" s="304" t="s">
        <v>426</v>
      </c>
      <c r="W4" s="305" t="s">
        <v>427</v>
      </c>
      <c r="X4" s="305" t="s">
        <v>428</v>
      </c>
      <c r="Y4" s="305" t="s">
        <v>429</v>
      </c>
      <c r="Z4" s="305" t="s">
        <v>430</v>
      </c>
      <c r="AA4" s="289"/>
    </row>
    <row customHeight="true" ht="17.239052101417823" r="5">
      <c r="A5" s="296" t="s">
        <v>431</v>
      </c>
      <c r="B5" s="298" t="s">
        <v>432</v>
      </c>
      <c r="C5" s="306" t="s">
        <v>433</v>
      </c>
      <c r="D5" s="307"/>
      <c r="E5" s="307"/>
      <c r="F5" s="308"/>
      <c r="G5" s="309" t="s">
        <v>434</v>
      </c>
      <c r="H5" s="310"/>
      <c r="I5" s="310"/>
      <c r="J5" s="311"/>
      <c r="K5" s="309" t="s">
        <v>435</v>
      </c>
      <c r="L5" s="310"/>
      <c r="M5" s="310"/>
      <c r="N5" s="311"/>
      <c r="O5" s="312"/>
      <c r="P5" s="312"/>
      <c r="Q5" s="312"/>
      <c r="R5" s="312"/>
      <c r="S5" s="313"/>
      <c r="T5" s="313"/>
      <c r="U5" s="313"/>
      <c r="V5" s="313"/>
      <c r="W5" s="314"/>
      <c r="X5" s="314"/>
      <c r="Y5" s="314"/>
      <c r="Z5" s="314"/>
      <c r="AA5" s="289"/>
    </row>
    <row customHeight="true" ht="25.185185185185183" r="6">
      <c r="A6" s="315" t="s">
        <v>436</v>
      </c>
      <c r="B6" s="316" t="s">
        <v>437</v>
      </c>
      <c r="C6" s="317">
        <v>139.99</v>
      </c>
      <c r="D6" s="317">
        <v>139.99</v>
      </c>
      <c r="E6" s="317">
        <f>139.99*0.7</f>
      </c>
      <c r="F6" s="317">
        <f>139.99*0.7</f>
      </c>
      <c r="G6" s="317">
        <f>139.99*0.7</f>
      </c>
      <c r="H6" s="317">
        <f>139.99*0.7</f>
      </c>
      <c r="I6" s="317">
        <f>139.99*0.7</f>
      </c>
      <c r="J6" s="317">
        <f>139.99*0.7</f>
      </c>
      <c r="K6" s="317">
        <f>139.99*0.7</f>
      </c>
      <c r="L6" s="317">
        <f>139.99*0.7</f>
      </c>
      <c r="M6" s="317">
        <f>139.99*0.7</f>
      </c>
      <c r="N6" s="317">
        <f>139.99*0.7</f>
      </c>
      <c r="O6" s="317">
        <f>139.99*0.7</f>
      </c>
      <c r="P6" s="317">
        <f>139.99*0.7</f>
      </c>
      <c r="Q6" s="317">
        <f>139.99*0.7</f>
      </c>
      <c r="R6" s="317">
        <f>139.99*0.7</f>
      </c>
      <c r="S6" s="317">
        <f>139.99*0.7</f>
      </c>
      <c r="T6" s="317">
        <f>139.99*0.7</f>
      </c>
      <c r="U6" s="317">
        <f>139.99*0.7</f>
      </c>
      <c r="V6" s="317">
        <f>139.99*0.7</f>
      </c>
      <c r="W6" s="317">
        <f>139.99*0.7</f>
      </c>
      <c r="X6" s="317">
        <f>139.99*0.7</f>
      </c>
      <c r="Y6" s="317">
        <f>139.99*0.7</f>
      </c>
      <c r="Z6" s="317">
        <f>139.99*0.7</f>
      </c>
      <c r="AA6" s="318"/>
    </row>
    <row customHeight="true" ht="25.185185185185183" r="7">
      <c r="A7" s="315"/>
      <c r="B7" s="316" t="s">
        <v>438</v>
      </c>
      <c r="C7" s="319">
        <f>C6</f>
      </c>
      <c r="D7" s="320">
        <f>D6</f>
      </c>
      <c r="E7" s="319">
        <f>E6*1</f>
      </c>
      <c r="F7" s="319">
        <f>F6*0.9</f>
      </c>
      <c r="G7" s="319">
        <f>G6*0.9</f>
      </c>
      <c r="H7" s="319">
        <f>H6*0.9</f>
      </c>
      <c r="I7" s="319">
        <f>I6*0.9*0.8</f>
      </c>
      <c r="J7" s="319">
        <f>J6*0.9</f>
      </c>
      <c r="K7" s="319">
        <f>K6*0.9*0.8</f>
      </c>
      <c r="L7" s="319">
        <f>L6*0.9</f>
      </c>
      <c r="M7" s="319">
        <f>M6*0.9*0.8</f>
      </c>
      <c r="N7" s="319">
        <f>N6*0.9</f>
      </c>
      <c r="O7" s="319">
        <f>O6*0.9*0.8</f>
      </c>
      <c r="P7" s="319">
        <f>P6*0.9</f>
      </c>
      <c r="Q7" s="319">
        <f>Q6*0.9*0.8</f>
      </c>
      <c r="R7" s="319">
        <f>R6*0.9</f>
      </c>
      <c r="S7" s="319">
        <f>S6*0.9*0.8</f>
      </c>
      <c r="T7" s="319">
        <f>T6*0.9</f>
      </c>
      <c r="U7" s="319">
        <f>U6*0.9*0.8</f>
      </c>
      <c r="V7" s="319">
        <f>V6*0.9</f>
      </c>
      <c r="W7" s="319">
        <f>W6*0.9*0.8</f>
      </c>
      <c r="X7" s="319">
        <f>X6*0.9</f>
      </c>
      <c r="Y7" s="319">
        <f>Y6*0.9*0.8</f>
      </c>
      <c r="Z7" s="319">
        <f>Z6*0.9</f>
      </c>
      <c r="AA7" s="318"/>
    </row>
    <row customHeight="true" ht="25.185185185185183" r="8">
      <c r="A8" s="296" t="s">
        <v>439</v>
      </c>
      <c r="B8" s="321" t="s">
        <v>440</v>
      </c>
      <c r="C8" s="322">
        <v>162</v>
      </c>
      <c r="D8" s="322">
        <v>150</v>
      </c>
      <c r="E8" s="322">
        <v>140</v>
      </c>
      <c r="F8" s="322">
        <v>120</v>
      </c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289"/>
    </row>
    <row customHeight="true" ht="25.185185185185183" r="9">
      <c r="A9" s="296"/>
      <c r="B9" s="321" t="s">
        <v>441</v>
      </c>
      <c r="C9" s="323">
        <v>225</v>
      </c>
      <c r="D9" s="323">
        <v>115</v>
      </c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289"/>
    </row>
    <row customHeight="true" ht="25.185185185185183" r="10">
      <c r="A10" s="296" t="s">
        <v>442</v>
      </c>
      <c r="B10" s="324" t="s">
        <v>443</v>
      </c>
      <c r="C10" s="325">
        <v>0</v>
      </c>
      <c r="D10" s="325">
        <f>(D12-32)*D7*$A$2</f>
      </c>
      <c r="E10" s="325">
        <f>E12*E7*$A$2</f>
      </c>
      <c r="F10" s="325">
        <f>F12*F7*$A$2</f>
      </c>
      <c r="G10" s="325">
        <f>G12*G7*$A$2</f>
      </c>
      <c r="H10" s="325">
        <f>H12*H7*$A$2</f>
      </c>
      <c r="I10" s="325">
        <f>I12*I7*$A$2</f>
      </c>
      <c r="J10" s="325">
        <f>J12*J7*$A$2</f>
      </c>
      <c r="K10" s="325">
        <f>K12*K7*$A$2</f>
      </c>
      <c r="L10" s="325">
        <f>L12*L7*$A$2</f>
      </c>
      <c r="M10" s="325">
        <f>M12*M7*$A$2</f>
      </c>
      <c r="N10" s="325">
        <f>N12*N7*$A$2</f>
      </c>
      <c r="O10" s="325">
        <f>O12*O7*$A$2</f>
      </c>
      <c r="P10" s="325">
        <f>P12*P7*$A$2</f>
      </c>
      <c r="Q10" s="325">
        <f>Q12*Q7*$A$2</f>
      </c>
      <c r="R10" s="325">
        <f>R12*R7*$A$2</f>
      </c>
      <c r="S10" s="325">
        <f>S12*S7*$A$2</f>
      </c>
      <c r="T10" s="325">
        <f>T12*T7*$A$2</f>
      </c>
      <c r="U10" s="325">
        <f>U12*U7*$A$2</f>
      </c>
      <c r="V10" s="325">
        <f>V12*V7*$A$2</f>
      </c>
      <c r="W10" s="325">
        <f>W12*W7*$A$2</f>
      </c>
      <c r="X10" s="325">
        <f>X12*X7*$A$2</f>
      </c>
      <c r="Y10" s="325">
        <f>Y12*Y7*$A$2</f>
      </c>
      <c r="Z10" s="325">
        <f>Z12*Z7*$A$2</f>
      </c>
      <c r="AA10" s="289"/>
    </row>
    <row customHeight="true" ht="25.185185185185183" r="11">
      <c r="A11" s="296"/>
      <c r="B11" s="326" t="s">
        <v>444</v>
      </c>
      <c r="C11" s="327">
        <f>(C13-26)*C7*$A$2</f>
      </c>
      <c r="D11" s="325">
        <f>(D13-5)*D7*$A$2</f>
      </c>
      <c r="E11" s="327">
        <f>(E13)*E7*$A$2</f>
      </c>
      <c r="F11" s="327">
        <f>(F13)*F7*$A$2</f>
      </c>
      <c r="G11" s="327">
        <f>(G13)*G7*$A$2</f>
      </c>
      <c r="H11" s="327">
        <f>(H13)*H7*$A$2</f>
      </c>
      <c r="I11" s="327">
        <f>(I13)*I7*$A$2</f>
      </c>
      <c r="J11" s="327">
        <f>(J13)*J7*$A$2</f>
      </c>
      <c r="K11" s="327">
        <f>(K13)*K7*$A$2</f>
      </c>
      <c r="L11" s="327">
        <f>(L13)*L7*$A$2</f>
      </c>
      <c r="M11" s="327">
        <f>(M13)*M7*$A$2</f>
      </c>
      <c r="N11" s="327">
        <f>(N13)*N7*$A$2</f>
      </c>
      <c r="O11" s="327">
        <f>(O13)*O7*$A$2</f>
      </c>
      <c r="P11" s="327">
        <f>(P13)*P7*$A$2</f>
      </c>
      <c r="Q11" s="327">
        <f>(Q13)*Q7*$A$2</f>
      </c>
      <c r="R11" s="327">
        <f>(R13)*R7*$A$2</f>
      </c>
      <c r="S11" s="327">
        <f>(S13)*S7*$A$2</f>
      </c>
      <c r="T11" s="327">
        <f>(T13)*T7*$A$2</f>
      </c>
      <c r="U11" s="327">
        <f>(U13)*U7*$A$2</f>
      </c>
      <c r="V11" s="327">
        <f>(V13)*V7*$A$2</f>
      </c>
      <c r="W11" s="327">
        <f>(W13)*W7*$A$2</f>
      </c>
      <c r="X11" s="327">
        <f>(X13)*X7*$A$2</f>
      </c>
      <c r="Y11" s="327">
        <f>(Y13)*Y7*$A$2</f>
      </c>
      <c r="Z11" s="327">
        <f>(Z13)*Z7*$A$2</f>
      </c>
      <c r="AA11" s="289"/>
    </row>
    <row customHeight="true" ht="25.185185185185183" r="12">
      <c r="A12" s="296"/>
      <c r="B12" s="324" t="s">
        <v>445</v>
      </c>
      <c r="C12" s="322">
        <v>0</v>
      </c>
      <c r="D12" s="322">
        <v>38</v>
      </c>
      <c r="E12" s="322">
        <f>3+1+2</f>
      </c>
      <c r="F12" s="322">
        <v>29</v>
      </c>
      <c r="G12" s="322">
        <v>33</v>
      </c>
      <c r="H12" s="322">
        <v>40</v>
      </c>
      <c r="I12" s="322">
        <v>51</v>
      </c>
      <c r="J12" s="322">
        <v>54</v>
      </c>
      <c r="K12" s="322">
        <v>68</v>
      </c>
      <c r="L12" s="322">
        <v>70</v>
      </c>
      <c r="M12" s="322">
        <v>80</v>
      </c>
      <c r="N12" s="322">
        <v>90</v>
      </c>
      <c r="O12" s="322">
        <v>100</v>
      </c>
      <c r="P12" s="322">
        <v>110</v>
      </c>
      <c r="Q12" s="322">
        <v>120</v>
      </c>
      <c r="R12" s="322">
        <v>130</v>
      </c>
      <c r="S12" s="322">
        <v>140</v>
      </c>
      <c r="T12" s="322">
        <v>140</v>
      </c>
      <c r="U12" s="322">
        <v>150</v>
      </c>
      <c r="V12" s="322">
        <v>150</v>
      </c>
      <c r="W12" s="322">
        <v>160</v>
      </c>
      <c r="X12" s="322">
        <v>160</v>
      </c>
      <c r="Y12" s="322">
        <v>170</v>
      </c>
      <c r="Z12" s="322">
        <v>170</v>
      </c>
      <c r="AA12" s="289"/>
    </row>
    <row customHeight="true" ht="25.185185185185183" r="13">
      <c r="A13" s="296"/>
      <c r="B13" s="326" t="s">
        <v>446</v>
      </c>
      <c r="C13" s="327">
        <v>28</v>
      </c>
      <c r="D13" s="327">
        <v>15</v>
      </c>
      <c r="E13" s="327">
        <v>8</v>
      </c>
      <c r="F13" s="327">
        <v>29</v>
      </c>
      <c r="G13" s="327"/>
      <c r="H13" s="327"/>
      <c r="I13" s="327"/>
      <c r="J13" s="327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289"/>
    </row>
    <row customHeight="true" ht="25.185185185185183" r="14">
      <c r="A14" s="296"/>
      <c r="B14" s="328" t="s">
        <v>447</v>
      </c>
      <c r="C14" s="325">
        <f t="shared" ref="C14:C15" si="97">C12/7</f>
      </c>
      <c r="D14" s="325">
        <f t="shared" ref="D14:D15" si="98">D12/7</f>
      </c>
      <c r="E14" s="325">
        <f t="shared" ref="E14:E15" si="99">E12/7</f>
      </c>
      <c r="F14" s="325">
        <f t="shared" ref="F14:F15" si="100">F12/7</f>
      </c>
      <c r="G14" s="325">
        <f t="shared" ref="G14:G15" si="101">G12/7</f>
      </c>
      <c r="H14" s="325">
        <f t="shared" ref="H14:H15" si="102">H12/7</f>
      </c>
      <c r="I14" s="325">
        <f t="shared" ref="I14:I15" si="103">I12/7</f>
      </c>
      <c r="J14" s="325">
        <f t="shared" ref="J14:J15" si="104">J12/7</f>
      </c>
      <c r="K14" s="325">
        <f t="shared" ref="K14:K15" si="105">K12/7</f>
      </c>
      <c r="L14" s="325">
        <f t="shared" ref="L14:L15" si="106">L12/7</f>
      </c>
      <c r="M14" s="325">
        <f t="shared" ref="M14:M15" si="107">M12/7</f>
      </c>
      <c r="N14" s="325">
        <f t="shared" ref="N14:N15" si="108">N12/7</f>
      </c>
      <c r="O14" s="325">
        <f t="shared" ref="O14:O15" si="109">O12/7</f>
      </c>
      <c r="P14" s="325">
        <f t="shared" ref="P14:P15" si="110">P12/7</f>
      </c>
      <c r="Q14" s="325">
        <f t="shared" ref="Q14:Q15" si="111">Q12/7</f>
      </c>
      <c r="R14" s="325">
        <f t="shared" ref="R14:R15" si="112">R12/7</f>
      </c>
      <c r="S14" s="325">
        <f t="shared" ref="S14:S15" si="113">S12/7</f>
      </c>
      <c r="T14" s="325">
        <f t="shared" ref="T14:T15" si="114">T12/7</f>
      </c>
      <c r="U14" s="325">
        <f t="shared" ref="U14:U15" si="115">U12/7</f>
      </c>
      <c r="V14" s="325">
        <f t="shared" ref="V14:V15" si="116">V12/7</f>
      </c>
      <c r="W14" s="325">
        <f t="shared" ref="W14:W15" si="117">W12/7</f>
      </c>
      <c r="X14" s="325">
        <f t="shared" ref="X14:X15" si="118">X12/7</f>
      </c>
      <c r="Y14" s="325">
        <f t="shared" ref="Y14:Y15" si="119">Y12/7</f>
      </c>
      <c r="Z14" s="325">
        <f t="shared" ref="Z14:Z15" si="120">Z12/7</f>
      </c>
      <c r="AA14" s="289"/>
    </row>
    <row customHeight="true" ht="25.185185185185183" r="15">
      <c r="A15" s="296"/>
      <c r="B15" s="328" t="s">
        <v>448</v>
      </c>
      <c r="C15" s="325">
        <f t="shared" si="97"/>
      </c>
      <c r="D15" s="325">
        <f t="shared" si="98"/>
      </c>
      <c r="E15" s="325">
        <f t="shared" si="99"/>
      </c>
      <c r="F15" s="325">
        <f t="shared" si="100"/>
      </c>
      <c r="G15" s="325">
        <f t="shared" si="101"/>
      </c>
      <c r="H15" s="325">
        <f t="shared" si="102"/>
      </c>
      <c r="I15" s="325">
        <f t="shared" si="103"/>
      </c>
      <c r="J15" s="325">
        <f t="shared" si="104"/>
      </c>
      <c r="K15" s="325">
        <f t="shared" si="105"/>
      </c>
      <c r="L15" s="325">
        <f t="shared" si="106"/>
      </c>
      <c r="M15" s="325">
        <f t="shared" si="107"/>
      </c>
      <c r="N15" s="325">
        <f t="shared" si="108"/>
      </c>
      <c r="O15" s="325">
        <f t="shared" si="109"/>
      </c>
      <c r="P15" s="325">
        <f t="shared" si="110"/>
      </c>
      <c r="Q15" s="325">
        <f t="shared" si="111"/>
      </c>
      <c r="R15" s="325">
        <f t="shared" si="112"/>
      </c>
      <c r="S15" s="325">
        <f t="shared" si="113"/>
      </c>
      <c r="T15" s="325">
        <f t="shared" si="114"/>
      </c>
      <c r="U15" s="325">
        <f t="shared" si="115"/>
      </c>
      <c r="V15" s="325">
        <f t="shared" si="116"/>
      </c>
      <c r="W15" s="325">
        <f t="shared" si="117"/>
      </c>
      <c r="X15" s="325">
        <f t="shared" si="118"/>
      </c>
      <c r="Y15" s="325">
        <f t="shared" si="119"/>
      </c>
      <c r="Z15" s="325">
        <f t="shared" si="120"/>
      </c>
      <c r="AA15" s="289"/>
    </row>
    <row customHeight="true" ht="25.185185185185183" r="16">
      <c r="A16" s="296"/>
      <c r="B16" s="324" t="s">
        <v>449</v>
      </c>
      <c r="C16" s="325" t="s">
        <v>450</v>
      </c>
      <c r="D16" s="325" t="s">
        <v>450</v>
      </c>
      <c r="E16" s="325" t="s">
        <v>450</v>
      </c>
      <c r="F16" s="325" t="s">
        <v>450</v>
      </c>
      <c r="G16" s="325" t="s">
        <v>450</v>
      </c>
      <c r="H16" s="325" t="s">
        <v>450</v>
      </c>
      <c r="I16" s="325" t="s">
        <v>450</v>
      </c>
      <c r="J16" s="325" t="s">
        <v>450</v>
      </c>
      <c r="K16" s="325" t="s">
        <v>450</v>
      </c>
      <c r="L16" s="325" t="s">
        <v>450</v>
      </c>
      <c r="M16" s="325" t="s">
        <v>450</v>
      </c>
      <c r="N16" s="325" t="s">
        <v>450</v>
      </c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289"/>
    </row>
    <row customHeight="true" ht="25.185185185185183" r="17">
      <c r="A17" s="296"/>
      <c r="B17" s="324" t="s">
        <v>451</v>
      </c>
      <c r="C17" s="327" t="s">
        <v>450</v>
      </c>
      <c r="D17" s="327" t="s">
        <v>450</v>
      </c>
      <c r="E17" s="327" t="s">
        <v>450</v>
      </c>
      <c r="F17" s="327" t="s">
        <v>450</v>
      </c>
      <c r="G17" s="327" t="s">
        <v>450</v>
      </c>
      <c r="H17" s="327" t="s">
        <v>450</v>
      </c>
      <c r="I17" s="327" t="s">
        <v>450</v>
      </c>
      <c r="J17" s="327" t="s">
        <v>450</v>
      </c>
      <c r="K17" s="327" t="s">
        <v>450</v>
      </c>
      <c r="L17" s="327" t="s">
        <v>450</v>
      </c>
      <c r="M17" s="327" t="s">
        <v>450</v>
      </c>
      <c r="N17" s="327" t="s">
        <v>450</v>
      </c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289"/>
    </row>
    <row customHeight="true" ht="25.185185185185183" r="18">
      <c r="A18" s="296" t="s">
        <v>452</v>
      </c>
      <c r="B18" s="328" t="s">
        <v>453</v>
      </c>
      <c r="C18" s="329">
        <f>C10-C28-C46</f>
      </c>
      <c r="D18" s="329">
        <f>D10-D28-D46</f>
      </c>
      <c r="E18" s="329">
        <f>E10-E28-E46</f>
      </c>
      <c r="F18" s="329">
        <f>F10-F28-F46</f>
      </c>
      <c r="G18" s="329">
        <f>G10-G28-G46</f>
      </c>
      <c r="H18" s="329">
        <f>H10-H28-H46</f>
      </c>
      <c r="I18" s="329">
        <f>I10-I28-I46</f>
      </c>
      <c r="J18" s="329">
        <f>J10-J28-J46</f>
      </c>
      <c r="K18" s="329">
        <f>K10-K28-K46</f>
      </c>
      <c r="L18" s="329">
        <f>L10-L28-L46</f>
      </c>
      <c r="M18" s="329">
        <f>M10-M28-M46</f>
      </c>
      <c r="N18" s="329">
        <f>N10-N28-N46</f>
      </c>
      <c r="O18" s="329">
        <f>O10-O28-O46</f>
      </c>
      <c r="P18" s="329">
        <f>P10-P28-P46</f>
      </c>
      <c r="Q18" s="329">
        <f>Q10-Q28-Q46</f>
      </c>
      <c r="R18" s="329">
        <f>R10-R28-R46</f>
      </c>
      <c r="S18" s="329">
        <f>S10-S28-S46</f>
      </c>
      <c r="T18" s="329">
        <f>T10-T28-T46</f>
      </c>
      <c r="U18" s="329">
        <f>U10-U28-U46</f>
      </c>
      <c r="V18" s="329">
        <f>V10-V28-V46</f>
      </c>
      <c r="W18" s="329">
        <f>W10-W28-W46</f>
      </c>
      <c r="X18" s="329">
        <f>X10-X28-X46</f>
      </c>
      <c r="Y18" s="329">
        <f>Y10-Y28-Y46</f>
      </c>
      <c r="Z18" s="329">
        <f>Z10-Z28-Z46</f>
      </c>
      <c r="AA18" s="289"/>
    </row>
    <row customHeight="true" ht="25.185185185185183" r="19">
      <c r="A19" s="296"/>
      <c r="B19" s="328" t="s">
        <v>454</v>
      </c>
      <c r="C19" s="330">
        <f>C11-C29-C55</f>
      </c>
      <c r="D19" s="330">
        <f>D11-D29-D55</f>
      </c>
      <c r="E19" s="330">
        <f>E11-E29-E55</f>
      </c>
      <c r="F19" s="330">
        <f>F11-F29-F55</f>
      </c>
      <c r="G19" s="330">
        <f>G11-G29-G55</f>
      </c>
      <c r="H19" s="330">
        <f>H11-H29-H55</f>
      </c>
      <c r="I19" s="330">
        <f>I11-I29-I55</f>
      </c>
      <c r="J19" s="330">
        <f>J11-J29-J55</f>
      </c>
      <c r="K19" s="330">
        <f>K11-K29-K55</f>
      </c>
      <c r="L19" s="330">
        <f>L11-L29-L55</f>
      </c>
      <c r="M19" s="330">
        <f>M11-M29-M55</f>
      </c>
      <c r="N19" s="330">
        <f>N11-N29-N55</f>
      </c>
      <c r="O19" s="330">
        <f>O11-O29-O55</f>
      </c>
      <c r="P19" s="330">
        <f>P11-P29-P55</f>
      </c>
      <c r="Q19" s="330">
        <f>Q11-Q29-Q55</f>
      </c>
      <c r="R19" s="330">
        <f>R11-R29-R55</f>
      </c>
      <c r="S19" s="330">
        <f>S11-S29-S55</f>
      </c>
      <c r="T19" s="330">
        <f>T11-T29-T55</f>
      </c>
      <c r="U19" s="330">
        <f>U11-U29-U55</f>
      </c>
      <c r="V19" s="330">
        <f>V11-V29-V55</f>
      </c>
      <c r="W19" s="330">
        <f>W11-W29-W55</f>
      </c>
      <c r="X19" s="330">
        <f>X11-X29-X55</f>
      </c>
      <c r="Y19" s="330">
        <f>Y11-Y29-Y55</f>
      </c>
      <c r="Z19" s="330">
        <f>Z11-Z29-Z55</f>
      </c>
      <c r="AA19" s="289"/>
    </row>
    <row customHeight="true" ht="25.185185185185183" r="20">
      <c r="A20" s="296"/>
      <c r="B20" s="331" t="s">
        <v>455</v>
      </c>
      <c r="C20" s="332">
        <f t="shared" ref="C20:C21" si="49">C18/C10</f>
      </c>
      <c r="D20" s="332">
        <f t="shared" ref="D20:D21" si="50">D18/D10</f>
      </c>
      <c r="E20" s="332">
        <f t="shared" ref="E20:E21" si="51">E18/E10</f>
      </c>
      <c r="F20" s="332">
        <f t="shared" ref="F20:F21" si="52">F18/F10</f>
      </c>
      <c r="G20" s="332">
        <f t="shared" ref="G20:G21" si="53">G18/G10</f>
      </c>
      <c r="H20" s="332">
        <f t="shared" ref="H20:H21" si="54">H18/H10</f>
      </c>
      <c r="I20" s="332">
        <f t="shared" ref="I20:I21" si="55">I18/I10</f>
      </c>
      <c r="J20" s="332">
        <f t="shared" ref="J20:J21" si="56">J18/J10</f>
      </c>
      <c r="K20" s="332">
        <f t="shared" ref="K20:K21" si="57">K18/K10</f>
      </c>
      <c r="L20" s="332">
        <f t="shared" ref="L20:L21" si="58">L18/L10</f>
      </c>
      <c r="M20" s="332">
        <f t="shared" ref="M20:M21" si="59">M18/M10</f>
      </c>
      <c r="N20" s="332">
        <f t="shared" ref="N20:N21" si="60">N18/N10</f>
      </c>
      <c r="O20" s="332">
        <f t="shared" ref="O20:O21" si="61">O18/O10</f>
      </c>
      <c r="P20" s="332">
        <f t="shared" ref="P20:P21" si="62">P18/P10</f>
      </c>
      <c r="Q20" s="332">
        <f t="shared" ref="Q20:Q21" si="63">Q18/Q10</f>
      </c>
      <c r="R20" s="332">
        <f t="shared" ref="R20:R21" si="64">R18/R10</f>
      </c>
      <c r="S20" s="332">
        <f t="shared" ref="S20:S21" si="65">S18/S10</f>
      </c>
      <c r="T20" s="332">
        <f t="shared" ref="T20:T21" si="66">T18/T10</f>
      </c>
      <c r="U20" s="332">
        <f t="shared" ref="U20:U21" si="67">U18/U10</f>
      </c>
      <c r="V20" s="332">
        <f t="shared" ref="V20:V21" si="68">V18/V10</f>
      </c>
      <c r="W20" s="332">
        <f t="shared" ref="W20:W21" si="69">W18/W10</f>
      </c>
      <c r="X20" s="332">
        <f t="shared" ref="X20:X21" si="70">X18/X10</f>
      </c>
      <c r="Y20" s="332">
        <f t="shared" ref="Y20:Y21" si="71">Y18/Y10</f>
      </c>
      <c r="Z20" s="332">
        <f t="shared" ref="Z20:Z21" si="72">Z18/Z10</f>
      </c>
      <c r="AA20" s="289"/>
    </row>
    <row customHeight="true" ht="25.185185185185183" r="21">
      <c r="A21" s="296"/>
      <c r="B21" s="331" t="s">
        <v>456</v>
      </c>
      <c r="C21" s="333">
        <f t="shared" si="49"/>
      </c>
      <c r="D21" s="333">
        <f t="shared" si="50"/>
      </c>
      <c r="E21" s="333">
        <f t="shared" si="51"/>
      </c>
      <c r="F21" s="333">
        <f t="shared" si="52"/>
      </c>
      <c r="G21" s="333">
        <f t="shared" si="53"/>
      </c>
      <c r="H21" s="333">
        <f t="shared" si="54"/>
      </c>
      <c r="I21" s="333">
        <f t="shared" si="55"/>
      </c>
      <c r="J21" s="333">
        <f t="shared" si="56"/>
      </c>
      <c r="K21" s="333">
        <f t="shared" si="57"/>
      </c>
      <c r="L21" s="333">
        <f t="shared" si="58"/>
      </c>
      <c r="M21" s="333">
        <f t="shared" si="59"/>
      </c>
      <c r="N21" s="333">
        <f t="shared" si="60"/>
      </c>
      <c r="O21" s="333">
        <f t="shared" si="61"/>
      </c>
      <c r="P21" s="333">
        <f t="shared" si="62"/>
      </c>
      <c r="Q21" s="333">
        <f t="shared" si="63"/>
      </c>
      <c r="R21" s="333">
        <f t="shared" si="64"/>
      </c>
      <c r="S21" s="333">
        <f t="shared" si="65"/>
      </c>
      <c r="T21" s="333">
        <f t="shared" si="66"/>
      </c>
      <c r="U21" s="333">
        <f t="shared" si="67"/>
      </c>
      <c r="V21" s="333">
        <f t="shared" si="68"/>
      </c>
      <c r="W21" s="333">
        <f t="shared" si="69"/>
      </c>
      <c r="X21" s="333">
        <f t="shared" si="70"/>
      </c>
      <c r="Y21" s="333">
        <f t="shared" si="71"/>
      </c>
      <c r="Z21" s="333">
        <f t="shared" si="72"/>
      </c>
      <c r="AA21" s="289"/>
    </row>
    <row customHeight="true" ht="25.185185185185183" r="22">
      <c r="A22" s="296" t="s">
        <v>457</v>
      </c>
      <c r="B22" s="334" t="s">
        <v>458</v>
      </c>
      <c r="C22" s="325">
        <v>0</v>
      </c>
      <c r="D22" s="325">
        <v>0</v>
      </c>
      <c r="E22" s="325">
        <v>0</v>
      </c>
      <c r="F22" s="325">
        <f>4*15*7*$A$2</f>
      </c>
      <c r="G22" s="325">
        <f>4*20*7*$A$2</f>
      </c>
      <c r="H22" s="325">
        <f>4*25*7*$A$2</f>
      </c>
      <c r="I22" s="325">
        <f>4*50*7*$A$2</f>
      </c>
      <c r="J22" s="325">
        <f>4*50*7*$A$2</f>
      </c>
      <c r="K22" s="325">
        <f>4*60*7*$A$2</f>
      </c>
      <c r="L22" s="325">
        <f>4*50*7*$A$2</f>
      </c>
      <c r="M22" s="325">
        <f>4*60*7*$A$2</f>
      </c>
      <c r="N22" s="325">
        <f>4*50*7*$A$2</f>
      </c>
      <c r="O22" s="325">
        <f>4*60*7*$A$2</f>
      </c>
      <c r="P22" s="325">
        <f>4*50*7*$A$2</f>
      </c>
      <c r="Q22" s="325">
        <f>4*60*7*$A$2</f>
      </c>
      <c r="R22" s="325">
        <f>4*50*7*$A$2</f>
      </c>
      <c r="S22" s="325">
        <f>4*60*7*$A$2</f>
      </c>
      <c r="T22" s="325">
        <f>4*50*7*$A$2</f>
      </c>
      <c r="U22" s="325">
        <f>4*60*7*$A$2</f>
      </c>
      <c r="V22" s="325">
        <f>4*50*7*$A$2</f>
      </c>
      <c r="W22" s="325">
        <f>4*60*7*$A$2</f>
      </c>
      <c r="X22" s="325">
        <f>4*50*7*$A$2</f>
      </c>
      <c r="Y22" s="325">
        <f>4*60*7*$A$2</f>
      </c>
      <c r="Z22" s="325">
        <f>4*50*7*$A$2</f>
      </c>
      <c r="AA22" s="289"/>
    </row>
    <row customHeight="true" ht="25.185185185185183" r="23">
      <c r="A23" s="296"/>
      <c r="B23" s="334" t="s">
        <v>459</v>
      </c>
      <c r="C23" s="327">
        <v>0</v>
      </c>
      <c r="D23" s="327">
        <f>5.45*A2</f>
      </c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7"/>
      <c r="W23" s="327"/>
      <c r="X23" s="327"/>
      <c r="Y23" s="327"/>
      <c r="Z23" s="327"/>
      <c r="AA23" s="289"/>
    </row>
    <row customHeight="true" ht="25.185185185185183" r="24">
      <c r="A24" s="296"/>
      <c r="B24" s="334" t="s">
        <v>460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Z24" s="329">
        <v>0</v>
      </c>
      <c r="AA24" s="289"/>
    </row>
    <row customHeight="true" ht="25.185185185185183" r="25">
      <c r="A25" s="296"/>
      <c r="B25" s="334" t="s">
        <v>461</v>
      </c>
      <c r="C25" s="330">
        <v>0</v>
      </c>
      <c r="D25" s="327">
        <v>0</v>
      </c>
      <c r="E25" s="330">
        <v>0</v>
      </c>
      <c r="F25" s="327">
        <v>0</v>
      </c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7"/>
      <c r="AA25" s="289"/>
    </row>
    <row customHeight="true" ht="25.185185185185183" r="26">
      <c r="A26" s="296"/>
      <c r="B26" s="334" t="s">
        <v>462</v>
      </c>
      <c r="C26" s="329">
        <f>1*30</f>
      </c>
      <c r="D26" s="329">
        <f>3*70*A2+4*120+2*60+6*D7*A2</f>
      </c>
      <c r="E26" s="329">
        <f>6*60+6*E7*$A$2</f>
      </c>
      <c r="F26" s="329">
        <f>6*60+6*F7*$A$2</f>
      </c>
      <c r="G26" s="329">
        <f>3*60+3*G7*$A$2</f>
      </c>
      <c r="H26" s="329">
        <f>3*60+3*H7*$A$2</f>
      </c>
      <c r="I26" s="329">
        <f>3*60+3*I7*$A$2</f>
      </c>
      <c r="J26" s="329">
        <v>0</v>
      </c>
      <c r="K26" s="329">
        <v>0</v>
      </c>
      <c r="L26" s="329">
        <v>0</v>
      </c>
      <c r="M26" s="329">
        <v>0</v>
      </c>
      <c r="N26" s="329">
        <v>0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0</v>
      </c>
      <c r="U26" s="329">
        <v>0</v>
      </c>
      <c r="V26" s="329">
        <v>0</v>
      </c>
      <c r="W26" s="329">
        <v>0</v>
      </c>
      <c r="X26" s="329">
        <v>0</v>
      </c>
      <c r="Y26" s="329">
        <v>0</v>
      </c>
      <c r="Z26" s="329">
        <v>0</v>
      </c>
      <c r="AA26" s="289"/>
    </row>
    <row customHeight="true" ht="25.185185185185183" r="27">
      <c r="A27" s="296"/>
      <c r="B27" s="334" t="s">
        <v>463</v>
      </c>
      <c r="C27" s="329">
        <f>4*30+28*6.6*A2+28*0.4*A2+2*C7*A2+2*60</f>
      </c>
      <c r="D27" s="335">
        <f>5*7*A2+10*60+10*D7*A2</f>
      </c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289"/>
    </row>
    <row customHeight="true" ht="25.185185185185183" r="28">
      <c r="A28" s="296"/>
      <c r="B28" s="336" t="s">
        <v>464</v>
      </c>
      <c r="C28" s="325">
        <f t="shared" ref="C28:C29" si="121">C22+C24+C26</f>
      </c>
      <c r="D28" s="325">
        <f t="shared" ref="D28:D29" si="122">D22+D24+D26</f>
      </c>
      <c r="E28" s="325">
        <f t="shared" ref="E28:E29" si="123">E22+E24+E26</f>
      </c>
      <c r="F28" s="325">
        <f t="shared" ref="F28:F29" si="124">F22+F24+F26</f>
      </c>
      <c r="G28" s="325">
        <f t="shared" ref="G28:G29" si="125">G22+G24+G26</f>
      </c>
      <c r="H28" s="325">
        <f t="shared" ref="H28:H29" si="126">H22+H24+H26</f>
      </c>
      <c r="I28" s="325">
        <f t="shared" ref="I28:I29" si="127">I22+I24+I26</f>
      </c>
      <c r="J28" s="325">
        <f t="shared" ref="J28:J29" si="128">J22+J24+J26</f>
      </c>
      <c r="K28" s="325">
        <f t="shared" ref="K28:K29" si="129">K22+K24+K26</f>
      </c>
      <c r="L28" s="325">
        <f t="shared" ref="L28:L29" si="130">L22+L24+L26</f>
      </c>
      <c r="M28" s="325">
        <f t="shared" ref="M28:M29" si="131">M22+M24+M26</f>
      </c>
      <c r="N28" s="325">
        <f t="shared" ref="N28:N29" si="132">N22+N24+N26</f>
      </c>
      <c r="O28" s="325">
        <f t="shared" ref="O28:O29" si="133">O22+O24+O26</f>
      </c>
      <c r="P28" s="325">
        <f t="shared" ref="P28:P29" si="134">P22+P24+P26</f>
      </c>
      <c r="Q28" s="325">
        <f t="shared" ref="Q28:Q29" si="135">Q22+Q24+Q26</f>
      </c>
      <c r="R28" s="325">
        <f t="shared" ref="R28:R29" si="136">R22+R24+R26</f>
      </c>
      <c r="S28" s="325">
        <f t="shared" ref="S28:S29" si="137">S22+S24+S26</f>
      </c>
      <c r="T28" s="325">
        <f t="shared" ref="T28:T29" si="138">T22+T24+T26</f>
      </c>
      <c r="U28" s="325">
        <f t="shared" ref="U28:U29" si="139">U22+U24+U26</f>
      </c>
      <c r="V28" s="325">
        <f t="shared" ref="V28:V29" si="140">V22+V24+V26</f>
      </c>
      <c r="W28" s="325">
        <f t="shared" ref="W28:W29" si="141">W22+W24+W26</f>
      </c>
      <c r="X28" s="325">
        <f t="shared" ref="X28:X29" si="142">X22+X24+X26</f>
      </c>
      <c r="Y28" s="325">
        <f t="shared" ref="Y28:Y29" si="143">Y22+Y24+Y26</f>
      </c>
      <c r="Z28" s="325">
        <f t="shared" ref="Z28:Z29" si="144">Z22+Z24+Z26</f>
      </c>
      <c r="AA28" s="289"/>
    </row>
    <row customHeight="true" ht="25.185185185185183" r="29">
      <c r="A29" s="296"/>
      <c r="B29" s="336" t="s">
        <v>465</v>
      </c>
      <c r="C29" s="322">
        <f t="shared" si="121"/>
      </c>
      <c r="D29" s="322">
        <f t="shared" si="122"/>
      </c>
      <c r="E29" s="322">
        <f t="shared" si="123"/>
      </c>
      <c r="F29" s="322">
        <f t="shared" si="124"/>
      </c>
      <c r="G29" s="322">
        <f t="shared" si="125"/>
      </c>
      <c r="H29" s="322">
        <f t="shared" si="126"/>
      </c>
      <c r="I29" s="322">
        <f t="shared" si="127"/>
      </c>
      <c r="J29" s="322">
        <f t="shared" si="128"/>
      </c>
      <c r="K29" s="322">
        <f t="shared" si="129"/>
      </c>
      <c r="L29" s="322">
        <f t="shared" si="130"/>
      </c>
      <c r="M29" s="322">
        <f t="shared" si="131"/>
      </c>
      <c r="N29" s="322">
        <f t="shared" si="132"/>
      </c>
      <c r="O29" s="322">
        <f t="shared" si="133"/>
      </c>
      <c r="P29" s="322">
        <f t="shared" si="134"/>
      </c>
      <c r="Q29" s="322">
        <f t="shared" si="135"/>
      </c>
      <c r="R29" s="322">
        <f t="shared" si="136"/>
      </c>
      <c r="S29" s="322">
        <f t="shared" si="137"/>
      </c>
      <c r="T29" s="322">
        <f t="shared" si="138"/>
      </c>
      <c r="U29" s="322">
        <f t="shared" si="139"/>
      </c>
      <c r="V29" s="322">
        <f t="shared" si="140"/>
      </c>
      <c r="W29" s="322">
        <f t="shared" si="141"/>
      </c>
      <c r="X29" s="322">
        <f t="shared" si="142"/>
      </c>
      <c r="Y29" s="322">
        <f t="shared" si="143"/>
      </c>
      <c r="Z29" s="322">
        <f t="shared" si="144"/>
      </c>
      <c r="AA29" s="289"/>
    </row>
    <row customHeight="true" ht="25.185185185185183" r="30">
      <c r="A30" s="296" t="s">
        <v>466</v>
      </c>
      <c r="B30" s="337" t="s">
        <v>467</v>
      </c>
      <c r="C30" s="338">
        <f t="shared" ref="C30:C31" si="24">C22/C10</f>
      </c>
      <c r="D30" s="338">
        <f t="shared" ref="D30:D31" si="25">D22/D10</f>
      </c>
      <c r="E30" s="338">
        <f t="shared" ref="E30:E31" si="26">E22/E10</f>
      </c>
      <c r="F30" s="338">
        <f t="shared" ref="F30:F31" si="27">F22/F10</f>
      </c>
      <c r="G30" s="338">
        <f t="shared" ref="G30:G31" si="28">G22/G10</f>
      </c>
      <c r="H30" s="338">
        <f t="shared" ref="H30:H31" si="29">H22/H10</f>
      </c>
      <c r="I30" s="338">
        <f t="shared" ref="I30:I31" si="30">I22/I10</f>
      </c>
      <c r="J30" s="338">
        <f t="shared" ref="J30:J31" si="31">J22/J10</f>
      </c>
      <c r="K30" s="338">
        <f t="shared" ref="K30:K31" si="32">K22/K10</f>
      </c>
      <c r="L30" s="338">
        <f t="shared" ref="L30:L31" si="33">L22/L10</f>
      </c>
      <c r="M30" s="338">
        <f t="shared" ref="M30:M31" si="34">M22/M10</f>
      </c>
      <c r="N30" s="338">
        <f t="shared" ref="N30:N31" si="35">N22/N10</f>
      </c>
      <c r="O30" s="338">
        <f t="shared" ref="O30:O31" si="36">O22/O10</f>
      </c>
      <c r="P30" s="338">
        <f t="shared" ref="P30:P31" si="37">P22/P10</f>
      </c>
      <c r="Q30" s="338">
        <f t="shared" ref="Q30:Q31" si="38">Q22/Q10</f>
      </c>
      <c r="R30" s="338">
        <f t="shared" ref="R30:R31" si="39">R22/R10</f>
      </c>
      <c r="S30" s="338">
        <f t="shared" ref="S30:S31" si="40">S22/S10</f>
      </c>
      <c r="T30" s="338">
        <f t="shared" ref="T30:T31" si="41">T22/T10</f>
      </c>
      <c r="U30" s="338">
        <f t="shared" ref="U30:U31" si="42">U22/U10</f>
      </c>
      <c r="V30" s="338">
        <f t="shared" ref="V30:V31" si="43">V22/V10</f>
      </c>
      <c r="W30" s="338">
        <f t="shared" ref="W30:W31" si="44">W22/W10</f>
      </c>
      <c r="X30" s="338">
        <f t="shared" ref="X30:X31" si="45">X22/X10</f>
      </c>
      <c r="Y30" s="338">
        <f t="shared" ref="Y30:Y31" si="46">Y22/Y10</f>
      </c>
      <c r="Z30" s="338">
        <f t="shared" ref="Z30:Z31" si="47">Z22/Z10</f>
      </c>
      <c r="AA30" s="289"/>
    </row>
    <row customHeight="true" ht="25.185185185185183" r="31">
      <c r="A31" s="296"/>
      <c r="B31" s="337" t="s">
        <v>468</v>
      </c>
      <c r="C31" s="338">
        <f t="shared" si="24"/>
      </c>
      <c r="D31" s="338">
        <f t="shared" si="25"/>
      </c>
      <c r="E31" s="338">
        <f t="shared" si="26"/>
      </c>
      <c r="F31" s="338">
        <f t="shared" si="27"/>
      </c>
      <c r="G31" s="338">
        <f t="shared" si="28"/>
      </c>
      <c r="H31" s="338">
        <f t="shared" si="29"/>
      </c>
      <c r="I31" s="338">
        <f t="shared" si="30"/>
      </c>
      <c r="J31" s="338">
        <f t="shared" si="31"/>
      </c>
      <c r="K31" s="338">
        <f t="shared" si="32"/>
      </c>
      <c r="L31" s="338">
        <f t="shared" si="33"/>
      </c>
      <c r="M31" s="338">
        <f t="shared" si="34"/>
      </c>
      <c r="N31" s="338">
        <f t="shared" si="35"/>
      </c>
      <c r="O31" s="338">
        <f t="shared" si="36"/>
      </c>
      <c r="P31" s="338">
        <f t="shared" si="37"/>
      </c>
      <c r="Q31" s="338">
        <f t="shared" si="38"/>
      </c>
      <c r="R31" s="338">
        <f t="shared" si="39"/>
      </c>
      <c r="S31" s="338">
        <f t="shared" si="40"/>
      </c>
      <c r="T31" s="338">
        <f t="shared" si="41"/>
      </c>
      <c r="U31" s="338">
        <f t="shared" si="42"/>
      </c>
      <c r="V31" s="338">
        <f t="shared" si="43"/>
      </c>
      <c r="W31" s="338">
        <f t="shared" si="44"/>
      </c>
      <c r="X31" s="338">
        <f t="shared" si="45"/>
      </c>
      <c r="Y31" s="338">
        <f t="shared" si="46"/>
      </c>
      <c r="Z31" s="338">
        <f t="shared" si="47"/>
      </c>
      <c r="AA31" s="289"/>
    </row>
    <row customHeight="true" ht="25.185185185185183" r="32">
      <c r="A32" s="296"/>
      <c r="B32" s="337" t="s">
        <v>469</v>
      </c>
      <c r="C32" s="338">
        <f>C24/C11</f>
      </c>
      <c r="D32" s="338">
        <f>D24/D11</f>
      </c>
      <c r="E32" s="338">
        <f>E24/E11</f>
      </c>
      <c r="F32" s="338">
        <f>F24/F11</f>
      </c>
      <c r="G32" s="338">
        <f>G24/G11</f>
      </c>
      <c r="H32" s="338">
        <f>H24/H11</f>
      </c>
      <c r="I32" s="338">
        <f>I24/I11</f>
      </c>
      <c r="J32" s="338">
        <f>J24/J11</f>
      </c>
      <c r="K32" s="338">
        <f>K24/K11</f>
      </c>
      <c r="L32" s="338">
        <f>L24/L11</f>
      </c>
      <c r="M32" s="338">
        <f>M24/M11</f>
      </c>
      <c r="N32" s="338">
        <f>N24/N11</f>
      </c>
      <c r="O32" s="338">
        <f>O24/O11</f>
      </c>
      <c r="P32" s="338">
        <f>P24/P11</f>
      </c>
      <c r="Q32" s="338">
        <f>Q24/Q11</f>
      </c>
      <c r="R32" s="338">
        <f>R24/R11</f>
      </c>
      <c r="S32" s="338">
        <f>S24/S11</f>
      </c>
      <c r="T32" s="338">
        <f>T24/T11</f>
      </c>
      <c r="U32" s="338">
        <f>U24/U11</f>
      </c>
      <c r="V32" s="338">
        <f>V24/V11</f>
      </c>
      <c r="W32" s="338">
        <f>W24/W11</f>
      </c>
      <c r="X32" s="338">
        <f>X24/X11</f>
      </c>
      <c r="Y32" s="338">
        <f>Y24/Y11</f>
      </c>
      <c r="Z32" s="338">
        <f>Z24/Z11</f>
      </c>
      <c r="AA32" s="289"/>
    </row>
    <row customHeight="true" ht="25.185185185185183" r="33">
      <c r="A33" s="296"/>
      <c r="B33" s="337" t="s">
        <v>470</v>
      </c>
      <c r="C33" s="338">
        <f>C25/C11</f>
      </c>
      <c r="D33" s="338">
        <f>D25/D11</f>
      </c>
      <c r="E33" s="338">
        <f>E25/E11</f>
      </c>
      <c r="F33" s="338">
        <f>F25/F11</f>
      </c>
      <c r="G33" s="338">
        <f>G25/G11</f>
      </c>
      <c r="H33" s="338">
        <f>H25/H11</f>
      </c>
      <c r="I33" s="338">
        <f>I25/I11</f>
      </c>
      <c r="J33" s="338">
        <f>J25/J11</f>
      </c>
      <c r="K33" s="338">
        <f>K25/K11</f>
      </c>
      <c r="L33" s="338">
        <f>L25/L11</f>
      </c>
      <c r="M33" s="338">
        <f>M25/M11</f>
      </c>
      <c r="N33" s="338">
        <f>N25/N11</f>
      </c>
      <c r="O33" s="338">
        <f>O25/O11</f>
      </c>
      <c r="P33" s="338">
        <f>P25/P11</f>
      </c>
      <c r="Q33" s="338">
        <f>Q25/Q11</f>
      </c>
      <c r="R33" s="338">
        <f>R25/R11</f>
      </c>
      <c r="S33" s="338">
        <f>S25/S11</f>
      </c>
      <c r="T33" s="338">
        <f>T25/T11</f>
      </c>
      <c r="U33" s="338">
        <f>U25/U11</f>
      </c>
      <c r="V33" s="338">
        <f>V25/V11</f>
      </c>
      <c r="W33" s="338">
        <f>W25/W11</f>
      </c>
      <c r="X33" s="338">
        <f>X25/X11</f>
      </c>
      <c r="Y33" s="338">
        <f>Y25/Y11</f>
      </c>
      <c r="Z33" s="338">
        <f>Z25/Z11</f>
      </c>
      <c r="AA33" s="289"/>
    </row>
    <row customHeight="true" ht="25.185185185185183" r="34">
      <c r="A34" s="296"/>
      <c r="B34" s="337" t="s">
        <v>471</v>
      </c>
      <c r="C34" s="338">
        <f t="shared" ref="C34:C35" si="73">C26/C10</f>
      </c>
      <c r="D34" s="338">
        <f t="shared" ref="D34:D35" si="74">D26/D10</f>
      </c>
      <c r="E34" s="338">
        <f t="shared" ref="E34:E35" si="75">E26/E10</f>
      </c>
      <c r="F34" s="338">
        <f t="shared" ref="F34:F35" si="76">F26/F10</f>
      </c>
      <c r="G34" s="338">
        <f t="shared" ref="G34:G35" si="77">G26/G10</f>
      </c>
      <c r="H34" s="338">
        <f t="shared" ref="H34:H35" si="78">H26/H10</f>
      </c>
      <c r="I34" s="338">
        <f t="shared" ref="I34:I35" si="79">I26/I10</f>
      </c>
      <c r="J34" s="338">
        <f t="shared" ref="J34:J35" si="80">J26/J10</f>
      </c>
      <c r="K34" s="338">
        <f t="shared" ref="K34:K35" si="81">K26/K10</f>
      </c>
      <c r="L34" s="338">
        <f t="shared" ref="L34:L35" si="82">L26/L10</f>
      </c>
      <c r="M34" s="338">
        <f t="shared" ref="M34:M35" si="83">M26/M10</f>
      </c>
      <c r="N34" s="338">
        <f t="shared" ref="N34:N35" si="84">N26/N10</f>
      </c>
      <c r="O34" s="338">
        <f t="shared" ref="O34:O35" si="85">O26/O10</f>
      </c>
      <c r="P34" s="338">
        <f t="shared" ref="P34:P35" si="86">P26/P10</f>
      </c>
      <c r="Q34" s="338">
        <f t="shared" ref="Q34:Q35" si="87">Q26/Q10</f>
      </c>
      <c r="R34" s="338">
        <f t="shared" ref="R34:R35" si="88">R26/R10</f>
      </c>
      <c r="S34" s="338">
        <f t="shared" ref="S34:S35" si="89">S26/S10</f>
      </c>
      <c r="T34" s="338">
        <f t="shared" ref="T34:T35" si="90">T26/T10</f>
      </c>
      <c r="U34" s="338">
        <f t="shared" ref="U34:U35" si="91">U26/U10</f>
      </c>
      <c r="V34" s="338">
        <f t="shared" ref="V34:V35" si="92">V26/V10</f>
      </c>
      <c r="W34" s="338">
        <f t="shared" ref="W34:W35" si="93">W26/W10</f>
      </c>
      <c r="X34" s="338">
        <f t="shared" ref="X34:X35" si="94">X26/X10</f>
      </c>
      <c r="Y34" s="338">
        <f t="shared" ref="Y34:Y35" si="95">Y26/Y10</f>
      </c>
      <c r="Z34" s="338">
        <f t="shared" ref="Z34:Z35" si="96">Z26/Z10</f>
      </c>
      <c r="AA34" s="289"/>
    </row>
    <row customHeight="true" ht="25.185185185185183" r="35">
      <c r="A35" s="296"/>
      <c r="B35" s="337" t="s">
        <v>472</v>
      </c>
      <c r="C35" s="338">
        <f t="shared" si="73"/>
      </c>
      <c r="D35" s="338">
        <f t="shared" si="74"/>
      </c>
      <c r="E35" s="338">
        <f t="shared" si="75"/>
      </c>
      <c r="F35" s="338">
        <f t="shared" si="76"/>
      </c>
      <c r="G35" s="338">
        <f t="shared" si="77"/>
      </c>
      <c r="H35" s="338">
        <f t="shared" si="78"/>
      </c>
      <c r="I35" s="338">
        <f t="shared" si="79"/>
      </c>
      <c r="J35" s="338">
        <f t="shared" si="80"/>
      </c>
      <c r="K35" s="338">
        <f t="shared" si="81"/>
      </c>
      <c r="L35" s="338">
        <f t="shared" si="82"/>
      </c>
      <c r="M35" s="338">
        <f t="shared" si="83"/>
      </c>
      <c r="N35" s="338">
        <f t="shared" si="84"/>
      </c>
      <c r="O35" s="338">
        <f t="shared" si="85"/>
      </c>
      <c r="P35" s="338">
        <f t="shared" si="86"/>
      </c>
      <c r="Q35" s="338">
        <f t="shared" si="87"/>
      </c>
      <c r="R35" s="338">
        <f t="shared" si="88"/>
      </c>
      <c r="S35" s="338">
        <f t="shared" si="89"/>
      </c>
      <c r="T35" s="338">
        <f t="shared" si="90"/>
      </c>
      <c r="U35" s="338">
        <f t="shared" si="91"/>
      </c>
      <c r="V35" s="338">
        <f t="shared" si="92"/>
      </c>
      <c r="W35" s="338">
        <f t="shared" si="93"/>
      </c>
      <c r="X35" s="338">
        <f t="shared" si="94"/>
      </c>
      <c r="Y35" s="338">
        <f t="shared" si="95"/>
      </c>
      <c r="Z35" s="338">
        <f t="shared" si="96"/>
      </c>
      <c r="AA35" s="289"/>
    </row>
    <row customHeight="true" ht="25.185185185185183" r="36">
      <c r="A36" s="296"/>
      <c r="B36" s="337" t="s">
        <v>473</v>
      </c>
      <c r="C36" s="338">
        <f t="shared" ref="C36:C37" si="0">C28/C10</f>
      </c>
      <c r="D36" s="338">
        <f t="shared" ref="D36:D37" si="1">D28/D10</f>
      </c>
      <c r="E36" s="338">
        <f t="shared" ref="E36:E37" si="2">E28/E10</f>
      </c>
      <c r="F36" s="338">
        <f t="shared" ref="F36:F37" si="3">F28/F10</f>
      </c>
      <c r="G36" s="338">
        <f t="shared" ref="G36:G37" si="4">G28/G10</f>
      </c>
      <c r="H36" s="338">
        <f t="shared" ref="H36:H37" si="5">H28/H10</f>
      </c>
      <c r="I36" s="338">
        <f t="shared" ref="I36:I37" si="6">I28/I10</f>
      </c>
      <c r="J36" s="338">
        <f t="shared" ref="J36:J37" si="7">J28/J10</f>
      </c>
      <c r="K36" s="338">
        <f t="shared" ref="K36:K37" si="8">K28/K10</f>
      </c>
      <c r="L36" s="338">
        <f t="shared" ref="L36:L37" si="9">L28/L10</f>
      </c>
      <c r="M36" s="338">
        <f t="shared" ref="M36:M37" si="10">M28/M10</f>
      </c>
      <c r="N36" s="338">
        <f t="shared" ref="N36:N37" si="11">N28/N10</f>
      </c>
      <c r="O36" s="338">
        <f t="shared" ref="O36:O37" si="12">O28/O10</f>
      </c>
      <c r="P36" s="338">
        <f t="shared" ref="P36:P37" si="13">P28/P10</f>
      </c>
      <c r="Q36" s="338">
        <f t="shared" ref="Q36:Q37" si="14">Q28/Q10</f>
      </c>
      <c r="R36" s="338">
        <f t="shared" ref="R36:R37" si="15">R28/R10</f>
      </c>
      <c r="S36" s="338">
        <f t="shared" ref="S36:S37" si="16">S28/S10</f>
      </c>
      <c r="T36" s="338">
        <f t="shared" ref="T36:T37" si="17">T28/T10</f>
      </c>
      <c r="U36" s="338">
        <f t="shared" ref="U36:U37" si="18">U28/U10</f>
      </c>
      <c r="V36" s="338">
        <f t="shared" ref="V36:V37" si="19">V28/V10</f>
      </c>
      <c r="W36" s="338">
        <f t="shared" ref="W36:W37" si="20">W28/W10</f>
      </c>
      <c r="X36" s="338">
        <f t="shared" ref="X36:X37" si="21">X28/X10</f>
      </c>
      <c r="Y36" s="338">
        <f t="shared" ref="Y36:Y37" si="22">Y28/Y10</f>
      </c>
      <c r="Z36" s="338">
        <f t="shared" ref="Z36:Z37" si="23">Z28/Z10</f>
      </c>
      <c r="AA36" s="289"/>
    </row>
    <row customHeight="true" ht="25.185185185185183" r="37">
      <c r="A37" s="296"/>
      <c r="B37" s="337" t="s">
        <v>474</v>
      </c>
      <c r="C37" s="338">
        <f t="shared" si="0"/>
      </c>
      <c r="D37" s="338">
        <f t="shared" si="1"/>
      </c>
      <c r="E37" s="338">
        <f t="shared" si="2"/>
      </c>
      <c r="F37" s="338">
        <f t="shared" si="3"/>
      </c>
      <c r="G37" s="338">
        <f t="shared" si="4"/>
      </c>
      <c r="H37" s="338">
        <f t="shared" si="5"/>
      </c>
      <c r="I37" s="338">
        <f t="shared" si="6"/>
      </c>
      <c r="J37" s="338">
        <f t="shared" si="7"/>
      </c>
      <c r="K37" s="338">
        <f t="shared" si="8"/>
      </c>
      <c r="L37" s="338">
        <f t="shared" si="9"/>
      </c>
      <c r="M37" s="338">
        <f t="shared" si="10"/>
      </c>
      <c r="N37" s="338">
        <f t="shared" si="11"/>
      </c>
      <c r="O37" s="338">
        <f t="shared" si="12"/>
      </c>
      <c r="P37" s="338">
        <f t="shared" si="13"/>
      </c>
      <c r="Q37" s="338">
        <f t="shared" si="14"/>
      </c>
      <c r="R37" s="338">
        <f t="shared" si="15"/>
      </c>
      <c r="S37" s="338">
        <f t="shared" si="16"/>
      </c>
      <c r="T37" s="338">
        <f t="shared" si="17"/>
      </c>
      <c r="U37" s="338">
        <f t="shared" si="18"/>
      </c>
      <c r="V37" s="338">
        <f t="shared" si="19"/>
      </c>
      <c r="W37" s="338">
        <f t="shared" si="20"/>
      </c>
      <c r="X37" s="338">
        <f t="shared" si="21"/>
      </c>
      <c r="Y37" s="338">
        <f t="shared" si="22"/>
      </c>
      <c r="Z37" s="338">
        <f t="shared" si="23"/>
      </c>
      <c r="AA37" s="289"/>
    </row>
    <row customHeight="true" ht="25.185185185185183" r="38">
      <c r="A38" s="339" t="s">
        <v>475</v>
      </c>
      <c r="B38" s="337" t="s">
        <v>476</v>
      </c>
      <c r="C38" s="340">
        <f>C12*122.57</f>
      </c>
      <c r="D38" s="340">
        <f>D12*122.57</f>
      </c>
      <c r="E38" s="340">
        <f>E12*122.57</f>
      </c>
      <c r="F38" s="340">
        <f>F12*122.57</f>
      </c>
      <c r="G38" s="340">
        <f>G12*122.57</f>
      </c>
      <c r="H38" s="340">
        <f>H12*122.57</f>
      </c>
      <c r="I38" s="340">
        <f>I12*122.57</f>
      </c>
      <c r="J38" s="340">
        <f>J12*122.57</f>
      </c>
      <c r="K38" s="340">
        <f>K12*122.57</f>
      </c>
      <c r="L38" s="340">
        <f>L12*122.57</f>
      </c>
      <c r="M38" s="340">
        <f>M12*122.57</f>
      </c>
      <c r="N38" s="340">
        <f>N12*122.57</f>
      </c>
      <c r="O38" s="340">
        <f>O12*122.57</f>
      </c>
      <c r="P38" s="340">
        <f>P12*122.57</f>
      </c>
      <c r="Q38" s="340">
        <f>Q12*122.57</f>
      </c>
      <c r="R38" s="340">
        <f>R12*122.57</f>
      </c>
      <c r="S38" s="340">
        <f>S12*122.57</f>
      </c>
      <c r="T38" s="340">
        <f>T12*122.57</f>
      </c>
      <c r="U38" s="340">
        <f>U12*122.57</f>
      </c>
      <c r="V38" s="340">
        <f>V12*122.57</f>
      </c>
      <c r="W38" s="340">
        <f>W12*122.57</f>
      </c>
      <c r="X38" s="340">
        <f>X12*122.57</f>
      </c>
      <c r="Y38" s="340">
        <f>Y12*122.57</f>
      </c>
      <c r="Z38" s="340">
        <f>Z12*122.57</f>
      </c>
      <c r="AA38" s="341"/>
    </row>
    <row customHeight="true" ht="25.185185185185183" r="39">
      <c r="A39" s="339"/>
      <c r="B39" s="337" t="s">
        <v>477</v>
      </c>
      <c r="C39" s="340">
        <f>C12*26</f>
      </c>
      <c r="D39" s="340">
        <f>D12*26</f>
      </c>
      <c r="E39" s="340">
        <f>E12*26</f>
      </c>
      <c r="F39" s="340">
        <f>F12*26</f>
      </c>
      <c r="G39" s="340">
        <f>G12*26</f>
      </c>
      <c r="H39" s="340">
        <f>H12*26</f>
      </c>
      <c r="I39" s="340">
        <f>I12*26</f>
      </c>
      <c r="J39" s="340">
        <f>J12*26</f>
      </c>
      <c r="K39" s="340">
        <f>K12*26</f>
      </c>
      <c r="L39" s="340">
        <f>L12*26</f>
      </c>
      <c r="M39" s="340">
        <f>M12*26</f>
      </c>
      <c r="N39" s="340">
        <f>N12*26</f>
      </c>
      <c r="O39" s="340">
        <f>O12*26</f>
      </c>
      <c r="P39" s="340">
        <f>P12*26</f>
      </c>
      <c r="Q39" s="340">
        <f>Q12*26</f>
      </c>
      <c r="R39" s="340">
        <f>R12*26</f>
      </c>
      <c r="S39" s="340">
        <f>S12*26</f>
      </c>
      <c r="T39" s="340">
        <f>T12*26</f>
      </c>
      <c r="U39" s="340">
        <f>U12*26</f>
      </c>
      <c r="V39" s="340">
        <f>V12*26</f>
      </c>
      <c r="W39" s="340">
        <f>W12*26</f>
      </c>
      <c r="X39" s="340">
        <f>X12*26</f>
      </c>
      <c r="Y39" s="340">
        <f>Y12*26</f>
      </c>
      <c r="Z39" s="340">
        <f>Z12*26</f>
      </c>
      <c r="AA39" s="341"/>
    </row>
    <row customHeight="true" ht="25.185185185185183" r="40">
      <c r="A40" s="339"/>
      <c r="B40" s="342" t="s">
        <v>478</v>
      </c>
      <c r="C40" s="325">
        <v>0</v>
      </c>
      <c r="D40" s="325">
        <v>0</v>
      </c>
      <c r="E40" s="325">
        <v>0</v>
      </c>
      <c r="F40" s="325">
        <v>0</v>
      </c>
      <c r="G40" s="325">
        <v>0</v>
      </c>
      <c r="H40" s="325">
        <v>0</v>
      </c>
      <c r="I40" s="325">
        <v>0</v>
      </c>
      <c r="J40" s="325">
        <v>0</v>
      </c>
      <c r="K40" s="325">
        <v>0</v>
      </c>
      <c r="L40" s="325">
        <v>0</v>
      </c>
      <c r="M40" s="325">
        <v>0</v>
      </c>
      <c r="N40" s="325">
        <v>0</v>
      </c>
      <c r="O40" s="325">
        <v>0</v>
      </c>
      <c r="P40" s="325">
        <v>0</v>
      </c>
      <c r="Q40" s="325">
        <v>0</v>
      </c>
      <c r="R40" s="325">
        <v>0</v>
      </c>
      <c r="S40" s="325">
        <v>0</v>
      </c>
      <c r="T40" s="325">
        <v>0</v>
      </c>
      <c r="U40" s="325">
        <v>0</v>
      </c>
      <c r="V40" s="325">
        <v>0</v>
      </c>
      <c r="W40" s="325">
        <v>0</v>
      </c>
      <c r="X40" s="325">
        <v>0</v>
      </c>
      <c r="Y40" s="325">
        <v>0</v>
      </c>
      <c r="Z40" s="325">
        <v>0</v>
      </c>
      <c r="AA40" s="289"/>
    </row>
    <row customHeight="true" ht="25.185185185185183" r="41">
      <c r="A41" s="339"/>
      <c r="B41" s="337" t="s">
        <v>479</v>
      </c>
      <c r="C41" s="325">
        <f>C12*5.69*$A$2</f>
      </c>
      <c r="D41" s="325">
        <f>D12*5.69*$A$2</f>
      </c>
      <c r="E41" s="325">
        <f>E12*5.69*$A$2</f>
      </c>
      <c r="F41" s="325">
        <f>F12*5.69*$A$2</f>
      </c>
      <c r="G41" s="325">
        <f>G12*5.69*$A$2</f>
      </c>
      <c r="H41" s="325">
        <f>H12*5.69*$A$2</f>
      </c>
      <c r="I41" s="325">
        <f>I12*5.69*$A$2</f>
      </c>
      <c r="J41" s="325">
        <f>J12*5.69*$A$2</f>
      </c>
      <c r="K41" s="325">
        <f>K12*5.69*$A$2</f>
      </c>
      <c r="L41" s="325">
        <f>L12*5.69*$A$2</f>
      </c>
      <c r="M41" s="325">
        <f>M12*5.69*$A$2</f>
      </c>
      <c r="N41" s="325">
        <f>N12*5.69*$A$2</f>
      </c>
      <c r="O41" s="325">
        <f>O12*5.69*$A$2</f>
      </c>
      <c r="P41" s="325">
        <f>P12*5.69*$A$2</f>
      </c>
      <c r="Q41" s="325">
        <f>Q12*5.69*$A$2</f>
      </c>
      <c r="R41" s="325">
        <f>R12*5.69*$A$2</f>
      </c>
      <c r="S41" s="325">
        <f>S12*5.69*$A$2</f>
      </c>
      <c r="T41" s="325">
        <f>T12*5.69*$A$2</f>
      </c>
      <c r="U41" s="325">
        <f>U12*5.69*$A$2</f>
      </c>
      <c r="V41" s="325">
        <f>V12*5.69*$A$2</f>
      </c>
      <c r="W41" s="325">
        <f>W12*5.69*$A$2</f>
      </c>
      <c r="X41" s="325">
        <f>X12*5.69*$A$2</f>
      </c>
      <c r="Y41" s="325">
        <f>Y12*5.69*$A$2</f>
      </c>
      <c r="Z41" s="325">
        <f>Z12*5.69*$A$2</f>
      </c>
      <c r="AA41" s="289"/>
    </row>
    <row customHeight="true" ht="25.185185185185183" r="42">
      <c r="A42" s="339"/>
      <c r="B42" s="337" t="s">
        <v>480</v>
      </c>
      <c r="C42" s="325">
        <f>C10*C60</f>
      </c>
      <c r="D42" s="325">
        <f>D10*D60</f>
      </c>
      <c r="E42" s="325">
        <f>E10*E60</f>
      </c>
      <c r="F42" s="325">
        <f>F10*F60</f>
      </c>
      <c r="G42" s="325">
        <f>G10*G60</f>
      </c>
      <c r="H42" s="325">
        <f>H10*H60</f>
      </c>
      <c r="I42" s="325">
        <f>I10*I60</f>
      </c>
      <c r="J42" s="325">
        <f>J10*J60</f>
      </c>
      <c r="K42" s="325">
        <f>K10*K60</f>
      </c>
      <c r="L42" s="325">
        <f>L10*L60</f>
      </c>
      <c r="M42" s="325">
        <f>M10*M60</f>
      </c>
      <c r="N42" s="325">
        <f>N10*N60</f>
      </c>
      <c r="O42" s="325">
        <f>O10*O60</f>
      </c>
      <c r="P42" s="325">
        <f>P10*P60</f>
      </c>
      <c r="Q42" s="325">
        <f>Q10*Q60</f>
      </c>
      <c r="R42" s="325">
        <f>R10*R60</f>
      </c>
      <c r="S42" s="325">
        <f>S10*S60</f>
      </c>
      <c r="T42" s="325">
        <f>T10*T60</f>
      </c>
      <c r="U42" s="325">
        <f>U10*U60</f>
      </c>
      <c r="V42" s="325">
        <f>V10*V60</f>
      </c>
      <c r="W42" s="325">
        <f>W10*W60</f>
      </c>
      <c r="X42" s="325">
        <f>X10*X60</f>
      </c>
      <c r="Y42" s="325">
        <f>Y10*Y60</f>
      </c>
      <c r="Z42" s="325">
        <f>Z10*Z60</f>
      </c>
      <c r="AA42" s="289"/>
    </row>
    <row customHeight="true" ht="25.185185185185183" r="43">
      <c r="A43" s="339"/>
      <c r="B43" s="342" t="s">
        <v>481</v>
      </c>
      <c r="C43" s="325">
        <v>0</v>
      </c>
      <c r="D43" s="325">
        <v>0</v>
      </c>
      <c r="E43" s="325">
        <v>0</v>
      </c>
      <c r="F43" s="325">
        <v>0</v>
      </c>
      <c r="G43" s="325">
        <v>0</v>
      </c>
      <c r="H43" s="325">
        <v>0</v>
      </c>
      <c r="I43" s="325">
        <v>0</v>
      </c>
      <c r="J43" s="325">
        <v>0</v>
      </c>
      <c r="K43" s="325">
        <v>0</v>
      </c>
      <c r="L43" s="325">
        <v>0</v>
      </c>
      <c r="M43" s="325">
        <v>0</v>
      </c>
      <c r="N43" s="325">
        <v>0</v>
      </c>
      <c r="O43" s="325">
        <v>0</v>
      </c>
      <c r="P43" s="325">
        <v>0</v>
      </c>
      <c r="Q43" s="325">
        <v>0</v>
      </c>
      <c r="R43" s="325">
        <v>0</v>
      </c>
      <c r="S43" s="325">
        <v>0</v>
      </c>
      <c r="T43" s="325">
        <v>0</v>
      </c>
      <c r="U43" s="325">
        <v>0</v>
      </c>
      <c r="V43" s="325">
        <v>0</v>
      </c>
      <c r="W43" s="325">
        <v>0</v>
      </c>
      <c r="X43" s="325">
        <v>0</v>
      </c>
      <c r="Y43" s="325">
        <v>0</v>
      </c>
      <c r="Z43" s="325">
        <v>0</v>
      </c>
      <c r="AA43" s="289"/>
    </row>
    <row customHeight="true" ht="25.185185185185183" r="44">
      <c r="A44" s="339"/>
      <c r="B44" s="337" t="s">
        <v>482</v>
      </c>
      <c r="C44" s="343">
        <f>C62*C10</f>
      </c>
      <c r="D44" s="343">
        <f>D62*D10</f>
      </c>
      <c r="E44" s="343">
        <f>E62*E10</f>
      </c>
      <c r="F44" s="343">
        <f>F62*F10</f>
      </c>
      <c r="G44" s="343">
        <f>G62*G10</f>
      </c>
      <c r="H44" s="343">
        <f>H62*H10</f>
      </c>
      <c r="I44" s="343">
        <f>I62*I10</f>
      </c>
      <c r="J44" s="343">
        <f>J62*J10</f>
      </c>
      <c r="K44" s="343">
        <f>K62*K10</f>
      </c>
      <c r="L44" s="343">
        <f>L62*L10</f>
      </c>
      <c r="M44" s="343">
        <f>M62*M10</f>
      </c>
      <c r="N44" s="343">
        <f>N62*N10</f>
      </c>
      <c r="O44" s="343">
        <f>O62*O10</f>
      </c>
      <c r="P44" s="343">
        <f>P62*P10</f>
      </c>
      <c r="Q44" s="343">
        <f>Q62*Q10</f>
      </c>
      <c r="R44" s="343">
        <f>R62*R10</f>
      </c>
      <c r="S44" s="343">
        <f>S62*S10</f>
      </c>
      <c r="T44" s="343">
        <f>T62*T10</f>
      </c>
      <c r="U44" s="343">
        <f>U62*U10</f>
      </c>
      <c r="V44" s="343">
        <f>V62*V10</f>
      </c>
      <c r="W44" s="343">
        <f>W62*W10</f>
      </c>
      <c r="X44" s="343">
        <f>X62*X10</f>
      </c>
      <c r="Y44" s="343">
        <f>Y62*Y10</f>
      </c>
      <c r="Z44" s="343">
        <f>Z62*Z10</f>
      </c>
      <c r="AA44" s="344"/>
    </row>
    <row customHeight="true" ht="25.185185185185183" r="45">
      <c r="A45" s="339"/>
      <c r="B45" s="337" t="s">
        <v>483</v>
      </c>
      <c r="C45" s="343">
        <f>C63*C10</f>
      </c>
      <c r="D45" s="343">
        <f>D63*D10</f>
      </c>
      <c r="E45" s="343">
        <f>E63*E10</f>
      </c>
      <c r="F45" s="343">
        <f>F63*F10</f>
      </c>
      <c r="G45" s="343">
        <f>G63*G10</f>
      </c>
      <c r="H45" s="343">
        <f>H63*H10</f>
      </c>
      <c r="I45" s="343">
        <f>I63*I10</f>
      </c>
      <c r="J45" s="343">
        <f>J63*J10</f>
      </c>
      <c r="K45" s="343">
        <f>K63*K10</f>
      </c>
      <c r="L45" s="343">
        <f>L63*L10</f>
      </c>
      <c r="M45" s="343">
        <f>M63*M10</f>
      </c>
      <c r="N45" s="343">
        <f>N63*N10</f>
      </c>
      <c r="O45" s="343">
        <f>O63*O10</f>
      </c>
      <c r="P45" s="343">
        <f>P63*P10</f>
      </c>
      <c r="Q45" s="343">
        <f>Q63*Q10</f>
      </c>
      <c r="R45" s="343">
        <f>R63*R10</f>
      </c>
      <c r="S45" s="343">
        <f>S63*S10</f>
      </c>
      <c r="T45" s="343">
        <f>T63*T10</f>
      </c>
      <c r="U45" s="343">
        <f>U63*U10</f>
      </c>
      <c r="V45" s="343">
        <f>V63*V10</f>
      </c>
      <c r="W45" s="343">
        <f>W63*W10</f>
      </c>
      <c r="X45" s="343">
        <f>X63*X10</f>
      </c>
      <c r="Y45" s="343">
        <f>Y63*Y10</f>
      </c>
      <c r="Z45" s="343">
        <f>Z63*Z10</f>
      </c>
      <c r="AA45" s="344"/>
    </row>
    <row customHeight="true" ht="25.185185185185183" r="46">
      <c r="A46" s="339"/>
      <c r="B46" s="337" t="s">
        <v>484</v>
      </c>
      <c r="C46" s="343">
        <f>SUM(C38:C45)</f>
      </c>
      <c r="D46" s="343">
        <f>SUM(D38:D45)</f>
      </c>
      <c r="E46" s="343">
        <f>SUM(E38:E45)</f>
      </c>
      <c r="F46" s="343">
        <f>SUM(F38:F45)</f>
      </c>
      <c r="G46" s="343">
        <f>SUM(G38:G45)</f>
      </c>
      <c r="H46" s="343">
        <f>SUM(H38:H45)</f>
      </c>
      <c r="I46" s="343">
        <f>SUM(I38:I45)</f>
      </c>
      <c r="J46" s="343">
        <f>SUM(J38:J45)</f>
      </c>
      <c r="K46" s="343">
        <f>SUM(K38:K45)</f>
      </c>
      <c r="L46" s="343">
        <f>SUM(L38:L45)</f>
      </c>
      <c r="M46" s="343">
        <f>SUM(M38:M45)</f>
      </c>
      <c r="N46" s="343">
        <f>SUM(N38:N45)</f>
      </c>
      <c r="O46" s="343">
        <f>SUM(O38:O45)</f>
      </c>
      <c r="P46" s="343">
        <f>SUM(P38:P45)</f>
      </c>
      <c r="Q46" s="343">
        <f>SUM(Q38:Q45)</f>
      </c>
      <c r="R46" s="343">
        <f>SUM(R38:R45)</f>
      </c>
      <c r="S46" s="343">
        <f>SUM(S38:S45)</f>
      </c>
      <c r="T46" s="343">
        <f>SUM(T38:T45)</f>
      </c>
      <c r="U46" s="343">
        <f>SUM(U38:U45)</f>
      </c>
      <c r="V46" s="343">
        <f>SUM(V38:V45)</f>
      </c>
      <c r="W46" s="343">
        <f>SUM(W38:W45)</f>
      </c>
      <c r="X46" s="343">
        <f>SUM(X38:X45)</f>
      </c>
      <c r="Y46" s="343">
        <f>SUM(Y38:Y45)</f>
      </c>
      <c r="Z46" s="343">
        <f>SUM(Z38:Z45)</f>
      </c>
      <c r="AA46" s="344"/>
    </row>
    <row customHeight="true" ht="25.185185185185183" r="47">
      <c r="A47" s="339" t="s">
        <v>485</v>
      </c>
      <c r="B47" s="337" t="s">
        <v>476</v>
      </c>
      <c r="C47" s="340">
        <f>C13*122.57</f>
      </c>
      <c r="D47" s="340">
        <f>D13*122.57</f>
      </c>
      <c r="E47" s="340">
        <f>E13*122.57</f>
      </c>
      <c r="F47" s="340">
        <f>F13*122.57</f>
      </c>
      <c r="G47" s="340">
        <f>G13*122.57</f>
      </c>
      <c r="H47" s="340">
        <f>H13*122.57</f>
      </c>
      <c r="I47" s="340">
        <f>I13*122.57</f>
      </c>
      <c r="J47" s="340">
        <f>J13*122.57</f>
      </c>
      <c r="K47" s="340">
        <f>K13*122.57</f>
      </c>
      <c r="L47" s="340">
        <f>L13*122.57</f>
      </c>
      <c r="M47" s="340">
        <f>M13*122.57</f>
      </c>
      <c r="N47" s="340">
        <f>N13*122.57</f>
      </c>
      <c r="O47" s="340">
        <f>O13*122.57</f>
      </c>
      <c r="P47" s="340">
        <f>P13*122.57</f>
      </c>
      <c r="Q47" s="340">
        <f>Q13*122.57</f>
      </c>
      <c r="R47" s="340">
        <f>R13*122.57</f>
      </c>
      <c r="S47" s="340">
        <f>S13*122.57</f>
      </c>
      <c r="T47" s="340">
        <f>T13*122.57</f>
      </c>
      <c r="U47" s="340">
        <f>U13*122.57</f>
      </c>
      <c r="V47" s="340">
        <f>V13*122.57</f>
      </c>
      <c r="W47" s="340">
        <f>W13*122.57</f>
      </c>
      <c r="X47" s="340">
        <f>X13*122.57</f>
      </c>
      <c r="Y47" s="340">
        <f>Y13*122.57</f>
      </c>
      <c r="Z47" s="340">
        <f>Z13*122.57</f>
      </c>
      <c r="AA47" s="345"/>
    </row>
    <row customHeight="true" ht="25.185185185185183" r="48">
      <c r="A48" s="339"/>
      <c r="B48" s="337" t="s">
        <v>477</v>
      </c>
      <c r="C48" s="340">
        <f>C13*26</f>
      </c>
      <c r="D48" s="340">
        <f>D13*26</f>
      </c>
      <c r="E48" s="340">
        <f>E13*26</f>
      </c>
      <c r="F48" s="340">
        <f>F13*26</f>
      </c>
      <c r="G48" s="340">
        <f>G13*26</f>
      </c>
      <c r="H48" s="340">
        <f>H13*26</f>
      </c>
      <c r="I48" s="340">
        <f>I13*26</f>
      </c>
      <c r="J48" s="340">
        <f>J13*26</f>
      </c>
      <c r="K48" s="340">
        <f>K13*26</f>
      </c>
      <c r="L48" s="340">
        <f>L13*26</f>
      </c>
      <c r="M48" s="340">
        <f>M13*26</f>
      </c>
      <c r="N48" s="340">
        <f>N13*26</f>
      </c>
      <c r="O48" s="340">
        <f>O13*26</f>
      </c>
      <c r="P48" s="340">
        <f>P13*26</f>
      </c>
      <c r="Q48" s="340">
        <f>Q13*26</f>
      </c>
      <c r="R48" s="340">
        <f>R13*26</f>
      </c>
      <c r="S48" s="340">
        <f>S13*26</f>
      </c>
      <c r="T48" s="340">
        <f>T13*26</f>
      </c>
      <c r="U48" s="340">
        <f>U13*26</f>
      </c>
      <c r="V48" s="340">
        <f>V13*26</f>
      </c>
      <c r="W48" s="340">
        <f>W13*26</f>
      </c>
      <c r="X48" s="340">
        <f>X13*26</f>
      </c>
      <c r="Y48" s="340">
        <f>Y13*26</f>
      </c>
      <c r="Z48" s="340">
        <f>Z13*26</f>
      </c>
      <c r="AA48" s="345"/>
    </row>
    <row customHeight="true" ht="25.185185185185183" r="49">
      <c r="A49" s="339"/>
      <c r="B49" s="342" t="s">
        <v>478</v>
      </c>
      <c r="C49" s="325">
        <v>0</v>
      </c>
      <c r="D49" s="325">
        <v>0</v>
      </c>
      <c r="E49" s="325">
        <v>0</v>
      </c>
      <c r="F49" s="325">
        <v>0</v>
      </c>
      <c r="G49" s="325">
        <v>0</v>
      </c>
      <c r="H49" s="325">
        <v>0</v>
      </c>
      <c r="I49" s="325">
        <v>0</v>
      </c>
      <c r="J49" s="325">
        <v>0</v>
      </c>
      <c r="K49" s="325">
        <v>0</v>
      </c>
      <c r="L49" s="325">
        <v>0</v>
      </c>
      <c r="M49" s="325">
        <v>0</v>
      </c>
      <c r="N49" s="325">
        <v>0</v>
      </c>
      <c r="O49" s="325">
        <v>0</v>
      </c>
      <c r="P49" s="325">
        <v>0</v>
      </c>
      <c r="Q49" s="325">
        <v>0</v>
      </c>
      <c r="R49" s="325">
        <v>0</v>
      </c>
      <c r="S49" s="325">
        <v>0</v>
      </c>
      <c r="T49" s="325">
        <v>0</v>
      </c>
      <c r="U49" s="325">
        <v>0</v>
      </c>
      <c r="V49" s="325">
        <v>0</v>
      </c>
      <c r="W49" s="325">
        <v>0</v>
      </c>
      <c r="X49" s="325">
        <v>0</v>
      </c>
      <c r="Y49" s="325">
        <v>0</v>
      </c>
      <c r="Z49" s="325">
        <v>0</v>
      </c>
      <c r="AA49" s="346"/>
    </row>
    <row customHeight="true" ht="25.185185185185183" r="50">
      <c r="A50" s="339"/>
      <c r="B50" s="337" t="s">
        <v>479</v>
      </c>
      <c r="C50" s="325">
        <f>C13*5.69*$A$2</f>
      </c>
      <c r="D50" s="325">
        <f>D13*5.69*$A$2</f>
      </c>
      <c r="E50" s="325">
        <f>E13*5.69*$A$2</f>
      </c>
      <c r="F50" s="325">
        <f>F13*5.69*$A$2</f>
      </c>
      <c r="G50" s="325">
        <f>G13*5.69*$A$2</f>
      </c>
      <c r="H50" s="325">
        <f>H13*5.69*$A$2</f>
      </c>
      <c r="I50" s="325">
        <f>I13*5.69*$A$2</f>
      </c>
      <c r="J50" s="325">
        <f>J13*5.69*$A$2</f>
      </c>
      <c r="K50" s="325">
        <f>K13*5.69*$A$2</f>
      </c>
      <c r="L50" s="325">
        <f>L13*5.69*$A$2</f>
      </c>
      <c r="M50" s="325">
        <f>M13*5.69*$A$2</f>
      </c>
      <c r="N50" s="325">
        <f>N13*5.69*$A$2</f>
      </c>
      <c r="O50" s="325">
        <f>O13*5.69*$A$2</f>
      </c>
      <c r="P50" s="325">
        <f>P13*5.69*$A$2</f>
      </c>
      <c r="Q50" s="325">
        <f>Q13*5.69*$A$2</f>
      </c>
      <c r="R50" s="325">
        <f>R13*5.69*$A$2</f>
      </c>
      <c r="S50" s="325">
        <f>S13*5.69*$A$2</f>
      </c>
      <c r="T50" s="325">
        <f>T13*5.69*$A$2</f>
      </c>
      <c r="U50" s="325">
        <f>U13*5.69*$A$2</f>
      </c>
      <c r="V50" s="325">
        <f>V13*5.69*$A$2</f>
      </c>
      <c r="W50" s="325">
        <f>W13*5.69*$A$2</f>
      </c>
      <c r="X50" s="325">
        <f>X13*5.69*$A$2</f>
      </c>
      <c r="Y50" s="325">
        <f>Y13*5.69*$A$2</f>
      </c>
      <c r="Z50" s="325">
        <f>Z13*5.69*$A$2</f>
      </c>
      <c r="AA50" s="346"/>
    </row>
    <row customHeight="true" ht="25.185185185185183" r="51">
      <c r="A51" s="339"/>
      <c r="B51" s="337" t="s">
        <v>480</v>
      </c>
      <c r="C51" s="325">
        <f>C11*C60</f>
      </c>
      <c r="D51" s="325">
        <f>D11*D60</f>
      </c>
      <c r="E51" s="325">
        <f>E11*E60</f>
      </c>
      <c r="F51" s="325">
        <f>F11*F60</f>
      </c>
      <c r="G51" s="325">
        <f>G11*G60</f>
      </c>
      <c r="H51" s="325">
        <f>H11*H60</f>
      </c>
      <c r="I51" s="325">
        <f>I11*I60</f>
      </c>
      <c r="J51" s="325">
        <f>J11*J60</f>
      </c>
      <c r="K51" s="325">
        <f>K11*K60</f>
      </c>
      <c r="L51" s="325">
        <f>L11*L60</f>
      </c>
      <c r="M51" s="325">
        <f>M11*M60</f>
      </c>
      <c r="N51" s="325">
        <f>N11*N60</f>
      </c>
      <c r="O51" s="325">
        <f>O11*O60</f>
      </c>
      <c r="P51" s="325">
        <f>P11*P60</f>
      </c>
      <c r="Q51" s="325">
        <f>Q11*Q60</f>
      </c>
      <c r="R51" s="325">
        <f>R11*R60</f>
      </c>
      <c r="S51" s="325">
        <f>S11*S60</f>
      </c>
      <c r="T51" s="325">
        <f>T11*T60</f>
      </c>
      <c r="U51" s="325">
        <f>U11*U60</f>
      </c>
      <c r="V51" s="325">
        <f>V11*V60</f>
      </c>
      <c r="W51" s="325">
        <f>W11*W60</f>
      </c>
      <c r="X51" s="325">
        <f>X11*X60</f>
      </c>
      <c r="Y51" s="325">
        <f>Y11*Y60</f>
      </c>
      <c r="Z51" s="325">
        <f>Z11*Z60</f>
      </c>
      <c r="AA51" s="346"/>
    </row>
    <row customHeight="true" ht="25.185185185185183" r="52">
      <c r="A52" s="339"/>
      <c r="B52" s="342" t="s">
        <v>481</v>
      </c>
      <c r="C52" s="325">
        <v>0</v>
      </c>
      <c r="D52" s="325">
        <v>0</v>
      </c>
      <c r="E52" s="325">
        <v>0</v>
      </c>
      <c r="F52" s="325">
        <v>0</v>
      </c>
      <c r="G52" s="325">
        <v>0</v>
      </c>
      <c r="H52" s="325">
        <v>0</v>
      </c>
      <c r="I52" s="325">
        <v>0</v>
      </c>
      <c r="J52" s="325">
        <v>0</v>
      </c>
      <c r="K52" s="325">
        <v>0</v>
      </c>
      <c r="L52" s="325">
        <v>0</v>
      </c>
      <c r="M52" s="325">
        <v>0</v>
      </c>
      <c r="N52" s="325">
        <v>0</v>
      </c>
      <c r="O52" s="325">
        <v>0</v>
      </c>
      <c r="P52" s="325">
        <v>0</v>
      </c>
      <c r="Q52" s="325">
        <v>0</v>
      </c>
      <c r="R52" s="325">
        <v>0</v>
      </c>
      <c r="S52" s="325">
        <v>0</v>
      </c>
      <c r="T52" s="325">
        <v>0</v>
      </c>
      <c r="U52" s="325">
        <v>0</v>
      </c>
      <c r="V52" s="325">
        <v>0</v>
      </c>
      <c r="W52" s="325">
        <v>0</v>
      </c>
      <c r="X52" s="325">
        <v>0</v>
      </c>
      <c r="Y52" s="325">
        <v>0</v>
      </c>
      <c r="Z52" s="325">
        <v>0</v>
      </c>
      <c r="AA52" s="346"/>
    </row>
    <row customHeight="true" ht="25.185185185185183" r="53">
      <c r="A53" s="339"/>
      <c r="B53" s="337" t="s">
        <v>482</v>
      </c>
      <c r="C53" s="343">
        <f>C62*C13</f>
      </c>
      <c r="D53" s="343">
        <f>D62*D13</f>
      </c>
      <c r="E53" s="343">
        <f>E62*E13</f>
      </c>
      <c r="F53" s="343">
        <f>F62*F13</f>
      </c>
      <c r="G53" s="343">
        <f>G62*G13</f>
      </c>
      <c r="H53" s="343">
        <f>H62*H13</f>
      </c>
      <c r="I53" s="343">
        <f>I62*I13</f>
      </c>
      <c r="J53" s="343">
        <f>J62*J13</f>
      </c>
      <c r="K53" s="343">
        <f>K62*K13</f>
      </c>
      <c r="L53" s="343">
        <f>L62*L13</f>
      </c>
      <c r="M53" s="343">
        <f>M62*M13</f>
      </c>
      <c r="N53" s="343">
        <f>N62*N13</f>
      </c>
      <c r="O53" s="343">
        <f>O62*O13</f>
      </c>
      <c r="P53" s="343">
        <f>P62*P13</f>
      </c>
      <c r="Q53" s="343">
        <f>Q62*Q13</f>
      </c>
      <c r="R53" s="343">
        <f>R62*R13</f>
      </c>
      <c r="S53" s="343">
        <f>S62*S13</f>
      </c>
      <c r="T53" s="343">
        <f>T62*T13</f>
      </c>
      <c r="U53" s="343">
        <f>U62*U13</f>
      </c>
      <c r="V53" s="343">
        <f>V62*V13</f>
      </c>
      <c r="W53" s="343">
        <f>W62*W13</f>
      </c>
      <c r="X53" s="343">
        <f>X62*X13</f>
      </c>
      <c r="Y53" s="343">
        <f>Y62*Y13</f>
      </c>
      <c r="Z53" s="343">
        <f>Z62*Z13</f>
      </c>
      <c r="AA53" s="347"/>
    </row>
    <row customHeight="true" ht="25.185185185185183" r="54">
      <c r="A54" s="339"/>
      <c r="B54" s="337" t="s">
        <v>483</v>
      </c>
      <c r="C54" s="343">
        <f>C13*C63</f>
      </c>
      <c r="D54" s="343">
        <f>D11*D63</f>
      </c>
      <c r="E54" s="343">
        <f>E11*E63</f>
      </c>
      <c r="F54" s="343">
        <f>F11*F63</f>
      </c>
      <c r="G54" s="343">
        <f>G11*G63</f>
      </c>
      <c r="H54" s="343">
        <f>H11*H63</f>
      </c>
      <c r="I54" s="343">
        <f>I11*I63</f>
      </c>
      <c r="J54" s="343">
        <f>J11*J63</f>
      </c>
      <c r="K54" s="343">
        <f>K11*K63</f>
      </c>
      <c r="L54" s="343">
        <f>L11*L63</f>
      </c>
      <c r="M54" s="343">
        <f>M11*M63</f>
      </c>
      <c r="N54" s="343">
        <f>N11*N63</f>
      </c>
      <c r="O54" s="343">
        <f>O11*O63</f>
      </c>
      <c r="P54" s="343">
        <f>P11*P63</f>
      </c>
      <c r="Q54" s="343">
        <f>Q11*Q63</f>
      </c>
      <c r="R54" s="343">
        <f>R11*R63</f>
      </c>
      <c r="S54" s="343">
        <f>S11*S63</f>
      </c>
      <c r="T54" s="343">
        <f>T11*T63</f>
      </c>
      <c r="U54" s="343">
        <f>U11*U63</f>
      </c>
      <c r="V54" s="343">
        <f>V11*V63</f>
      </c>
      <c r="W54" s="343">
        <f>W11*W63</f>
      </c>
      <c r="X54" s="343">
        <f>X11*X63</f>
      </c>
      <c r="Y54" s="343">
        <f>Y11*Y63</f>
      </c>
      <c r="Z54" s="343">
        <f>Z11*Z63</f>
      </c>
      <c r="AA54" s="347"/>
    </row>
    <row customHeight="true" ht="25.185185185185183" r="55">
      <c r="A55" s="339"/>
      <c r="B55" s="337" t="s">
        <v>484</v>
      </c>
      <c r="C55" s="343">
        <f>SUM(C47:C54)</f>
      </c>
      <c r="D55" s="343">
        <f>SUM(D47:D54)</f>
      </c>
      <c r="E55" s="343">
        <f>SUM(E47:E54)</f>
      </c>
      <c r="F55" s="343">
        <f>SUM(F47:F54)</f>
      </c>
      <c r="G55" s="343">
        <f>SUM(G47:G54)</f>
      </c>
      <c r="H55" s="343">
        <f>SUM(H47:H54)</f>
      </c>
      <c r="I55" s="343">
        <f>SUM(I47:I54)</f>
      </c>
      <c r="J55" s="343">
        <f>SUM(J47:J54)</f>
      </c>
      <c r="K55" s="343">
        <f>SUM(K47:K54)</f>
      </c>
      <c r="L55" s="343">
        <f>SUM(L47:L54)</f>
      </c>
      <c r="M55" s="343">
        <f>SUM(M47:M54)</f>
      </c>
      <c r="N55" s="343">
        <f>SUM(N47:N54)</f>
      </c>
      <c r="O55" s="343">
        <f>SUM(O47:O54)</f>
      </c>
      <c r="P55" s="343">
        <f>SUM(P47:P54)</f>
      </c>
      <c r="Q55" s="343">
        <f>SUM(Q47:Q54)</f>
      </c>
      <c r="R55" s="343">
        <f>SUM(R47:R54)</f>
      </c>
      <c r="S55" s="343">
        <f>SUM(S47:S54)</f>
      </c>
      <c r="T55" s="343">
        <f>SUM(T47:T54)</f>
      </c>
      <c r="U55" s="343">
        <f>SUM(U47:U54)</f>
      </c>
      <c r="V55" s="343">
        <f>SUM(V47:V54)</f>
      </c>
      <c r="W55" s="343">
        <f>SUM(W47:W54)</f>
      </c>
      <c r="X55" s="343">
        <f>SUM(X47:X54)</f>
      </c>
      <c r="Y55" s="343">
        <f>SUM(Y47:Y54)</f>
      </c>
      <c r="Z55" s="343">
        <f>SUM(Z47:Z54)</f>
      </c>
      <c r="AA55" s="347"/>
    </row>
    <row customHeight="true" ht="25.185185185185183" r="56">
      <c r="A56" s="296" t="s">
        <v>486</v>
      </c>
      <c r="B56" s="337" t="s">
        <v>487</v>
      </c>
      <c r="C56" s="348">
        <f>C38/C11</f>
      </c>
      <c r="D56" s="348">
        <f>D38/D10</f>
      </c>
      <c r="E56" s="348">
        <f>E38/E10</f>
      </c>
      <c r="F56" s="348">
        <f>F38/F10</f>
      </c>
      <c r="G56" s="348">
        <f>G38/G10</f>
      </c>
      <c r="H56" s="348">
        <f>H38/H10</f>
      </c>
      <c r="I56" s="348">
        <f>I38/I10</f>
      </c>
      <c r="J56" s="348">
        <f>J38/J10</f>
      </c>
      <c r="K56" s="348">
        <f>K38/K10</f>
      </c>
      <c r="L56" s="348">
        <f>L38/L10</f>
      </c>
      <c r="M56" s="348">
        <f>M38/M10</f>
      </c>
      <c r="N56" s="348">
        <f>N38/N10</f>
      </c>
      <c r="O56" s="348">
        <f>O38/O10</f>
      </c>
      <c r="P56" s="348">
        <f>P38/P10</f>
      </c>
      <c r="Q56" s="348">
        <f>Q38/Q10</f>
      </c>
      <c r="R56" s="348">
        <f>R38/R10</f>
      </c>
      <c r="S56" s="348">
        <f>S38/S10</f>
      </c>
      <c r="T56" s="348">
        <f>T38/T10</f>
      </c>
      <c r="U56" s="348">
        <f>U38/U10</f>
      </c>
      <c r="V56" s="348">
        <f>V38/V10</f>
      </c>
      <c r="W56" s="348">
        <f>W38/W10</f>
      </c>
      <c r="X56" s="348">
        <f>X38/X10</f>
      </c>
      <c r="Y56" s="348">
        <f>Y38/Y10</f>
      </c>
      <c r="Z56" s="348">
        <f>Z38/Z10</f>
      </c>
      <c r="AA56" s="289"/>
    </row>
    <row customHeight="true" ht="25.185185185185183" r="57">
      <c r="A57" s="296"/>
      <c r="B57" s="337" t="s">
        <v>488</v>
      </c>
      <c r="C57" s="348">
        <f>C39/C11</f>
      </c>
      <c r="D57" s="348">
        <f>D39/D10</f>
      </c>
      <c r="E57" s="348">
        <f>E39/E10</f>
      </c>
      <c r="F57" s="348">
        <f>F39/F10</f>
      </c>
      <c r="G57" s="348">
        <f>G39/G10</f>
      </c>
      <c r="H57" s="348">
        <f>H39/H10</f>
      </c>
      <c r="I57" s="348">
        <f>I39/I10</f>
      </c>
      <c r="J57" s="348">
        <f>J39/J10</f>
      </c>
      <c r="K57" s="348">
        <f>K39/K10</f>
      </c>
      <c r="L57" s="348">
        <f>L39/L10</f>
      </c>
      <c r="M57" s="348">
        <f>M39/M10</f>
      </c>
      <c r="N57" s="348">
        <f>N39/N10</f>
      </c>
      <c r="O57" s="348">
        <f>O39/O10</f>
      </c>
      <c r="P57" s="348">
        <f>P39/P10</f>
      </c>
      <c r="Q57" s="348">
        <f>Q39/Q10</f>
      </c>
      <c r="R57" s="348">
        <f>R39/R10</f>
      </c>
      <c r="S57" s="348">
        <f>S39/S10</f>
      </c>
      <c r="T57" s="348">
        <f>T39/T10</f>
      </c>
      <c r="U57" s="348">
        <f>U39/U10</f>
      </c>
      <c r="V57" s="348">
        <f>V39/V10</f>
      </c>
      <c r="W57" s="348">
        <f>W39/W10</f>
      </c>
      <c r="X57" s="348">
        <f>X39/X10</f>
      </c>
      <c r="Y57" s="348">
        <f>Y39/Y10</f>
      </c>
      <c r="Z57" s="348">
        <f>Z39/Z10</f>
      </c>
      <c r="AA57" s="289"/>
    </row>
    <row customHeight="true" ht="25.185185185185183" r="58">
      <c r="A58" s="296"/>
      <c r="B58" s="337" t="s">
        <v>489</v>
      </c>
      <c r="C58" s="348">
        <f>C40/C11</f>
      </c>
      <c r="D58" s="348">
        <f>D40/D10</f>
      </c>
      <c r="E58" s="348">
        <f>E40/E10</f>
      </c>
      <c r="F58" s="348">
        <f>F40/F10</f>
      </c>
      <c r="G58" s="348">
        <f>G40/G10</f>
      </c>
      <c r="H58" s="348">
        <f>H40/H10</f>
      </c>
      <c r="I58" s="348">
        <f>I40/I10</f>
      </c>
      <c r="J58" s="348">
        <f>J40/J10</f>
      </c>
      <c r="K58" s="348">
        <f>K40/K10</f>
      </c>
      <c r="L58" s="348">
        <f>L40/L10</f>
      </c>
      <c r="M58" s="348">
        <f>M40/M10</f>
      </c>
      <c r="N58" s="348">
        <f>N40/N10</f>
      </c>
      <c r="O58" s="348">
        <f>O40/O10</f>
      </c>
      <c r="P58" s="348">
        <f>P40/P10</f>
      </c>
      <c r="Q58" s="348">
        <f>Q40/Q10</f>
      </c>
      <c r="R58" s="348">
        <f>R40/R10</f>
      </c>
      <c r="S58" s="348">
        <f>S40/S10</f>
      </c>
      <c r="T58" s="348">
        <f>T40/T10</f>
      </c>
      <c r="U58" s="348">
        <f>U40/U10</f>
      </c>
      <c r="V58" s="348">
        <f>V40/V10</f>
      </c>
      <c r="W58" s="348">
        <f>W40/W10</f>
      </c>
      <c r="X58" s="348">
        <f>X40/X10</f>
      </c>
      <c r="Y58" s="348">
        <f>Y40/Y10</f>
      </c>
      <c r="Z58" s="348">
        <f>Z40/Z10</f>
      </c>
      <c r="AA58" s="289"/>
    </row>
    <row customHeight="true" ht="25.185185185185183" r="59">
      <c r="A59" s="296"/>
      <c r="B59" s="337" t="s">
        <v>490</v>
      </c>
      <c r="C59" s="348">
        <f>C41/C11</f>
      </c>
      <c r="D59" s="348">
        <f>D41/D10</f>
      </c>
      <c r="E59" s="348">
        <f>E41/E10</f>
      </c>
      <c r="F59" s="348">
        <f>F41/F10</f>
      </c>
      <c r="G59" s="348">
        <f>G41/G10</f>
      </c>
      <c r="H59" s="348">
        <f>H41/H10</f>
      </c>
      <c r="I59" s="348">
        <f>I41/I10</f>
      </c>
      <c r="J59" s="348">
        <f>J41/J10</f>
      </c>
      <c r="K59" s="348">
        <f>K41/K10</f>
      </c>
      <c r="L59" s="348">
        <f>L41/L10</f>
      </c>
      <c r="M59" s="348">
        <f>M41/M10</f>
      </c>
      <c r="N59" s="348">
        <f>N41/N10</f>
      </c>
      <c r="O59" s="348">
        <f>O41/O10</f>
      </c>
      <c r="P59" s="348">
        <f>P41/P10</f>
      </c>
      <c r="Q59" s="348">
        <f>Q41/Q10</f>
      </c>
      <c r="R59" s="348">
        <f>R41/R10</f>
      </c>
      <c r="S59" s="348">
        <f>S41/S10</f>
      </c>
      <c r="T59" s="348">
        <f>T41/T10</f>
      </c>
      <c r="U59" s="348">
        <f>U41/U10</f>
      </c>
      <c r="V59" s="348">
        <f>V41/V10</f>
      </c>
      <c r="W59" s="348">
        <f>W41/W10</f>
      </c>
      <c r="X59" s="348">
        <f>X41/X10</f>
      </c>
      <c r="Y59" s="348">
        <f>Y41/Y10</f>
      </c>
      <c r="Z59" s="348">
        <f>Z41/Z10</f>
      </c>
      <c r="AA59" s="289"/>
    </row>
    <row customHeight="true" ht="25.185185185185183" r="60">
      <c r="A60" s="296"/>
      <c r="B60" s="337" t="s">
        <v>491</v>
      </c>
      <c r="C60" s="348">
        <v>0.15</v>
      </c>
      <c r="D60" s="348">
        <v>0.15</v>
      </c>
      <c r="E60" s="348">
        <v>0.15</v>
      </c>
      <c r="F60" s="348">
        <v>0.15</v>
      </c>
      <c r="G60" s="348">
        <v>0.15</v>
      </c>
      <c r="H60" s="348">
        <v>0.15</v>
      </c>
      <c r="I60" s="348">
        <v>0.15</v>
      </c>
      <c r="J60" s="348">
        <v>0.15</v>
      </c>
      <c r="K60" s="348">
        <v>0.15</v>
      </c>
      <c r="L60" s="348">
        <v>0.15</v>
      </c>
      <c r="M60" s="348">
        <v>0.15</v>
      </c>
      <c r="N60" s="348">
        <v>0.15</v>
      </c>
      <c r="O60" s="348">
        <v>0.15</v>
      </c>
      <c r="P60" s="348">
        <v>0.15</v>
      </c>
      <c r="Q60" s="348">
        <v>0.15</v>
      </c>
      <c r="R60" s="348">
        <v>0.15</v>
      </c>
      <c r="S60" s="348">
        <v>0.15</v>
      </c>
      <c r="T60" s="348">
        <v>0.15</v>
      </c>
      <c r="U60" s="348">
        <v>0.15</v>
      </c>
      <c r="V60" s="348">
        <v>0.15</v>
      </c>
      <c r="W60" s="348">
        <v>0.15</v>
      </c>
      <c r="X60" s="348">
        <v>0.15</v>
      </c>
      <c r="Y60" s="348">
        <v>0.15</v>
      </c>
      <c r="Z60" s="348">
        <v>0.15</v>
      </c>
      <c r="AA60" s="289"/>
    </row>
    <row customHeight="true" ht="25.185185185185183" r="61">
      <c r="A61" s="296"/>
      <c r="B61" s="337" t="s">
        <v>492</v>
      </c>
      <c r="C61" s="348">
        <f>C43/C11</f>
      </c>
      <c r="D61" s="348">
        <f>D43/D10</f>
      </c>
      <c r="E61" s="348">
        <f>E43/E10</f>
      </c>
      <c r="F61" s="348">
        <f>F43/F10</f>
      </c>
      <c r="G61" s="348">
        <f>G43/G10</f>
      </c>
      <c r="H61" s="348">
        <f>H43/H10</f>
      </c>
      <c r="I61" s="348">
        <f>I43/I10</f>
      </c>
      <c r="J61" s="348">
        <f>J43/J10</f>
      </c>
      <c r="K61" s="348">
        <f>K43/K10</f>
      </c>
      <c r="L61" s="348">
        <f>L43/L10</f>
      </c>
      <c r="M61" s="348">
        <f>M43/M10</f>
      </c>
      <c r="N61" s="348">
        <f>N43/N10</f>
      </c>
      <c r="O61" s="348">
        <f>O43/O10</f>
      </c>
      <c r="P61" s="348">
        <f>P43/P10</f>
      </c>
      <c r="Q61" s="348">
        <f>Q43/Q10</f>
      </c>
      <c r="R61" s="348">
        <f>R43/R10</f>
      </c>
      <c r="S61" s="348">
        <f>S43/S10</f>
      </c>
      <c r="T61" s="348">
        <f>T43/T10</f>
      </c>
      <c r="U61" s="348">
        <f>U43/U10</f>
      </c>
      <c r="V61" s="348">
        <f>V43/V10</f>
      </c>
      <c r="W61" s="348">
        <f>W43/W10</f>
      </c>
      <c r="X61" s="348">
        <f>X43/X10</f>
      </c>
      <c r="Y61" s="348">
        <f>Y43/Y10</f>
      </c>
      <c r="Z61" s="348">
        <f>Z43/Z10</f>
      </c>
      <c r="AA61" s="289"/>
    </row>
    <row customHeight="true" ht="25.185185185185183" r="62">
      <c r="A62" s="296"/>
      <c r="B62" s="342" t="s">
        <v>493</v>
      </c>
      <c r="C62" s="348">
        <v>0</v>
      </c>
      <c r="D62" s="348">
        <v>0</v>
      </c>
      <c r="E62" s="348">
        <v>0</v>
      </c>
      <c r="F62" s="348">
        <v>0.05</v>
      </c>
      <c r="G62" s="348">
        <v>0.05</v>
      </c>
      <c r="H62" s="348">
        <v>0.05</v>
      </c>
      <c r="I62" s="348">
        <v>0.05</v>
      </c>
      <c r="J62" s="348">
        <v>0.05</v>
      </c>
      <c r="K62" s="348">
        <v>0.05</v>
      </c>
      <c r="L62" s="348">
        <v>0.05</v>
      </c>
      <c r="M62" s="348">
        <v>0.05</v>
      </c>
      <c r="N62" s="348">
        <v>0.05</v>
      </c>
      <c r="O62" s="348">
        <v>0.05</v>
      </c>
      <c r="P62" s="348">
        <v>0.05</v>
      </c>
      <c r="Q62" s="348">
        <v>0.05</v>
      </c>
      <c r="R62" s="348">
        <v>0.05</v>
      </c>
      <c r="S62" s="348">
        <v>0.05</v>
      </c>
      <c r="T62" s="348">
        <v>0.05</v>
      </c>
      <c r="U62" s="348">
        <v>0.05</v>
      </c>
      <c r="V62" s="348">
        <v>0.05</v>
      </c>
      <c r="W62" s="348">
        <v>0.05</v>
      </c>
      <c r="X62" s="348">
        <v>0.05</v>
      </c>
      <c r="Y62" s="348">
        <v>0.05</v>
      </c>
      <c r="Z62" s="348">
        <v>0.05</v>
      </c>
      <c r="AA62" s="289"/>
    </row>
    <row customHeight="true" ht="25.185185185185183" r="63">
      <c r="A63" s="296"/>
      <c r="B63" s="337" t="s">
        <v>494</v>
      </c>
      <c r="C63" s="348">
        <v>0.02</v>
      </c>
      <c r="D63" s="348">
        <v>0.02</v>
      </c>
      <c r="E63" s="348">
        <v>0.02</v>
      </c>
      <c r="F63" s="348">
        <v>0.02</v>
      </c>
      <c r="G63" s="348">
        <v>0.02</v>
      </c>
      <c r="H63" s="348">
        <v>0.02</v>
      </c>
      <c r="I63" s="348">
        <v>0.02</v>
      </c>
      <c r="J63" s="348">
        <v>0.02</v>
      </c>
      <c r="K63" s="348">
        <v>0.02</v>
      </c>
      <c r="L63" s="348">
        <v>0.02</v>
      </c>
      <c r="M63" s="348">
        <v>0.02</v>
      </c>
      <c r="N63" s="348">
        <v>0.02</v>
      </c>
      <c r="O63" s="348">
        <v>0.02</v>
      </c>
      <c r="P63" s="348">
        <v>0.02</v>
      </c>
      <c r="Q63" s="348">
        <v>0.02</v>
      </c>
      <c r="R63" s="348">
        <v>0.02</v>
      </c>
      <c r="S63" s="348">
        <v>0.02</v>
      </c>
      <c r="T63" s="348">
        <v>0.02</v>
      </c>
      <c r="U63" s="348">
        <v>0.02</v>
      </c>
      <c r="V63" s="348">
        <v>0.02</v>
      </c>
      <c r="W63" s="348">
        <v>0.02</v>
      </c>
      <c r="X63" s="348">
        <v>0.02</v>
      </c>
      <c r="Y63" s="348">
        <v>0.02</v>
      </c>
      <c r="Z63" s="348">
        <v>0.02</v>
      </c>
      <c r="AA63" s="289"/>
    </row>
    <row customHeight="true" ht="25.185185185185183" r="64">
      <c r="A64" s="296"/>
      <c r="B64" s="337" t="s">
        <v>495</v>
      </c>
      <c r="C64" s="348">
        <f>C46/C10</f>
      </c>
      <c r="D64" s="348">
        <f>D46/D10</f>
      </c>
      <c r="E64" s="348">
        <f>E46/E10</f>
      </c>
      <c r="F64" s="348">
        <f>F46/F10</f>
      </c>
      <c r="G64" s="348">
        <f>G46/G10</f>
      </c>
      <c r="H64" s="348">
        <f>H46/H10</f>
      </c>
      <c r="I64" s="348">
        <f>I46/I10</f>
      </c>
      <c r="J64" s="348">
        <f>J46/J10</f>
      </c>
      <c r="K64" s="348">
        <f>K46/K10</f>
      </c>
      <c r="L64" s="348">
        <f>L46/L10</f>
      </c>
      <c r="M64" s="348">
        <f>M46/M10</f>
      </c>
      <c r="N64" s="348">
        <f>N46/N10</f>
      </c>
      <c r="O64" s="348">
        <f>O46/O10</f>
      </c>
      <c r="P64" s="348">
        <f>P46/P10</f>
      </c>
      <c r="Q64" s="348">
        <f>Q46/Q10</f>
      </c>
      <c r="R64" s="348">
        <f>R46/R10</f>
      </c>
      <c r="S64" s="348">
        <f>S46/S10</f>
      </c>
      <c r="T64" s="348">
        <f>T46/T10</f>
      </c>
      <c r="U64" s="348">
        <f>U46/U10</f>
      </c>
      <c r="V64" s="348">
        <f>V46/V10</f>
      </c>
      <c r="W64" s="348">
        <f>W46/W10</f>
      </c>
      <c r="X64" s="348">
        <f>X46/X10</f>
      </c>
      <c r="Y64" s="348">
        <f>Y46/Y10</f>
      </c>
      <c r="Z64" s="348">
        <f>Z46/Z10</f>
      </c>
      <c r="AA64" s="289"/>
    </row>
    <row customHeight="true" ht="25.185185185185183" r="65">
      <c r="A65" s="296" t="s">
        <v>496</v>
      </c>
      <c r="B65" s="321" t="s">
        <v>497</v>
      </c>
      <c r="C65" s="322">
        <v>1500</v>
      </c>
      <c r="D65" s="322">
        <f>C65-C13</f>
      </c>
      <c r="E65" s="322">
        <f>D65-D13</f>
      </c>
      <c r="F65" s="322">
        <f>E65-E13</f>
      </c>
      <c r="G65" s="322">
        <f>F65-F13</f>
      </c>
      <c r="H65" s="322">
        <f>G65-G12</f>
      </c>
      <c r="I65" s="322">
        <f>H65-H12</f>
      </c>
      <c r="J65" s="322">
        <f>I65-I12</f>
      </c>
      <c r="K65" s="322">
        <f>J65-J12</f>
      </c>
      <c r="L65" s="322">
        <f>K65-K12</f>
      </c>
      <c r="M65" s="322">
        <f>L65-L12</f>
      </c>
      <c r="N65" s="322">
        <f>M65-M12</f>
      </c>
      <c r="O65" s="322">
        <f>N65-N12</f>
      </c>
      <c r="P65" s="322">
        <f>O65-O12</f>
      </c>
      <c r="Q65" s="322">
        <f>P65-P12</f>
      </c>
      <c r="R65" s="322">
        <f>Q65-Q12</f>
      </c>
      <c r="S65" s="322">
        <f>R65-R12</f>
      </c>
      <c r="T65" s="322">
        <f>S65-S12</f>
      </c>
      <c r="U65" s="322">
        <f>T65-T12</f>
      </c>
      <c r="V65" s="322">
        <f>U65-U12</f>
      </c>
      <c r="W65" s="322">
        <f>V65-V12</f>
      </c>
      <c r="X65" s="322">
        <f>W65-W12</f>
      </c>
      <c r="Y65" s="322">
        <f>X65-X12</f>
      </c>
      <c r="Z65" s="322">
        <f>Y65-Y12</f>
      </c>
      <c r="AA65" s="289"/>
    </row>
    <row customHeight="true" ht="25.185185185185183" r="66">
      <c r="A66" s="296"/>
      <c r="B66" s="331" t="s">
        <v>498</v>
      </c>
      <c r="C66" s="322">
        <f>C65*122.57</f>
      </c>
      <c r="D66" s="322">
        <f>D65*122.57</f>
      </c>
      <c r="E66" s="322">
        <f>E65*122.57</f>
      </c>
      <c r="F66" s="322">
        <f>F65*122.57</f>
      </c>
      <c r="G66" s="322">
        <f>G65*122.57</f>
      </c>
      <c r="H66" s="322">
        <f>H65*122.57</f>
      </c>
      <c r="I66" s="322">
        <f>I65*122.57</f>
      </c>
      <c r="J66" s="322">
        <f>J65*122.57</f>
      </c>
      <c r="K66" s="322">
        <f>K65*122.57</f>
      </c>
      <c r="L66" s="322">
        <f>L65*122.57</f>
      </c>
      <c r="M66" s="322">
        <f>M65*122.57</f>
      </c>
      <c r="N66" s="322">
        <f>N65*122.57</f>
      </c>
      <c r="O66" s="322">
        <f>O65*122.57</f>
      </c>
      <c r="P66" s="322">
        <f>P65*122.57</f>
      </c>
      <c r="Q66" s="322">
        <f>Q65*122.57</f>
      </c>
      <c r="R66" s="322">
        <f>R65*122.57</f>
      </c>
      <c r="S66" s="322">
        <f>S65*122.57</f>
      </c>
      <c r="T66" s="322">
        <f>T65*122.57</f>
      </c>
      <c r="U66" s="322">
        <f>U65*122.57</f>
      </c>
      <c r="V66" s="322">
        <f>V65*122.57</f>
      </c>
      <c r="W66" s="322">
        <f>W65*122.57</f>
      </c>
      <c r="X66" s="322">
        <f>X65*122.57</f>
      </c>
      <c r="Y66" s="322">
        <f>Y65*122.57</f>
      </c>
      <c r="Z66" s="322">
        <f>Z65*122.57</f>
      </c>
      <c r="AA66" s="289"/>
    </row>
    <row customHeight="true" ht="25.185185185185183" r="67">
      <c r="A67" s="296" t="s">
        <v>499</v>
      </c>
      <c r="B67" s="331" t="s">
        <v>500</v>
      </c>
      <c r="C67" s="349">
        <f>C66+C38+C39+C43+C45+C28</f>
      </c>
      <c r="D67" s="349">
        <f>D66+D38+D39+D43+D45+D28</f>
      </c>
      <c r="E67" s="349">
        <f>E66+E38+E39+E43+E45+E28</f>
      </c>
      <c r="F67" s="349">
        <f>F66+F38+F39+F43+F45+F28</f>
      </c>
      <c r="G67" s="349">
        <f>G66+G38+G39+G43+G45+G28</f>
      </c>
      <c r="H67" s="349">
        <f>H66+H38+H39+H43+H45+H28</f>
      </c>
      <c r="I67" s="349">
        <f>I66+I38+I39+I43+I45+I28</f>
      </c>
      <c r="J67" s="349">
        <f>J66+J38+J39+J43+J45+J28</f>
      </c>
      <c r="K67" s="349">
        <f>K66+K38+K39+K43+K45+K28</f>
      </c>
      <c r="L67" s="349">
        <f>L66+L38+L39+L43+L45+L28</f>
      </c>
      <c r="M67" s="349">
        <f>M66+M38+M39+M43+M45+M28</f>
      </c>
      <c r="N67" s="349">
        <f>N66+#NULL!+N28+N38+N43</f>
      </c>
      <c r="O67" s="349">
        <f>O66+#NULL!+O28+O38+O43</f>
      </c>
      <c r="P67" s="349">
        <f>P66+#NULL!+P28+P38+P43</f>
      </c>
      <c r="Q67" s="349">
        <f>Q66+#NULL!+Q28+Q38+Q43</f>
      </c>
      <c r="R67" s="349">
        <f>R66+#NULL!+R28+R38+R43</f>
      </c>
      <c r="S67" s="349">
        <f>S66+#NULL!+S28+S38+S43</f>
      </c>
      <c r="T67" s="349">
        <f>T66+#NULL!+T28+T38+T43</f>
      </c>
      <c r="U67" s="349">
        <f>U66+#NULL!+U28+U38+U43</f>
      </c>
      <c r="V67" s="349">
        <f>V66+#NULL!+V28+V38+V43</f>
      </c>
      <c r="W67" s="349">
        <f>W66+#NULL!+W28+W38+W43</f>
      </c>
      <c r="X67" s="349">
        <f>X66+#NULL!+X28+X38+X43</f>
      </c>
      <c r="Y67" s="349">
        <f>Y66+#NULL!+Y28+Y38+Y43</f>
      </c>
      <c r="Z67" s="349">
        <f>Z66+#NULL!+Z28+Z38+Z43</f>
      </c>
      <c r="AA67" s="350">
        <f t="shared" ref="AA67:AA68" si="48">SUM(C67:Z67)</f>
      </c>
    </row>
    <row customHeight="true" ht="25.185185185185183" r="68">
      <c r="A68" s="296"/>
      <c r="B68" s="331" t="s">
        <v>501</v>
      </c>
      <c r="C68" s="349">
        <f>C66+C38+C39+C40+C43+C45+C29</f>
      </c>
      <c r="D68" s="349">
        <f>D66+D38+D39+D40+D43+D45+D29</f>
      </c>
      <c r="E68" s="349">
        <f>E66+E38+E39+E40+E43+E45+E29</f>
      </c>
      <c r="F68" s="349">
        <f>F66+F38+F39+F40+F43+F45+F29</f>
      </c>
      <c r="G68" s="349">
        <f>G66+G38+G39+G40+G43+G45+G29</f>
      </c>
      <c r="H68" s="349">
        <f>H66+H38+H39+H40+H43+H45+H29</f>
      </c>
      <c r="I68" s="349">
        <f>I66+I38+I39+I40+I43+I45+I29</f>
      </c>
      <c r="J68" s="349">
        <f>J66+J38+J39+J40+J43+J45+J29</f>
      </c>
      <c r="K68" s="349">
        <f>K66+K38+K39+K40+K43+K45+K29</f>
      </c>
      <c r="L68" s="349">
        <f>L66+L38+L39+L40+L43+L45+L29</f>
      </c>
      <c r="M68" s="349">
        <f>M66+M38+M39+M40+M43+M45+M29</f>
      </c>
      <c r="N68" s="322">
        <f>N66+#NULL!+N44+N41+N29</f>
      </c>
      <c r="O68" s="322">
        <f>O66+#NULL!+O44+O41+O29</f>
      </c>
      <c r="P68" s="322">
        <f>P66+#NULL!+P44+P41+P29</f>
      </c>
      <c r="Q68" s="322">
        <f>Q66+#NULL!+Q44+Q41+Q29</f>
      </c>
      <c r="R68" s="322">
        <f>R66+#NULL!+R44+R41+R29</f>
      </c>
      <c r="S68" s="322">
        <f>S66+#NULL!+S44+S41+S29</f>
      </c>
      <c r="T68" s="322">
        <f>T66+#NULL!+T44+T41+T29</f>
      </c>
      <c r="U68" s="322">
        <f>U66+#NULL!+U44+U41+U29</f>
      </c>
      <c r="V68" s="322">
        <f>V66+#NULL!+V44+V41+V29</f>
      </c>
      <c r="W68" s="322">
        <f>W66+#NULL!+W44+W41+W29</f>
      </c>
      <c r="X68" s="322">
        <f>X66+#NULL!+X44+X41+X29</f>
      </c>
      <c r="Y68" s="322">
        <f>Y66+#NULL!+Y44+Y41+Y29</f>
      </c>
      <c r="Z68" s="322">
        <f>Z66+#NULL!+Z44+Z41+Z29</f>
      </c>
      <c r="AA68" s="350">
        <f t="shared" si="48"/>
      </c>
    </row>
  </sheetData>
  <mergeCells>
    <mergeCell ref="A1:B1"/>
    <mergeCell ref="C1:F1"/>
    <mergeCell ref="G1:J1"/>
    <mergeCell ref="K1:N1"/>
    <mergeCell ref="O1:R1"/>
    <mergeCell ref="S1:V1"/>
    <mergeCell ref="W1:Z1"/>
    <mergeCell ref="A2:B2"/>
    <mergeCell ref="C2:F2"/>
    <mergeCell ref="G2:J2"/>
    <mergeCell ref="K2:N2"/>
    <mergeCell ref="O2:R2"/>
    <mergeCell ref="S2:V2"/>
    <mergeCell ref="W2:Z2"/>
    <mergeCell ref="A3:B3"/>
    <mergeCell ref="C5:F5"/>
    <mergeCell ref="G5:J5"/>
    <mergeCell ref="K5:N5"/>
    <mergeCell ref="O5:R5"/>
    <mergeCell ref="S5:V5"/>
    <mergeCell ref="W5:Z5"/>
    <mergeCell ref="A6:A7"/>
    <mergeCell ref="A8:A9"/>
    <mergeCell ref="A10:A17"/>
    <mergeCell ref="A18:A21"/>
    <mergeCell ref="A22:A29"/>
    <mergeCell ref="A30:A37"/>
    <mergeCell ref="A38:A46"/>
    <mergeCell ref="A47:A55"/>
    <mergeCell ref="A56:A64"/>
    <mergeCell ref="A65:A66"/>
    <mergeCell ref="A67:A68"/>
  </mergeCells>
  <legacy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>
      <pane state="frozen" topLeftCell="C5" xSplit="2" ySplit="4"/>
    </sheetView>
  </sheetViews>
  <sheetFormatPr defaultRowHeight="16"/>
  <cols>
    <col collapsed="false" customWidth="true" hidden="false" max="17" min="17" style="0" width="22.466666666666665"/>
    <col collapsed="false" customWidth="true" hidden="false" max="21" min="21" style="0" width="22.466666666666665"/>
    <col collapsed="false" customWidth="true" hidden="false" max="25" min="25" style="0" width="22.466666666666665"/>
    <col collapsed="false" customWidth="true" hidden="false" max="1" min="1" style="0" width="17.4"/>
    <col collapsed="false" customWidth="true" hidden="false" max="5" min="5" style="0" width="22.466666666666665"/>
    <col collapsed="false" customWidth="true" hidden="false" max="9" min="9" style="0" width="22.466666666666665"/>
    <col collapsed="false" customWidth="true" hidden="false" max="13" min="13" style="0" width="22.466666666666665"/>
    <col collapsed="false" customWidth="true" hidden="false" max="18" min="18" style="0" width="22.466666666666665"/>
    <col collapsed="false" customWidth="true" hidden="false" max="22" min="22" style="0" width="22.466666666666665"/>
    <col collapsed="false" customWidth="true" hidden="false" max="26" min="26" style="0" width="22.466666666666665"/>
    <col collapsed="false" customWidth="true" hidden="false" max="2" min="2" style="0" width="24.733333333333334"/>
    <col collapsed="false" customWidth="true" hidden="false" max="6" min="6" style="0" width="22.466666666666665"/>
    <col collapsed="false" customWidth="true" hidden="false" max="10" min="10" style="0" width="22.466666666666665"/>
    <col collapsed="false" customWidth="true" hidden="false" max="14" min="14" style="0" width="22.466666666666665"/>
    <col collapsed="false" customWidth="true" hidden="false" max="19" min="19" style="0" width="22.466666666666665"/>
    <col collapsed="false" customWidth="true" hidden="false" max="23" min="23" style="0" width="22.466666666666665"/>
    <col collapsed="false" customWidth="true" hidden="false" max="27" min="27" style="0" width="181.26666666666668"/>
    <col collapsed="false" customWidth="true" hidden="false" max="3" min="3" style="0" width="22.466666666666665"/>
    <col collapsed="false" customWidth="true" hidden="false" max="7" min="7" style="0" width="22.466666666666665"/>
    <col collapsed="false" customWidth="true" hidden="false" max="11" min="11" style="0" width="22.466666666666665"/>
    <col collapsed="false" customWidth="true" hidden="false" max="15" min="15" style="0" width="22.466666666666665"/>
    <col collapsed="false" customWidth="true" hidden="false" max="20" min="20" style="0" width="22.466666666666665"/>
    <col collapsed="false" customWidth="true" hidden="false" max="24" min="24" style="0" width="22.466666666666665"/>
    <col collapsed="false" customWidth="true" hidden="false" max="4" min="4" style="0" width="22.466666666666665"/>
    <col collapsed="false" customWidth="true" hidden="false" max="8" min="8" style="0" width="22.466666666666665"/>
    <col collapsed="false" customWidth="true" hidden="false" max="12" min="12" style="0" width="22.466666666666665"/>
    <col collapsed="false" customWidth="true" hidden="false" max="16" min="16" style="0" width="22.466666666666665"/>
  </cols>
  <sheetData>
    <row customHeight="true" ht="28.148148148148145" r="1">
      <c r="A1" s="351" t="s">
        <v>502</v>
      </c>
      <c r="B1" s="352"/>
      <c r="C1" s="353" t="s">
        <v>503</v>
      </c>
      <c r="D1" s="354"/>
      <c r="E1" s="354"/>
      <c r="F1" s="354"/>
      <c r="G1" s="355" t="s">
        <v>504</v>
      </c>
      <c r="H1" s="356"/>
      <c r="I1" s="356"/>
      <c r="J1" s="356"/>
      <c r="K1" s="357" t="s">
        <v>505</v>
      </c>
      <c r="L1" s="358"/>
      <c r="M1" s="358"/>
      <c r="N1" s="358"/>
      <c r="O1" s="359" t="s">
        <v>506</v>
      </c>
      <c r="P1" s="360"/>
      <c r="Q1" s="360"/>
      <c r="R1" s="360"/>
      <c r="S1" s="355" t="s">
        <v>507</v>
      </c>
      <c r="T1" s="356"/>
      <c r="U1" s="356"/>
      <c r="V1" s="356"/>
      <c r="W1" s="361" t="s">
        <v>508</v>
      </c>
      <c r="X1" s="362"/>
      <c r="Y1" s="362"/>
      <c r="Z1" s="362"/>
    </row>
    <row customHeight="true" ht="28.888888888888886" r="2">
      <c r="A2" s="351" t="s">
        <v>509</v>
      </c>
      <c r="B2" s="363"/>
      <c r="C2" s="364" t="s">
        <v>510</v>
      </c>
      <c r="D2" s="365"/>
      <c r="E2" s="365"/>
      <c r="F2" s="365"/>
      <c r="G2" s="366" t="s">
        <v>511</v>
      </c>
      <c r="H2" s="367"/>
      <c r="I2" s="367"/>
      <c r="J2" s="367"/>
      <c r="K2" s="368" t="s">
        <v>512</v>
      </c>
      <c r="L2" s="368"/>
      <c r="M2" s="368"/>
      <c r="N2" s="368"/>
      <c r="O2" s="369" t="s">
        <v>513</v>
      </c>
      <c r="P2" s="369"/>
      <c r="Q2" s="369"/>
      <c r="R2" s="369"/>
      <c r="S2" s="366" t="s">
        <v>513</v>
      </c>
      <c r="T2" s="366"/>
      <c r="U2" s="366"/>
      <c r="V2" s="366"/>
      <c r="W2" s="370" t="s">
        <v>513</v>
      </c>
      <c r="X2" s="370"/>
      <c r="Y2" s="370"/>
      <c r="Z2" s="370"/>
      <c r="AA2" s="371"/>
    </row>
    <row customHeight="true" ht="20" r="3">
      <c r="A3" s="372" t="s">
        <v>514</v>
      </c>
      <c r="B3" s="352"/>
      <c r="C3" s="353" t="s">
        <v>515</v>
      </c>
      <c r="D3" s="353" t="s">
        <v>516</v>
      </c>
      <c r="E3" s="353" t="s">
        <v>517</v>
      </c>
      <c r="F3" s="353" t="s">
        <v>518</v>
      </c>
      <c r="G3" s="355" t="s">
        <v>515</v>
      </c>
      <c r="H3" s="355" t="s">
        <v>516</v>
      </c>
      <c r="I3" s="355" t="s">
        <v>517</v>
      </c>
      <c r="J3" s="355" t="s">
        <v>518</v>
      </c>
      <c r="K3" s="357" t="s">
        <v>515</v>
      </c>
      <c r="L3" s="357" t="s">
        <v>516</v>
      </c>
      <c r="M3" s="357" t="s">
        <v>517</v>
      </c>
      <c r="N3" s="357" t="s">
        <v>518</v>
      </c>
      <c r="O3" s="359" t="s">
        <v>515</v>
      </c>
      <c r="P3" s="359" t="s">
        <v>516</v>
      </c>
      <c r="Q3" s="359" t="s">
        <v>517</v>
      </c>
      <c r="R3" s="359" t="s">
        <v>518</v>
      </c>
      <c r="S3" s="355" t="s">
        <v>515</v>
      </c>
      <c r="T3" s="355" t="s">
        <v>516</v>
      </c>
      <c r="U3" s="355" t="s">
        <v>517</v>
      </c>
      <c r="V3" s="355" t="s">
        <v>518</v>
      </c>
      <c r="W3" s="361" t="s">
        <v>515</v>
      </c>
      <c r="X3" s="361" t="s">
        <v>516</v>
      </c>
      <c r="Y3" s="361" t="s">
        <v>517</v>
      </c>
      <c r="Z3" s="361" t="s">
        <v>518</v>
      </c>
    </row>
    <row customHeight="true" ht="20" r="4">
      <c r="A4" s="372" t="s">
        <v>519</v>
      </c>
      <c r="B4" s="352" t="s">
        <v>520</v>
      </c>
      <c r="C4" s="373" t="s">
        <v>521</v>
      </c>
      <c r="D4" s="373" t="s">
        <v>522</v>
      </c>
      <c r="E4" s="373" t="s">
        <v>523</v>
      </c>
      <c r="F4" s="374" t="s">
        <v>524</v>
      </c>
      <c r="G4" s="375" t="s">
        <v>525</v>
      </c>
      <c r="H4" s="375" t="s">
        <v>526</v>
      </c>
      <c r="I4" s="375" t="s">
        <v>527</v>
      </c>
      <c r="J4" s="375" t="s">
        <v>528</v>
      </c>
      <c r="K4" s="376" t="s">
        <v>529</v>
      </c>
      <c r="L4" s="376" t="s">
        <v>530</v>
      </c>
      <c r="M4" s="376" t="s">
        <v>531</v>
      </c>
      <c r="N4" s="376" t="s">
        <v>532</v>
      </c>
      <c r="O4" s="377" t="s">
        <v>533</v>
      </c>
      <c r="P4" s="377" t="s">
        <v>534</v>
      </c>
      <c r="Q4" s="377" t="s">
        <v>535</v>
      </c>
      <c r="R4" s="377" t="s">
        <v>536</v>
      </c>
      <c r="S4" s="378" t="s">
        <v>537</v>
      </c>
      <c r="T4" s="378" t="s">
        <v>538</v>
      </c>
      <c r="U4" s="378" t="s">
        <v>539</v>
      </c>
      <c r="V4" s="378" t="s">
        <v>540</v>
      </c>
      <c r="W4" s="379" t="s">
        <v>541</v>
      </c>
      <c r="X4" s="379" t="s">
        <v>542</v>
      </c>
      <c r="Y4" s="379" t="s">
        <v>543</v>
      </c>
      <c r="Z4" s="379" t="s">
        <v>544</v>
      </c>
    </row>
    <row customHeight="true" ht="48.148148148148145" r="5">
      <c r="A5" s="372" t="s">
        <v>545</v>
      </c>
      <c r="B5" s="352" t="s">
        <v>546</v>
      </c>
      <c r="C5" s="380" t="s">
        <v>547</v>
      </c>
      <c r="D5" s="381"/>
      <c r="E5" s="381"/>
      <c r="F5" s="382"/>
      <c r="G5" s="383" t="s">
        <v>548</v>
      </c>
      <c r="H5" s="384"/>
      <c r="I5" s="384"/>
      <c r="J5" s="385"/>
      <c r="K5" s="383" t="s">
        <v>549</v>
      </c>
      <c r="L5" s="384"/>
      <c r="M5" s="384"/>
      <c r="N5" s="385"/>
      <c r="O5" s="386"/>
      <c r="P5" s="387"/>
      <c r="Q5" s="387"/>
      <c r="R5" s="388"/>
      <c r="S5" s="389"/>
      <c r="T5" s="390"/>
      <c r="U5" s="390"/>
      <c r="V5" s="391"/>
      <c r="W5" s="392"/>
      <c r="X5" s="393"/>
      <c r="Y5" s="393"/>
      <c r="Z5" s="394"/>
    </row>
    <row customHeight="true" ht="32.59259259259259" r="6">
      <c r="A6" s="372" t="s">
        <v>550</v>
      </c>
      <c r="B6" s="352" t="s">
        <v>551</v>
      </c>
      <c r="C6" s="395">
        <v>139.99</v>
      </c>
      <c r="D6" s="395">
        <v>139.99</v>
      </c>
      <c r="E6" s="395">
        <v>139.99</v>
      </c>
      <c r="F6" s="395">
        <v>139.99</v>
      </c>
      <c r="G6" s="395">
        <v>139.99</v>
      </c>
      <c r="H6" s="395">
        <v>139.99</v>
      </c>
      <c r="I6" s="395">
        <v>139.99</v>
      </c>
      <c r="J6" s="395">
        <v>139.99</v>
      </c>
      <c r="K6" s="395">
        <v>139.99</v>
      </c>
      <c r="L6" s="395">
        <v>139.99</v>
      </c>
      <c r="M6" s="395">
        <v>139.99</v>
      </c>
      <c r="N6" s="395">
        <v>139.99</v>
      </c>
      <c r="O6" s="395">
        <v>139.99</v>
      </c>
      <c r="P6" s="395">
        <v>129.99</v>
      </c>
      <c r="Q6" s="395">
        <v>129.99</v>
      </c>
      <c r="R6" s="395">
        <v>129.99</v>
      </c>
      <c r="S6" s="395">
        <v>129.99</v>
      </c>
      <c r="T6" s="395">
        <v>129.99</v>
      </c>
      <c r="U6" s="395">
        <v>129.99</v>
      </c>
      <c r="V6" s="395">
        <v>129.99</v>
      </c>
      <c r="W6" s="395">
        <v>129.99</v>
      </c>
      <c r="X6" s="395">
        <v>129.99</v>
      </c>
      <c r="Y6" s="395">
        <v>129.99</v>
      </c>
      <c r="Z6" s="395">
        <v>129.99</v>
      </c>
    </row>
    <row customHeight="true" ht="32.59259259259259" r="7">
      <c r="A7" s="372"/>
      <c r="B7" s="352" t="s">
        <v>552</v>
      </c>
      <c r="C7" s="396">
        <f>C6*1</f>
      </c>
      <c r="D7" s="396">
        <v>118.99</v>
      </c>
      <c r="E7" s="396">
        <v>118.99</v>
      </c>
      <c r="F7" s="396">
        <v>118.99</v>
      </c>
      <c r="G7" s="396">
        <v>118.99</v>
      </c>
      <c r="H7" s="396">
        <v>118.99</v>
      </c>
      <c r="I7" s="396">
        <v>118.99</v>
      </c>
      <c r="J7" s="396">
        <v>118.99</v>
      </c>
      <c r="K7" s="396">
        <v>118.99</v>
      </c>
      <c r="L7" s="396">
        <v>118.99</v>
      </c>
      <c r="M7" s="396">
        <v>118.99</v>
      </c>
      <c r="N7" s="396">
        <v>118.99</v>
      </c>
      <c r="O7" s="396">
        <v>118.99</v>
      </c>
      <c r="P7" s="396">
        <v>121.99</v>
      </c>
      <c r="Q7" s="396">
        <v>121.99</v>
      </c>
      <c r="R7" s="396">
        <v>121.99</v>
      </c>
      <c r="S7" s="396">
        <v>129.99</v>
      </c>
      <c r="T7" s="396">
        <v>129.99</v>
      </c>
      <c r="U7" s="396">
        <v>129.99</v>
      </c>
      <c r="V7" s="396">
        <v>129.99</v>
      </c>
      <c r="W7" s="396">
        <v>129.99</v>
      </c>
      <c r="X7" s="396">
        <v>129.99</v>
      </c>
      <c r="Y7" s="396">
        <v>129.99</v>
      </c>
      <c r="Z7" s="396">
        <v>129.99</v>
      </c>
    </row>
    <row customHeight="true" ht="32.59259259259259" r="8">
      <c r="A8" s="372" t="s">
        <v>553</v>
      </c>
      <c r="B8" s="352" t="s">
        <v>554</v>
      </c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98"/>
    </row>
    <row customHeight="true" ht="32.59259259259259" r="9">
      <c r="A9" s="372"/>
      <c r="B9" s="352" t="s">
        <v>555</v>
      </c>
      <c r="C9" s="397"/>
      <c r="D9" s="397"/>
      <c r="E9" s="397"/>
      <c r="F9" s="397"/>
      <c r="G9" s="397"/>
      <c r="H9" s="397"/>
      <c r="I9" s="397"/>
      <c r="J9" s="397"/>
      <c r="K9" s="397"/>
      <c r="L9" s="397"/>
      <c r="M9" s="397"/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7"/>
    </row>
    <row customHeight="true" ht="32.59259259259259" r="10">
      <c r="A10" s="372" t="s">
        <v>556</v>
      </c>
      <c r="B10" s="399" t="s">
        <v>557</v>
      </c>
      <c r="C10" s="400">
        <f>C12*C6</f>
      </c>
      <c r="D10" s="400">
        <f>D12*D6</f>
      </c>
      <c r="E10" s="400">
        <f>E12*E6</f>
      </c>
      <c r="F10" s="400">
        <f>F12*F6</f>
      </c>
      <c r="G10" s="400">
        <f>G12*G6</f>
      </c>
      <c r="H10" s="400">
        <f>H12*H6</f>
      </c>
      <c r="I10" s="400">
        <f>I12*I6</f>
      </c>
      <c r="J10" s="400">
        <f>J12*J6</f>
      </c>
      <c r="K10" s="397">
        <f>K12*K7</f>
      </c>
      <c r="L10" s="397">
        <f>L12*L7</f>
      </c>
      <c r="M10" s="397">
        <f>M12*M7</f>
      </c>
      <c r="N10" s="397">
        <f>N12*N7</f>
      </c>
      <c r="O10" s="397">
        <f>O12*O7</f>
      </c>
      <c r="P10" s="397">
        <f>P12*P7</f>
      </c>
      <c r="Q10" s="397">
        <f>Q12*Q7</f>
      </c>
      <c r="R10" s="397">
        <f>R12*R7</f>
      </c>
      <c r="S10" s="397">
        <f>S12*S7</f>
      </c>
      <c r="T10" s="397">
        <f>T12*T7</f>
      </c>
      <c r="U10" s="397">
        <f>U12*U7</f>
      </c>
      <c r="V10" s="397">
        <f>V12*V7</f>
      </c>
      <c r="W10" s="397">
        <f>W12*W7</f>
      </c>
      <c r="X10" s="397">
        <f>X12*X7</f>
      </c>
      <c r="Y10" s="397">
        <f>Y12*Y7</f>
      </c>
      <c r="Z10" s="397">
        <f>Z12*Z7</f>
      </c>
    </row>
    <row customHeight="true" ht="32.59259259259259" r="11">
      <c r="A11" s="372"/>
      <c r="B11" s="399" t="s">
        <v>558</v>
      </c>
      <c r="C11" s="400"/>
      <c r="D11" s="400"/>
      <c r="E11" s="400"/>
      <c r="F11" s="400"/>
      <c r="G11" s="400"/>
      <c r="H11" s="400"/>
      <c r="I11" s="400"/>
      <c r="J11" s="400"/>
      <c r="K11" s="397"/>
      <c r="L11" s="397"/>
      <c r="M11" s="397"/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7"/>
    </row>
    <row customHeight="true" ht="32.59259259259259" r="12">
      <c r="A12" s="372"/>
      <c r="B12" s="399" t="s">
        <v>559</v>
      </c>
      <c r="C12" s="400">
        <v>44</v>
      </c>
      <c r="D12" s="400">
        <v>74</v>
      </c>
      <c r="E12" s="400">
        <v>48</v>
      </c>
      <c r="F12" s="400">
        <v>48</v>
      </c>
      <c r="G12" s="400">
        <v>52</v>
      </c>
      <c r="H12" s="400">
        <v>50</v>
      </c>
      <c r="I12" s="400">
        <v>58</v>
      </c>
      <c r="J12" s="400">
        <v>50</v>
      </c>
      <c r="K12" s="397">
        <v>55</v>
      </c>
      <c r="L12" s="397">
        <v>65</v>
      </c>
      <c r="M12" s="397">
        <v>72</v>
      </c>
      <c r="N12" s="397">
        <v>75</v>
      </c>
      <c r="O12" s="397">
        <v>80</v>
      </c>
      <c r="P12" s="397">
        <v>85</v>
      </c>
      <c r="Q12" s="397">
        <v>95</v>
      </c>
      <c r="R12" s="397">
        <v>100</v>
      </c>
      <c r="S12" s="397">
        <v>80</v>
      </c>
      <c r="T12" s="397">
        <v>60</v>
      </c>
      <c r="U12" s="397">
        <v>65</v>
      </c>
      <c r="V12" s="397">
        <v>75</v>
      </c>
      <c r="W12" s="397">
        <v>80</v>
      </c>
      <c r="X12" s="397">
        <v>90</v>
      </c>
      <c r="Y12" s="397">
        <v>95</v>
      </c>
      <c r="Z12" s="397">
        <v>100</v>
      </c>
    </row>
    <row customHeight="true" ht="32.59259259259259" r="13">
      <c r="A13" s="372"/>
      <c r="B13" s="399" t="s">
        <v>560</v>
      </c>
      <c r="C13" s="400"/>
      <c r="D13" s="400"/>
      <c r="E13" s="400"/>
      <c r="F13" s="400"/>
      <c r="G13" s="400"/>
      <c r="H13" s="400"/>
      <c r="I13" s="400"/>
      <c r="J13" s="400"/>
      <c r="K13" s="397"/>
      <c r="L13" s="397"/>
      <c r="M13" s="397"/>
      <c r="N13" s="397"/>
      <c r="O13" s="397"/>
      <c r="P13" s="397"/>
      <c r="Q13" s="397"/>
      <c r="R13" s="397"/>
      <c r="S13" s="397"/>
      <c r="T13" s="397"/>
      <c r="U13" s="397"/>
      <c r="V13" s="397"/>
      <c r="W13" s="397"/>
      <c r="X13" s="397"/>
      <c r="Y13" s="397"/>
      <c r="Z13" s="397"/>
    </row>
    <row customHeight="true" ht="32.59259259259259" r="14">
      <c r="A14" s="372"/>
      <c r="B14" s="399" t="s">
        <v>561</v>
      </c>
      <c r="C14" s="400">
        <f>C12/7</f>
      </c>
      <c r="D14" s="400">
        <f>D12/7</f>
      </c>
      <c r="E14" s="400">
        <f>E12/7</f>
      </c>
      <c r="F14" s="400">
        <f>F12/7</f>
      </c>
      <c r="G14" s="400">
        <f>G12/7</f>
      </c>
      <c r="H14" s="400">
        <f>H12/7</f>
      </c>
      <c r="I14" s="400">
        <f>I12/7</f>
      </c>
      <c r="J14" s="400">
        <f>J12/7</f>
      </c>
      <c r="K14" s="400">
        <f>K12/7</f>
      </c>
      <c r="L14" s="400">
        <f>L12/7</f>
      </c>
      <c r="M14" s="400">
        <f>M12/7</f>
      </c>
      <c r="N14" s="400">
        <f>N12/7</f>
      </c>
      <c r="O14" s="400">
        <f>O12/7</f>
      </c>
      <c r="P14" s="400">
        <f>P12/7</f>
      </c>
      <c r="Q14" s="400">
        <f>Q12/7</f>
      </c>
      <c r="R14" s="400">
        <f>R12/7</f>
      </c>
      <c r="S14" s="400">
        <f>S12/7</f>
      </c>
      <c r="T14" s="400">
        <f>T12/7</f>
      </c>
      <c r="U14" s="400">
        <f>U12/7</f>
      </c>
      <c r="V14" s="400">
        <f>V12/7</f>
      </c>
      <c r="W14" s="400">
        <f>W12/7</f>
      </c>
      <c r="X14" s="400">
        <f>X12/7</f>
      </c>
      <c r="Y14" s="400">
        <f>Y12/7</f>
      </c>
      <c r="Z14" s="400">
        <f>Z12/7</f>
      </c>
    </row>
    <row customHeight="true" ht="32.59259259259259" r="15">
      <c r="A15" s="372"/>
      <c r="B15" s="399" t="s">
        <v>562</v>
      </c>
      <c r="C15" s="400"/>
      <c r="D15" s="400"/>
      <c r="E15" s="400"/>
      <c r="F15" s="400"/>
      <c r="G15" s="400"/>
      <c r="H15" s="400"/>
      <c r="I15" s="400"/>
      <c r="J15" s="400"/>
      <c r="K15" s="400"/>
      <c r="L15" s="400"/>
      <c r="M15" s="400"/>
      <c r="N15" s="400"/>
      <c r="O15" s="400"/>
      <c r="P15" s="400"/>
      <c r="Q15" s="400"/>
      <c r="R15" s="400"/>
      <c r="S15" s="400"/>
      <c r="T15" s="400"/>
      <c r="U15" s="400"/>
      <c r="V15" s="400"/>
      <c r="W15" s="400"/>
      <c r="X15" s="400"/>
      <c r="Y15" s="400"/>
      <c r="Z15" s="400"/>
    </row>
    <row customHeight="true" ht="32.59259259259259" r="16">
      <c r="A16" s="372"/>
      <c r="B16" s="399" t="s">
        <v>563</v>
      </c>
      <c r="C16" s="400"/>
      <c r="D16" s="400"/>
      <c r="E16" s="400"/>
      <c r="F16" s="400"/>
      <c r="G16" s="400">
        <v>45</v>
      </c>
      <c r="H16" s="400">
        <v>45</v>
      </c>
      <c r="I16" s="400">
        <v>48</v>
      </c>
      <c r="J16" s="400">
        <v>50</v>
      </c>
      <c r="K16" s="400">
        <v>48</v>
      </c>
      <c r="L16" s="400">
        <v>48</v>
      </c>
      <c r="M16" s="400">
        <v>80</v>
      </c>
      <c r="N16" s="400">
        <v>48</v>
      </c>
      <c r="O16" s="400">
        <v>48</v>
      </c>
      <c r="P16" s="400">
        <v>48</v>
      </c>
      <c r="Q16" s="400">
        <v>48</v>
      </c>
      <c r="R16" s="400">
        <v>48</v>
      </c>
      <c r="S16" s="400"/>
      <c r="T16" s="400"/>
      <c r="U16" s="400"/>
      <c r="V16" s="400"/>
      <c r="W16" s="400"/>
      <c r="X16" s="400"/>
      <c r="Y16" s="400"/>
      <c r="Z16" s="400"/>
    </row>
    <row customHeight="true" ht="32.59259259259259" r="17">
      <c r="A17" s="372"/>
      <c r="B17" s="399" t="s">
        <v>564</v>
      </c>
      <c r="C17" s="400"/>
      <c r="D17" s="400"/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</row>
    <row customHeight="true" ht="32.59259259259259" r="18">
      <c r="A18" s="401" t="s">
        <v>565</v>
      </c>
      <c r="B18" s="399" t="s">
        <v>566</v>
      </c>
      <c r="C18" s="402">
        <f>C10*C20</f>
      </c>
      <c r="D18" s="402">
        <f>D10*D20</f>
      </c>
      <c r="E18" s="402">
        <f>E10*E20</f>
      </c>
      <c r="F18" s="402">
        <f>F10*F20</f>
      </c>
      <c r="G18" s="402">
        <f>G10*G20</f>
      </c>
      <c r="H18" s="402">
        <f>H10*H20</f>
      </c>
      <c r="I18" s="402">
        <f>I10*I20</f>
      </c>
      <c r="J18" s="402">
        <f>J10*J20</f>
      </c>
      <c r="K18" s="402">
        <f>K10*K20</f>
      </c>
      <c r="L18" s="402">
        <f>L10*L20</f>
      </c>
      <c r="M18" s="402">
        <f>M10*M20</f>
      </c>
      <c r="N18" s="402">
        <f>N10*N20</f>
      </c>
      <c r="O18" s="402">
        <f>O10*O20</f>
      </c>
      <c r="P18" s="402">
        <f>P10*P20</f>
      </c>
      <c r="Q18" s="402">
        <f>Q10*Q20</f>
      </c>
      <c r="R18" s="402">
        <f>R10*R20</f>
      </c>
      <c r="S18" s="402">
        <f>S10*S20</f>
      </c>
      <c r="T18" s="402">
        <f>T10*T20</f>
      </c>
      <c r="U18" s="402">
        <f>U10*U20</f>
      </c>
      <c r="V18" s="402">
        <f>V10*V20</f>
      </c>
      <c r="W18" s="402">
        <f>W10*W20</f>
      </c>
      <c r="X18" s="402">
        <f>X10*X20</f>
      </c>
      <c r="Y18" s="402">
        <f>Y10*Y20</f>
      </c>
      <c r="Z18" s="402">
        <f>Z10*Z20</f>
      </c>
    </row>
    <row customHeight="true" ht="32.59259259259259" r="19">
      <c r="A19" s="403"/>
      <c r="B19" s="399" t="s">
        <v>567</v>
      </c>
      <c r="C19" s="402"/>
      <c r="D19" s="402"/>
      <c r="E19" s="402"/>
      <c r="F19" s="402"/>
      <c r="G19" s="402"/>
      <c r="H19" s="402"/>
      <c r="I19" s="402"/>
      <c r="J19" s="402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</row>
    <row customHeight="true" ht="32.59259259259259" r="20">
      <c r="A20" s="403"/>
      <c r="B20" s="352" t="s">
        <v>568</v>
      </c>
      <c r="C20" s="404">
        <v>0.057</v>
      </c>
      <c r="D20" s="404">
        <v>0.087</v>
      </c>
      <c r="E20" s="404">
        <v>0.107</v>
      </c>
      <c r="F20" s="404">
        <v>0.127</v>
      </c>
      <c r="G20" s="404">
        <v>0.136</v>
      </c>
      <c r="H20" s="404">
        <v>0.146</v>
      </c>
      <c r="I20" s="404">
        <v>0.156</v>
      </c>
      <c r="J20" s="404">
        <v>0.15</v>
      </c>
      <c r="K20" s="404">
        <v>0.15</v>
      </c>
      <c r="L20" s="404">
        <v>0.15</v>
      </c>
      <c r="M20" s="404">
        <v>0.15</v>
      </c>
      <c r="N20" s="404">
        <v>0.15</v>
      </c>
      <c r="O20" s="404">
        <v>0.15</v>
      </c>
      <c r="P20" s="404">
        <v>0.15</v>
      </c>
      <c r="Q20" s="404">
        <v>0.15</v>
      </c>
      <c r="R20" s="404">
        <v>0.15</v>
      </c>
      <c r="S20" s="404">
        <v>0.15</v>
      </c>
      <c r="T20" s="404">
        <v>0.15</v>
      </c>
      <c r="U20" s="404">
        <v>0.15</v>
      </c>
      <c r="V20" s="404">
        <v>0.15</v>
      </c>
      <c r="W20" s="404">
        <v>0.15</v>
      </c>
      <c r="X20" s="404">
        <v>0.15</v>
      </c>
      <c r="Y20" s="404">
        <v>0.15</v>
      </c>
      <c r="Z20" s="404">
        <v>0.15</v>
      </c>
    </row>
    <row customHeight="true" ht="32.59259259259259" r="21">
      <c r="A21" s="405"/>
      <c r="B21" s="352" t="s">
        <v>569</v>
      </c>
      <c r="C21" s="406"/>
      <c r="D21" s="406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>
        <f>IFERROR(X19/X11,0)</f>
      </c>
      <c r="Y21" s="406">
        <f>IFERROR(Y19/Y11,0)</f>
      </c>
      <c r="Z21" s="406">
        <f>IFERROR(Z19/Z11,0)</f>
      </c>
    </row>
    <row customHeight="true" ht="32.59259259259259" r="22">
      <c r="A22" s="372" t="s">
        <v>570</v>
      </c>
      <c r="B22" s="407" t="s">
        <v>571</v>
      </c>
      <c r="C22" s="400">
        <f>C10*0.15</f>
      </c>
      <c r="D22" s="400">
        <f>D10*0.15</f>
      </c>
      <c r="E22" s="400">
        <f>E10*0.15</f>
      </c>
      <c r="F22" s="400">
        <f>F10*0.15</f>
      </c>
      <c r="G22" s="400">
        <f>G10*0.12</f>
      </c>
      <c r="H22" s="400">
        <f>H10*0.12</f>
      </c>
      <c r="I22" s="400">
        <f>I10*0.1</f>
      </c>
      <c r="J22" s="400">
        <f>J10*0.1</f>
      </c>
      <c r="K22" s="400">
        <f>K10*0.08</f>
      </c>
      <c r="L22" s="400">
        <f>L10*0.08</f>
      </c>
      <c r="M22" s="400">
        <f>M10*0.08</f>
      </c>
      <c r="N22" s="400">
        <f>N10*0.08</f>
      </c>
      <c r="O22" s="400">
        <f>O10*0.08</f>
      </c>
      <c r="P22" s="400">
        <f>P10*0.08</f>
      </c>
      <c r="Q22" s="400">
        <f>Q10*0.08</f>
      </c>
      <c r="R22" s="400">
        <f>R10*0.08</f>
      </c>
      <c r="S22" s="400">
        <f>S10*0.06</f>
      </c>
      <c r="T22" s="400">
        <f>T10*0.06</f>
      </c>
      <c r="U22" s="400">
        <f>U10*0.06</f>
      </c>
      <c r="V22" s="400">
        <f>V10*0.06</f>
      </c>
      <c r="W22" s="400">
        <f>W10*0.05</f>
      </c>
      <c r="X22" s="400">
        <f>X10*0.05</f>
      </c>
      <c r="Y22" s="400">
        <f>Y10*0.05</f>
      </c>
      <c r="Z22" s="400">
        <f>Z10*0.05</f>
      </c>
    </row>
    <row customHeight="true" ht="32.59259259259259" r="23">
      <c r="A23" s="408"/>
      <c r="B23" s="407" t="s">
        <v>572</v>
      </c>
      <c r="C23" s="400"/>
      <c r="D23" s="400"/>
      <c r="E23" s="400"/>
      <c r="F23" s="400"/>
      <c r="G23" s="400"/>
      <c r="H23" s="400"/>
      <c r="I23" s="400"/>
      <c r="J23" s="400"/>
      <c r="K23" s="400"/>
      <c r="L23" s="400"/>
      <c r="M23" s="400"/>
      <c r="N23" s="400"/>
      <c r="O23" s="400"/>
      <c r="P23" s="400"/>
      <c r="Q23" s="400">
        <v>20.83</v>
      </c>
      <c r="R23" s="400"/>
      <c r="S23" s="400"/>
      <c r="T23" s="400"/>
      <c r="U23" s="400"/>
      <c r="V23" s="400"/>
      <c r="W23" s="400"/>
      <c r="X23" s="400"/>
      <c r="Y23" s="400"/>
      <c r="Z23" s="400"/>
    </row>
    <row customHeight="true" ht="32.59259259259259" r="24">
      <c r="A24" s="408"/>
      <c r="B24" s="407" t="s">
        <v>573</v>
      </c>
      <c r="C24" s="402">
        <v>0</v>
      </c>
      <c r="D24" s="402">
        <v>0</v>
      </c>
      <c r="E24" s="402">
        <v>0</v>
      </c>
      <c r="F24" s="402">
        <v>0</v>
      </c>
      <c r="G24" s="400">
        <v>0</v>
      </c>
      <c r="H24" s="400">
        <v>0</v>
      </c>
      <c r="I24" s="400">
        <v>0</v>
      </c>
      <c r="J24" s="400">
        <v>0</v>
      </c>
      <c r="K24" s="400">
        <v>0</v>
      </c>
      <c r="L24" s="400">
        <v>0</v>
      </c>
      <c r="M24" s="400">
        <v>0</v>
      </c>
      <c r="N24" s="400">
        <v>0</v>
      </c>
      <c r="O24" s="400">
        <v>0</v>
      </c>
      <c r="P24" s="400">
        <v>0</v>
      </c>
      <c r="Q24" s="400">
        <v>0</v>
      </c>
      <c r="R24" s="400">
        <v>0</v>
      </c>
      <c r="S24" s="400">
        <v>0</v>
      </c>
      <c r="T24" s="400">
        <v>0</v>
      </c>
      <c r="U24" s="400">
        <v>0</v>
      </c>
      <c r="V24" s="400">
        <v>0</v>
      </c>
      <c r="W24" s="400">
        <v>0</v>
      </c>
      <c r="X24" s="400">
        <v>0</v>
      </c>
      <c r="Y24" s="400">
        <v>0</v>
      </c>
      <c r="Z24" s="400">
        <v>0</v>
      </c>
    </row>
    <row customHeight="true" ht="32.59259259259259" r="25">
      <c r="A25" s="408"/>
      <c r="B25" s="407" t="s">
        <v>574</v>
      </c>
      <c r="C25" s="402"/>
      <c r="D25" s="400"/>
      <c r="E25" s="400"/>
      <c r="F25" s="400"/>
      <c r="G25" s="400"/>
      <c r="H25" s="400"/>
      <c r="I25" s="400"/>
      <c r="J25" s="400"/>
      <c r="K25" s="400"/>
      <c r="L25" s="400"/>
      <c r="M25" s="400"/>
      <c r="N25" s="400"/>
      <c r="O25" s="400"/>
      <c r="P25" s="400"/>
      <c r="Q25" s="400">
        <v>0</v>
      </c>
      <c r="R25" s="400"/>
      <c r="S25" s="400"/>
      <c r="T25" s="400"/>
      <c r="U25" s="400"/>
      <c r="V25" s="400"/>
      <c r="W25" s="400"/>
      <c r="X25" s="400"/>
      <c r="Y25" s="400"/>
      <c r="Z25" s="400"/>
    </row>
    <row customHeight="true" ht="32.59259259259259" r="26">
      <c r="A26" s="409"/>
      <c r="B26" s="407" t="s">
        <v>575</v>
      </c>
      <c r="C26" s="402">
        <v>270</v>
      </c>
      <c r="D26" s="402">
        <v>0</v>
      </c>
      <c r="E26" s="402">
        <v>0</v>
      </c>
      <c r="F26" s="402">
        <v>0</v>
      </c>
      <c r="G26" s="400">
        <v>0</v>
      </c>
      <c r="H26" s="400">
        <v>0</v>
      </c>
      <c r="I26" s="400">
        <v>0</v>
      </c>
      <c r="J26" s="400">
        <v>0</v>
      </c>
      <c r="K26" s="400">
        <v>0</v>
      </c>
      <c r="L26" s="400">
        <v>0</v>
      </c>
      <c r="M26" s="400">
        <v>0</v>
      </c>
      <c r="N26" s="400">
        <v>0</v>
      </c>
      <c r="O26" s="400">
        <v>0</v>
      </c>
      <c r="P26" s="400">
        <v>0</v>
      </c>
      <c r="Q26" s="400">
        <v>0</v>
      </c>
      <c r="R26" s="400">
        <v>0</v>
      </c>
      <c r="S26" s="400">
        <v>0</v>
      </c>
      <c r="T26" s="400">
        <v>0</v>
      </c>
      <c r="U26" s="400">
        <v>0</v>
      </c>
      <c r="V26" s="400">
        <v>0</v>
      </c>
      <c r="W26" s="400">
        <v>0</v>
      </c>
      <c r="X26" s="400">
        <v>0</v>
      </c>
      <c r="Y26" s="400">
        <v>0</v>
      </c>
      <c r="Z26" s="400">
        <v>0</v>
      </c>
    </row>
    <row customHeight="true" ht="32.59259259259259" r="27">
      <c r="A27" s="409"/>
      <c r="B27" s="407" t="s">
        <v>576</v>
      </c>
      <c r="C27" s="400"/>
      <c r="D27" s="400"/>
      <c r="E27" s="400"/>
      <c r="F27" s="400"/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</row>
    <row customHeight="true" ht="32.59259259259259" r="28">
      <c r="A28" s="409"/>
      <c r="B28" s="407" t="s">
        <v>577</v>
      </c>
      <c r="C28" s="400">
        <f>C22+C24+C26+C27</f>
      </c>
      <c r="D28" s="400">
        <f>D22+D24+D26</f>
      </c>
      <c r="E28" s="400">
        <f>E22+E24+E26</f>
      </c>
      <c r="F28" s="400">
        <f>F22+F24+F26</f>
      </c>
      <c r="G28" s="400">
        <f>G22+G24+G26</f>
      </c>
      <c r="H28" s="400">
        <f>H22+H24+H26</f>
      </c>
      <c r="I28" s="400">
        <f>I22+I24+I26</f>
      </c>
      <c r="J28" s="400">
        <f>J22+J24+J26</f>
      </c>
      <c r="K28" s="400">
        <f>K22+K24+K26</f>
      </c>
      <c r="L28" s="400">
        <f>L22+L24+L26</f>
      </c>
      <c r="M28" s="400">
        <f>M22+M24+M26</f>
      </c>
      <c r="N28" s="400">
        <f>N22+N24+N26</f>
      </c>
      <c r="O28" s="400">
        <f>O22+O24+O26</f>
      </c>
      <c r="P28" s="400">
        <f>P22+P24+P26</f>
      </c>
      <c r="Q28" s="400">
        <f>Q22+Q24+Q26</f>
      </c>
      <c r="R28" s="400">
        <f>R22+R24+R26</f>
      </c>
      <c r="S28" s="400">
        <f>S22+S24+S26</f>
      </c>
      <c r="T28" s="400">
        <f>T22+T24+T26</f>
      </c>
      <c r="U28" s="400">
        <f>U22+U24+U26</f>
      </c>
      <c r="V28" s="400">
        <f>V22+V24+V26</f>
      </c>
      <c r="W28" s="400">
        <f>W22+W24+W26</f>
      </c>
      <c r="X28" s="400">
        <f>X22+X24+X26</f>
      </c>
      <c r="Y28" s="400">
        <f>Y22+Y24+Y26</f>
      </c>
      <c r="Z28" s="400">
        <f>Z22+Z24+Z26</f>
      </c>
    </row>
    <row customHeight="true" ht="32.59259259259259" r="29">
      <c r="A29" s="409"/>
      <c r="B29" s="407" t="s">
        <v>578</v>
      </c>
      <c r="C29" s="406">
        <f>C28/C10</f>
      </c>
      <c r="D29" s="406">
        <f>D28/D10</f>
      </c>
      <c r="E29" s="406">
        <f>E28/E10</f>
      </c>
      <c r="F29" s="406">
        <f>F28/F10</f>
      </c>
      <c r="G29" s="406">
        <f>G28/G10</f>
      </c>
      <c r="H29" s="406">
        <f>H28/H10</f>
      </c>
      <c r="I29" s="406">
        <f>I28/I10</f>
      </c>
      <c r="J29" s="406">
        <f>J28/J10</f>
      </c>
      <c r="K29" s="406">
        <f>K28/K10</f>
      </c>
      <c r="L29" s="406">
        <f>L28/L10</f>
      </c>
      <c r="M29" s="406">
        <f>M28/M10</f>
      </c>
      <c r="N29" s="406">
        <f>N28/N10</f>
      </c>
      <c r="O29" s="406">
        <f>O28/O10</f>
      </c>
      <c r="P29" s="406">
        <f>P28/P10</f>
      </c>
      <c r="Q29" s="406">
        <f>Q28/Q10</f>
      </c>
      <c r="R29" s="406">
        <f>R28/R10</f>
      </c>
      <c r="S29" s="406">
        <f>S28/S10</f>
      </c>
      <c r="T29" s="406">
        <f>T28/T10</f>
      </c>
      <c r="U29" s="406">
        <f>U28/U10</f>
      </c>
      <c r="V29" s="406">
        <f>V28/V10</f>
      </c>
      <c r="W29" s="406">
        <f>W28/W10</f>
      </c>
      <c r="X29" s="406">
        <f>X28/X10</f>
      </c>
      <c r="Y29" s="406">
        <f>Y28/Y10</f>
      </c>
      <c r="Z29" s="406">
        <f>Z28/Z10</f>
      </c>
    </row>
    <row customHeight="true" ht="32.59259259259259" r="30">
      <c r="A30" s="409"/>
      <c r="B30" s="407" t="s">
        <v>579</v>
      </c>
      <c r="C30" s="397">
        <f>C23+C25+C27</f>
      </c>
      <c r="D30" s="397">
        <f>D23+D25+D27</f>
      </c>
      <c r="E30" s="397">
        <f>E23+E25+E27</f>
      </c>
      <c r="F30" s="397">
        <f>F23+F25+F27</f>
      </c>
      <c r="G30" s="397">
        <f>G23+G25+G27</f>
      </c>
      <c r="H30" s="397">
        <f>H23+H25+H27</f>
      </c>
      <c r="I30" s="397">
        <f>I23+I25+I27</f>
      </c>
      <c r="J30" s="397">
        <f>J23+J25+J27</f>
      </c>
      <c r="K30" s="397">
        <f>K23+K25+K27</f>
      </c>
      <c r="L30" s="397">
        <f>L23+L25+L27</f>
      </c>
      <c r="M30" s="397">
        <f>M23+M25+M27</f>
      </c>
      <c r="N30" s="397">
        <f>N23+N25+N27</f>
      </c>
      <c r="O30" s="397">
        <f>O23+O25+O27</f>
      </c>
      <c r="P30" s="397">
        <f>P23+P25+P27</f>
      </c>
      <c r="Q30" s="397">
        <f>Q23+Q25+Q27</f>
      </c>
      <c r="R30" s="397">
        <f>R23+R25+R27</f>
      </c>
      <c r="S30" s="397">
        <f>S23+S25+S27</f>
      </c>
      <c r="T30" s="397">
        <f>T23+T25+T27</f>
      </c>
      <c r="U30" s="397">
        <f>U23+U25+U27</f>
      </c>
      <c r="V30" s="397">
        <f>V23+V25+V27</f>
      </c>
      <c r="W30" s="397">
        <f>W23+W25+W27</f>
      </c>
      <c r="X30" s="397">
        <f>X23+X25+X27</f>
      </c>
      <c r="Y30" s="397">
        <f>Y23+Y25+Y27</f>
      </c>
      <c r="Z30" s="397">
        <f>Z23+Z25+Z27</f>
      </c>
    </row>
    <row customHeight="true" ht="32.59259259259259" r="31">
      <c r="A31" s="409"/>
      <c r="B31" s="407" t="s">
        <v>580</v>
      </c>
      <c r="C31" s="406">
        <f>IFERROR(C30/C11,0)</f>
      </c>
      <c r="D31" s="406">
        <f>IFERROR(D30/D11,0)</f>
      </c>
      <c r="E31" s="406">
        <f>IFERROR(E30/E11,0)</f>
      </c>
      <c r="F31" s="406">
        <f>IFERROR(F30/F11,0)</f>
      </c>
      <c r="G31" s="406">
        <f>IFERROR(G30/G11,0)</f>
      </c>
      <c r="H31" s="406">
        <f>IFERROR(H30/H11,0)</f>
      </c>
      <c r="I31" s="406">
        <f>IFERROR(I30/I11,0)</f>
      </c>
      <c r="J31" s="406">
        <f>IFERROR(J30/J11,0)</f>
      </c>
      <c r="K31" s="406">
        <f>IFERROR(K30/K11,0)</f>
      </c>
      <c r="L31" s="406">
        <f>IFERROR(L30/L11,0)</f>
      </c>
      <c r="M31" s="406">
        <f>IFERROR(M30/M11,0)</f>
      </c>
      <c r="N31" s="406">
        <f>IFERROR(N30/N11,0)</f>
      </c>
      <c r="O31" s="406">
        <f>IFERROR(O30/O11,0)</f>
      </c>
      <c r="P31" s="406">
        <f>IFERROR(P30/P11,0)</f>
      </c>
      <c r="Q31" s="406">
        <f>IFERROR(Q30/Q11,0)</f>
      </c>
      <c r="R31" s="406">
        <f>IFERROR(R30/R11,0)</f>
      </c>
      <c r="S31" s="406">
        <f>IFERROR(S30/S11,0)</f>
      </c>
      <c r="T31" s="406">
        <f>IFERROR(T30/T11,0)</f>
      </c>
      <c r="U31" s="406">
        <f>IFERROR(U30/U11,0)</f>
      </c>
      <c r="V31" s="406">
        <f>IFERROR(V30/V11,0)</f>
      </c>
      <c r="W31" s="406">
        <f>IFERROR(W30/W11,0)</f>
      </c>
      <c r="X31" s="406">
        <f>IFERROR(X30/X11,0)</f>
      </c>
      <c r="Y31" s="406">
        <f>IFERROR(Y30/Y11,0)</f>
      </c>
      <c r="Z31" s="406">
        <f>IFERROR(Z30/Z11,0)</f>
      </c>
    </row>
    <row customHeight="true" ht="32.59259259259259" r="32">
      <c r="A32" s="409" t="s">
        <v>581</v>
      </c>
      <c r="B32" s="407" t="s">
        <v>582</v>
      </c>
      <c r="C32" s="400">
        <f>122.56*C12/7.4</f>
      </c>
      <c r="D32" s="400">
        <f>122.56*D12/7.4</f>
      </c>
      <c r="E32" s="400">
        <f>122.56*E12/7.4</f>
      </c>
      <c r="F32" s="400">
        <f>122.56*F12/7.4</f>
      </c>
      <c r="G32" s="400">
        <f>122.56*G12/7.4</f>
      </c>
      <c r="H32" s="400">
        <f>122.56*H12/7.4</f>
      </c>
      <c r="I32" s="400">
        <f>122.56*I12/7.4</f>
      </c>
      <c r="J32" s="400">
        <f>122.56*J12/7.4</f>
      </c>
      <c r="K32" s="400">
        <f>122.56*K12/7.4</f>
      </c>
      <c r="L32" s="400">
        <f>122.56*L12/7.4</f>
      </c>
      <c r="M32" s="400">
        <f>122.56*M12/7.4</f>
      </c>
      <c r="N32" s="400">
        <f>122.56*N12/7.4</f>
      </c>
      <c r="O32" s="400">
        <f>122.56*O12/7.4</f>
      </c>
      <c r="P32" s="400">
        <f>122.56*P12/7.4</f>
      </c>
      <c r="Q32" s="400">
        <f>46*Q12/7.34</f>
      </c>
      <c r="R32" s="400">
        <f>46*R12/7.34</f>
      </c>
      <c r="S32" s="400">
        <f>46*S12/7.34</f>
      </c>
      <c r="T32" s="400">
        <f>46*T12/7.34</f>
      </c>
      <c r="U32" s="400">
        <f>46*U12/7.34</f>
      </c>
      <c r="V32" s="400">
        <f>46*V12/7.34</f>
      </c>
      <c r="W32" s="400">
        <f>46*W12/7.34</f>
      </c>
      <c r="X32" s="400">
        <f>46*X12/7.34</f>
      </c>
      <c r="Y32" s="400">
        <f>46*Y12/7.34</f>
      </c>
      <c r="Z32" s="400">
        <f>46*Z12/7.34</f>
      </c>
    </row>
    <row customHeight="true" ht="32.59259259259259" r="33">
      <c r="A33" s="409"/>
      <c r="B33" s="407" t="s">
        <v>583</v>
      </c>
      <c r="C33" s="406">
        <f>C32/C10</f>
      </c>
      <c r="D33" s="406">
        <f>D32/D10</f>
      </c>
      <c r="E33" s="406">
        <f>E32/E10</f>
      </c>
      <c r="F33" s="406">
        <f>F32/F10</f>
      </c>
      <c r="G33" s="406">
        <f>G32/G10</f>
      </c>
      <c r="H33" s="406">
        <f>H32/H10</f>
      </c>
      <c r="I33" s="406">
        <f>I32/I10</f>
      </c>
      <c r="J33" s="406">
        <f>J32/J10</f>
      </c>
      <c r="K33" s="406">
        <f>K32/K10</f>
      </c>
      <c r="L33" s="406">
        <f>L32/L10</f>
      </c>
      <c r="M33" s="406">
        <f>M32/M10</f>
      </c>
      <c r="N33" s="406">
        <f>N32/N10</f>
      </c>
      <c r="O33" s="406">
        <f>O32/O10</f>
      </c>
      <c r="P33" s="406">
        <f>P32/P10</f>
      </c>
      <c r="Q33" s="406">
        <f>Q32/Q10</f>
      </c>
      <c r="R33" s="406">
        <f>R32/R10</f>
      </c>
      <c r="S33" s="406">
        <f>S32/S10</f>
      </c>
      <c r="T33" s="406">
        <f>T32/T10</f>
      </c>
      <c r="U33" s="406">
        <f>U32/U10</f>
      </c>
      <c r="V33" s="406">
        <f>V32/V10</f>
      </c>
      <c r="W33" s="406">
        <f>W32/W10</f>
      </c>
      <c r="X33" s="406">
        <f>X32/X10</f>
      </c>
      <c r="Y33" s="406">
        <f>Y32/Y10</f>
      </c>
      <c r="Z33" s="406">
        <f>Z32/Z10</f>
      </c>
    </row>
    <row customHeight="true" ht="32.59259259259259" r="34">
      <c r="A34" s="409"/>
      <c r="B34" s="407" t="s">
        <v>584</v>
      </c>
      <c r="C34" s="400">
        <f>70*C13/6.8</f>
      </c>
      <c r="D34" s="400">
        <f>70*D13/6.8</f>
      </c>
      <c r="E34" s="400">
        <f>70*E13/6.8</f>
      </c>
      <c r="F34" s="400">
        <f>70*F13/6.8</f>
      </c>
      <c r="G34" s="400">
        <f>70*G13/6.8</f>
      </c>
      <c r="H34" s="400">
        <f>70*H13/6.8</f>
      </c>
      <c r="I34" s="400">
        <f>70*I13/6.8</f>
      </c>
      <c r="J34" s="400">
        <f>70*J13/6.8</f>
      </c>
      <c r="K34" s="400">
        <f>70*K13/6.8</f>
      </c>
      <c r="L34" s="400">
        <f>70*L13/6.8</f>
      </c>
      <c r="M34" s="400">
        <f>70*M13/6.8</f>
      </c>
      <c r="N34" s="400">
        <f>70*N13/6.8</f>
      </c>
      <c r="O34" s="400">
        <f>70*O13/6.8</f>
      </c>
      <c r="P34" s="400">
        <f>70*P13/6.8</f>
      </c>
      <c r="Q34" s="400">
        <f>70*Q13/6.8</f>
      </c>
      <c r="R34" s="400">
        <f>70*R13/6.8</f>
      </c>
      <c r="S34" s="400">
        <f>70*S13/6.8</f>
      </c>
      <c r="T34" s="400">
        <f>70*T13/6.8</f>
      </c>
      <c r="U34" s="400">
        <f>70*U13/6.8</f>
      </c>
      <c r="V34" s="400">
        <f>70*V13/6.8</f>
      </c>
      <c r="W34" s="400">
        <f>70*W13/6.8</f>
      </c>
      <c r="X34" s="400">
        <f>70*X13/6.8</f>
      </c>
      <c r="Y34" s="400">
        <f>70*Y13/6.8</f>
      </c>
      <c r="Z34" s="400">
        <f>70*Z13/6.8</f>
      </c>
    </row>
    <row customHeight="true" ht="32.59259259259259" r="35">
      <c r="A35" s="410"/>
      <c r="B35" s="411" t="s">
        <v>585</v>
      </c>
      <c r="C35" s="400">
        <f>5.69*C12/7.4+54.2*C12</f>
      </c>
      <c r="D35" s="400">
        <f>5.69*D12/7.4+54.2*D12</f>
      </c>
      <c r="E35" s="400">
        <f>5.69*E12/7.4+54.2*E12</f>
      </c>
      <c r="F35" s="400">
        <f>5.69*F12/7.4+54.2*F12</f>
      </c>
      <c r="G35" s="400">
        <f>5.69*G12/7.4+54.2*G12</f>
      </c>
      <c r="H35" s="400">
        <f>5.69*H12/7.4+54.2*H12</f>
      </c>
      <c r="I35" s="400">
        <f>5.69*I12/7.4+54.2*I12</f>
      </c>
      <c r="J35" s="400">
        <f>5.69*J12/7.4+54.2*J12</f>
      </c>
      <c r="K35" s="400">
        <f>5.69*K12/7.4+54.2*K12</f>
      </c>
      <c r="L35" s="400">
        <f>5.69*L12/7.4+54.2*L12</f>
      </c>
      <c r="M35" s="400">
        <f>5.69*M12/7.4+54.2*M12</f>
      </c>
      <c r="N35" s="400">
        <f>5.69*N12/7.4+54.2*N12</f>
      </c>
      <c r="O35" s="400">
        <f>5.69*O12/7.4+54.2*O12</f>
      </c>
      <c r="P35" s="400">
        <f>5.69*P12/7.4+54.2*P12</f>
      </c>
      <c r="Q35" s="400">
        <f>5.69*Q12/7.4+54.2*Q12</f>
      </c>
      <c r="R35" s="400">
        <f>5.69*R12/7.4+54.2*R12</f>
      </c>
      <c r="S35" s="400">
        <f>5.69*S12/7.4+54.2*S12</f>
      </c>
      <c r="T35" s="400">
        <f>5.69*T12/7.4+54.2*T12</f>
      </c>
      <c r="U35" s="400">
        <f>5.69*U12/7.4+54.2*U12</f>
      </c>
      <c r="V35" s="400">
        <f>5.69*V12/7.4+54.2*V12</f>
      </c>
      <c r="W35" s="400">
        <f>5.69*W12/7.4+54.2*W12</f>
      </c>
      <c r="X35" s="400">
        <f>5.69*X12/7.4+54.2*X12</f>
      </c>
      <c r="Y35" s="400">
        <f>5.69*Y12/7.4+54.2*Y12</f>
      </c>
      <c r="Z35" s="400">
        <f>5.69*Z12/7.4+54.2*Z12</f>
      </c>
    </row>
    <row customHeight="true" ht="32.59259259259259" r="36">
      <c r="A36" s="412"/>
      <c r="B36" s="413" t="s">
        <v>586</v>
      </c>
      <c r="C36" s="414">
        <f>2.78*C13/7.34+2.84*C13</f>
      </c>
      <c r="D36" s="414">
        <f>2.78*D13/7.34+2.84*D13</f>
      </c>
      <c r="E36" s="414">
        <f>2.78*E13/7.34+2.84*E13</f>
      </c>
      <c r="F36" s="414">
        <f>2.78*F13/7.34+2.84*F13</f>
      </c>
      <c r="G36" s="414">
        <f>2.78*G13/7.34+2.84*G13</f>
      </c>
      <c r="H36" s="414">
        <f>2.78*H13/7.34+2.84*H13</f>
      </c>
      <c r="I36" s="414">
        <f>2.78*I13/7.34+2.84*I13</f>
      </c>
      <c r="J36" s="414">
        <f>2.78*J13/7.34+2.84*J13</f>
      </c>
      <c r="K36" s="414">
        <f>2.78*K13/7.34+2.84*K13</f>
      </c>
      <c r="L36" s="414">
        <f>2.78*L13/7.34+2.84*L13</f>
      </c>
      <c r="M36" s="414">
        <f>2.78*M13/7.34+2.84*M13</f>
      </c>
      <c r="N36" s="414">
        <f>2.78*N13/7.34+2.84*N13</f>
      </c>
      <c r="O36" s="414">
        <f>2.78*O13/7.34+2.84*O13</f>
      </c>
      <c r="P36" s="414">
        <f>2.78*P13/7.34+2.84*P13</f>
      </c>
      <c r="Q36" s="414">
        <f>10.32*Q13/6.8+6.62*Q13</f>
      </c>
      <c r="R36" s="414">
        <f>10.32*R13/6.8+6.62*R13</f>
      </c>
      <c r="S36" s="414">
        <f>10.32*S13/6.8+6.62*S13</f>
      </c>
      <c r="T36" s="414">
        <f>10.32*T13/6.8+6.62*T13</f>
      </c>
      <c r="U36" s="414">
        <f>10.32*U13/6.8+6.62*U13</f>
      </c>
      <c r="V36" s="414">
        <f>10.32*V13/6.8+6.62*V13</f>
      </c>
      <c r="W36" s="414">
        <f>10.32*W13/6.8+6.62*W13</f>
      </c>
      <c r="X36" s="414">
        <f>10.32*X13/6.8+6.62*X13</f>
      </c>
      <c r="Y36" s="414">
        <f>10.32*Y13/6.8+6.62*Y13</f>
      </c>
      <c r="Z36" s="414">
        <f>10.32*Z13/6.8+6.62*Z13</f>
      </c>
      <c r="AA36" s="415"/>
    </row>
    <row customHeight="true" ht="32.59259259259259" r="37">
      <c r="A37" s="409"/>
      <c r="B37" s="407" t="s">
        <v>587</v>
      </c>
      <c r="C37" s="406">
        <f>C35/C10</f>
      </c>
      <c r="D37" s="406">
        <f>D35/D10</f>
      </c>
      <c r="E37" s="406">
        <f>E35/E10</f>
      </c>
      <c r="F37" s="406">
        <f>F35/F10</f>
      </c>
      <c r="G37" s="406">
        <f>G35/G10</f>
      </c>
      <c r="H37" s="406">
        <f>H35/H10</f>
      </c>
      <c r="I37" s="406">
        <f>I35/I10</f>
      </c>
      <c r="J37" s="406">
        <f>J35/J10</f>
      </c>
      <c r="K37" s="406">
        <f>K35/K10</f>
      </c>
      <c r="L37" s="406">
        <f>L35/L10</f>
      </c>
      <c r="M37" s="406">
        <f>M35/M10</f>
      </c>
      <c r="N37" s="406">
        <f>N35/N10</f>
      </c>
      <c r="O37" s="406">
        <f>O35/O10</f>
      </c>
      <c r="P37" s="406">
        <f>P35/P10</f>
      </c>
      <c r="Q37" s="406">
        <f>Q35/Q10</f>
      </c>
      <c r="R37" s="406">
        <f>R35/R10</f>
      </c>
      <c r="S37" s="406">
        <f>S35/S10</f>
      </c>
      <c r="T37" s="406">
        <f>T35/T10</f>
      </c>
      <c r="U37" s="406">
        <f>U35/U10</f>
      </c>
      <c r="V37" s="406">
        <f>V35/V10</f>
      </c>
      <c r="W37" s="406">
        <f>W35/W10</f>
      </c>
      <c r="X37" s="406">
        <f>X35/X10</f>
      </c>
      <c r="Y37" s="406">
        <f>Y35/Y10</f>
      </c>
      <c r="Z37" s="406">
        <f>Z35/Z10</f>
      </c>
    </row>
    <row customHeight="true" ht="32.59259259259259" r="38">
      <c r="A38" s="412"/>
      <c r="B38" s="413" t="s">
        <v>588</v>
      </c>
      <c r="C38" s="414">
        <f>(3.84+46)*C39</f>
      </c>
      <c r="D38" s="414">
        <f>(3.84+46)*D39</f>
      </c>
      <c r="E38" s="414">
        <f>(3.84+46)*E39</f>
      </c>
      <c r="F38" s="414">
        <f>(3.84+46)*F39</f>
      </c>
      <c r="G38" s="414">
        <f>(3.84+46)*G39</f>
      </c>
      <c r="H38" s="414">
        <f>(3.84+46)*H39</f>
      </c>
      <c r="I38" s="414">
        <f>(3.84+46)*I39</f>
      </c>
      <c r="J38" s="414">
        <f>(3.84+46)*J39</f>
      </c>
      <c r="K38" s="414">
        <f>(3.84+46)*K39</f>
      </c>
      <c r="L38" s="414">
        <f>(3.84+46)*L39</f>
      </c>
      <c r="M38" s="414">
        <f>(3.84+46)*M39</f>
      </c>
      <c r="N38" s="414">
        <f>(3.84+46)*N39</f>
      </c>
      <c r="O38" s="414">
        <f>(3.84+46)*O39</f>
      </c>
      <c r="P38" s="414">
        <f>(3.84+46)*P39</f>
      </c>
      <c r="Q38" s="414">
        <f>(3.84+46)*Q39</f>
      </c>
      <c r="R38" s="414">
        <f>(3.84+46)*R39</f>
      </c>
      <c r="S38" s="414">
        <f>(3.84+46)*S39</f>
      </c>
      <c r="T38" s="414">
        <f>(3.84+46)*T39</f>
      </c>
      <c r="U38" s="414">
        <f>(3.84+46)*U39</f>
      </c>
      <c r="V38" s="414">
        <f>(3.84+46)*V39</f>
      </c>
      <c r="W38" s="414">
        <f>(3.84+46)*W39</f>
      </c>
      <c r="X38" s="414">
        <f>(3.84+46)*X39</f>
      </c>
      <c r="Y38" s="414">
        <f>(3.84+46)*Y39</f>
      </c>
      <c r="Z38" s="414">
        <f>(3.84+46)*Z39</f>
      </c>
      <c r="AA38" s="415"/>
    </row>
    <row customHeight="true" ht="45.925925925925924" r="39">
      <c r="A39" s="372" t="s">
        <v>589</v>
      </c>
      <c r="B39" s="352" t="s">
        <v>590</v>
      </c>
      <c r="C39" s="397">
        <v>1500</v>
      </c>
      <c r="D39" s="397">
        <f>C39-C12</f>
      </c>
      <c r="E39" s="397">
        <f>D39-D12</f>
      </c>
      <c r="F39" s="397">
        <f>E39-E12</f>
      </c>
      <c r="G39" s="397">
        <f>F39-F12</f>
      </c>
      <c r="H39" s="397">
        <f>G39-G12</f>
      </c>
      <c r="I39" s="397">
        <f>H39-H12</f>
      </c>
      <c r="J39" s="397">
        <f>I39-I12</f>
      </c>
      <c r="K39" s="397">
        <f>J39-J12</f>
      </c>
      <c r="L39" s="397">
        <f>K39-K12</f>
      </c>
      <c r="M39" s="397">
        <f>L39-L12</f>
      </c>
      <c r="N39" s="397">
        <f>M39-M12</f>
      </c>
      <c r="O39" s="397">
        <f>N39-N12</f>
      </c>
      <c r="P39" s="397">
        <f>O39-O12</f>
      </c>
      <c r="Q39" s="397">
        <f>P39-P12</f>
      </c>
      <c r="R39" s="397">
        <f>Q39-Q12</f>
      </c>
      <c r="S39" s="397">
        <f>R39-R12</f>
      </c>
      <c r="T39" s="397">
        <f>S39-S12</f>
      </c>
      <c r="U39" s="397">
        <f>T39-T12</f>
      </c>
      <c r="V39" s="397">
        <f>U39-U12</f>
      </c>
      <c r="W39" s="397">
        <f>V39-V12</f>
      </c>
      <c r="X39" s="397">
        <f>W39-W12</f>
      </c>
      <c r="Y39" s="397">
        <f>X39-X12</f>
      </c>
      <c r="Z39" s="397">
        <f>Y39-Y12</f>
      </c>
    </row>
    <row customHeight="true" ht="45.925925925925924" r="40">
      <c r="A40" s="372"/>
      <c r="B40" s="352" t="s">
        <v>591</v>
      </c>
      <c r="C40" s="397">
        <f>C39*64</f>
      </c>
      <c r="D40" s="397">
        <f>D39*64</f>
      </c>
      <c r="E40" s="397">
        <f>E39*64</f>
      </c>
      <c r="F40" s="397">
        <f>F39*64</f>
      </c>
      <c r="G40" s="397">
        <f>G39*64</f>
      </c>
      <c r="H40" s="397">
        <f>H39*64</f>
      </c>
      <c r="I40" s="397">
        <f>I39*64</f>
      </c>
      <c r="J40" s="397">
        <f>J39*64</f>
      </c>
      <c r="K40" s="397">
        <f>K39*64</f>
      </c>
      <c r="L40" s="397">
        <f>L39*64</f>
      </c>
      <c r="M40" s="397">
        <f>M39*64</f>
      </c>
      <c r="N40" s="397">
        <f>N39*64</f>
      </c>
      <c r="O40" s="397">
        <f>O39*64</f>
      </c>
      <c r="P40" s="397">
        <f>P39*64</f>
      </c>
      <c r="Q40" s="397">
        <f>Q39*64</f>
      </c>
      <c r="R40" s="397">
        <f>R39*64</f>
      </c>
      <c r="S40" s="397">
        <f>S39*64</f>
      </c>
      <c r="T40" s="397">
        <f>T39*64</f>
      </c>
      <c r="U40" s="397">
        <f>U39*64</f>
      </c>
      <c r="V40" s="397">
        <f>V39*64</f>
      </c>
      <c r="W40" s="397">
        <f>W39*64</f>
      </c>
      <c r="X40" s="397">
        <f>X39*64</f>
      </c>
      <c r="Y40" s="397">
        <f>Y39*64</f>
      </c>
      <c r="Z40" s="397">
        <f>Z39*64</f>
      </c>
    </row>
    <row customHeight="true" ht="45.925925925925924" r="41">
      <c r="A41" s="372" t="s">
        <v>592</v>
      </c>
      <c r="B41" s="352" t="s">
        <v>593</v>
      </c>
      <c r="C41" s="416">
        <f>C40+C38+C28+C32+C35</f>
      </c>
      <c r="D41" s="416">
        <f>D40+D38+D28+D32+D35</f>
      </c>
      <c r="E41" s="416">
        <f>E40+E38+E28+E32+E35</f>
      </c>
      <c r="F41" s="416">
        <f>F40+F38+F28+F32+F35</f>
      </c>
      <c r="G41" s="416">
        <f>G40+G38+G28+G32+G35</f>
      </c>
      <c r="H41" s="416">
        <f>H40+H38+H28+H32+H35</f>
      </c>
      <c r="I41" s="416">
        <f>I40+I38+I28+I32+I35</f>
      </c>
      <c r="J41" s="416">
        <f>J40+J38+J28+J32+J35</f>
      </c>
      <c r="K41" s="416">
        <f>K40+K38+K28+K32+K35</f>
      </c>
      <c r="L41" s="416">
        <f>L40+L38+L28+L32+L35</f>
      </c>
      <c r="M41" s="416">
        <f>M40+M38+M28+M32+M35</f>
      </c>
      <c r="N41" s="416">
        <f>N40+N38+N28+N32+N35</f>
      </c>
      <c r="O41" s="416">
        <f>O40+O38+O28+O32+O35</f>
      </c>
      <c r="P41" s="416">
        <f>P40+P38+P28+P32+P35</f>
      </c>
      <c r="Q41" s="416">
        <f>Q40+Q38+Q28+Q32+Q35</f>
      </c>
      <c r="R41" s="416">
        <f>R40+R38+R28+R32+R35</f>
      </c>
      <c r="S41" s="416">
        <f>S40+S38+S28+S32+S35</f>
      </c>
      <c r="T41" s="416">
        <f>T40+T38+T28+T32+T35</f>
      </c>
      <c r="U41" s="416">
        <f>U40+U38+U28+U32+U35</f>
      </c>
      <c r="V41" s="416">
        <f>V40+V38+V28+V32+V35</f>
      </c>
      <c r="W41" s="416">
        <f>W40+W38+W28+W32+W35</f>
      </c>
      <c r="X41" s="416">
        <f>X40+X38+X28+X32+X35</f>
      </c>
      <c r="Y41" s="416">
        <f>Y40+Y38+Y28+Y32+Y35</f>
      </c>
      <c r="Z41" s="416">
        <f>Z40+Z38+Z28+Z32+Z35</f>
      </c>
      <c r="AA41" s="417">
        <f t="shared" ref="AA41:AA42" si="0">SUM(C41:Z41)</f>
      </c>
    </row>
    <row customHeight="true" ht="45.925925925925924" r="42">
      <c r="A42" s="372"/>
      <c r="B42" s="352" t="s">
        <v>594</v>
      </c>
      <c r="C42" s="397">
        <f>C40+C38+C36+C34+C30</f>
      </c>
      <c r="D42" s="397">
        <f>D40+D38+D36+D34+D30</f>
      </c>
      <c r="E42" s="397">
        <f>E40+E38+E36+E34+E30</f>
      </c>
      <c r="F42" s="397">
        <f>F40+F38+F36+F34+F30</f>
      </c>
      <c r="G42" s="397">
        <f>G40+G38+G36+G34+G30</f>
      </c>
      <c r="H42" s="397">
        <f>H40+H38+H36+H34+H30</f>
      </c>
      <c r="I42" s="397">
        <f>I40+I38+I36+I34+I30</f>
      </c>
      <c r="J42" s="397">
        <f>J40+J38+J36+J34+J30</f>
      </c>
      <c r="K42" s="397">
        <f>K40+K38+K36+K34+K30</f>
      </c>
      <c r="L42" s="397">
        <f>L40+L38+L36+L34+L30</f>
      </c>
      <c r="M42" s="397">
        <f>M40+M38+M36+M34+M30</f>
      </c>
      <c r="N42" s="397">
        <f>N40+N38+N36+N34+N30</f>
      </c>
      <c r="O42" s="397">
        <f>O40+O38+O36+O34+O30</f>
      </c>
      <c r="P42" s="397">
        <f>P40+P38+P36+P34+P30</f>
      </c>
      <c r="Q42" s="397">
        <f>Q40+Q38+Q36+Q34+Q30</f>
      </c>
      <c r="R42" s="397">
        <f>R40+R38+R36+R34+R30</f>
      </c>
      <c r="S42" s="397">
        <f>S40+S38+S36+S34+S30</f>
      </c>
      <c r="T42" s="397">
        <f>T40+T38+T36+T34+T30</f>
      </c>
      <c r="U42" s="397">
        <f>U40+U38+U36+U34+U30</f>
      </c>
      <c r="V42" s="397">
        <f>V40+V38+V36+V34+V30</f>
      </c>
      <c r="W42" s="397">
        <f>W40+W38+W36+W34+W30</f>
      </c>
      <c r="X42" s="397">
        <f>X40+X38+X36+X34+X30</f>
      </c>
      <c r="Y42" s="397">
        <f>Y40+Y38+Y36+Y34+Y30</f>
      </c>
      <c r="Z42" s="397">
        <f>Z40+Z38+Z36+Z34+Z30</f>
      </c>
      <c r="AA42" s="417">
        <f t="shared" si="0"/>
      </c>
    </row>
  </sheetData>
  <mergeCells>
    <mergeCell ref="A1:B1"/>
    <mergeCell ref="C1:F1"/>
    <mergeCell ref="G1:J1"/>
    <mergeCell ref="K1:N1"/>
    <mergeCell ref="O1:R1"/>
    <mergeCell ref="S1:V1"/>
    <mergeCell ref="W1:Z1"/>
    <mergeCell ref="A2:B2"/>
    <mergeCell ref="C2:F2"/>
    <mergeCell ref="G2:J2"/>
    <mergeCell ref="K2:N2"/>
    <mergeCell ref="O2:R2"/>
    <mergeCell ref="S2:V2"/>
    <mergeCell ref="W2:Z2"/>
    <mergeCell ref="A3:B3"/>
    <mergeCell ref="C5:F5"/>
    <mergeCell ref="G5:J5"/>
    <mergeCell ref="K5:N5"/>
    <mergeCell ref="O5:R5"/>
    <mergeCell ref="S5:V5"/>
    <mergeCell ref="W5:Z5"/>
    <mergeCell ref="A6:A7"/>
    <mergeCell ref="A8:A9"/>
    <mergeCell ref="A10:A17"/>
    <mergeCell ref="A18:A21"/>
    <mergeCell ref="A22:A31"/>
    <mergeCell ref="A32:A38"/>
    <mergeCell ref="A39:A40"/>
    <mergeCell ref="A41:A42"/>
  </mergeCells>
  <legacy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24.2"/>
    <col collapsed="false" customWidth="true" hidden="false" max="18" min="18" style="0" width="24.2"/>
    <col collapsed="false" customWidth="true" hidden="false" max="34" min="34" style="0" width="17.933333333333334"/>
    <col collapsed="false" customWidth="true" hidden="false" max="50" min="50" style="0" width="17.933333333333334"/>
    <col collapsed="false" customWidth="true" hidden="false" max="65" min="65" style="0" width="17.933333333333334"/>
    <col collapsed="false" customWidth="true" hidden="false" max="81" min="81" style="0" width="17.933333333333334"/>
    <col collapsed="false" customWidth="true" hidden="false" max="98" min="98" style="0" width="17.933333333333334"/>
    <col collapsed="false" customWidth="true" hidden="false" max="3" min="3" style="0" width="24.2"/>
    <col collapsed="false" customWidth="true" hidden="false" max="19" min="19" style="0" width="24.2"/>
    <col collapsed="false" customWidth="true" hidden="false" max="35" min="35" style="0" width="17.933333333333334"/>
    <col collapsed="false" customWidth="true" hidden="false" max="51" min="51" style="0" width="17.933333333333334"/>
    <col collapsed="false" customWidth="true" hidden="false" max="66" min="66" style="0" width="17.933333333333334"/>
    <col collapsed="false" customWidth="true" hidden="false" max="82" min="82" style="0" width="17.933333333333334"/>
    <col collapsed="false" customWidth="true" hidden="false" max="99" min="99" style="0" width="17.933333333333334"/>
    <col collapsed="false" customWidth="true" hidden="false" max="4" min="4" style="0" width="24.2"/>
    <col collapsed="false" customWidth="true" hidden="false" max="20" min="20" style="0" width="24.2"/>
    <col collapsed="false" customWidth="true" hidden="false" max="36" min="36" style="0" width="17.933333333333334"/>
    <col collapsed="false" customWidth="true" hidden="false" max="52" min="52" style="0" width="17.933333333333334"/>
    <col collapsed="false" customWidth="true" hidden="false" max="67" min="67" style="0" width="17.933333333333334"/>
    <col collapsed="false" customWidth="true" hidden="false" max="83" min="83" style="0" width="17.933333333333334"/>
    <col collapsed="false" customWidth="true" hidden="false" max="100" min="100" style="0" width="17.933333333333334"/>
    <col collapsed="false" customWidth="true" hidden="false" max="5" min="5" style="0" width="24.2"/>
    <col collapsed="false" customWidth="true" hidden="false" max="21" min="21" style="0" width="24.2"/>
    <col collapsed="false" customWidth="true" hidden="false" max="37" min="37" style="0" width="17.933333333333334"/>
    <col collapsed="false" customWidth="true" hidden="false" max="53" min="53" style="0" width="17.933333333333334"/>
    <col collapsed="false" customWidth="true" hidden="false" max="68" min="68" style="0" width="17.933333333333334"/>
    <col collapsed="false" customWidth="true" hidden="false" max="84" min="84" style="0" width="17.933333333333334"/>
    <col collapsed="false" customWidth="true" hidden="false" max="101" min="101" style="0" width="17.933333333333334"/>
    <col collapsed="false" customWidth="true" hidden="false" max="102" min="102" style="0" width="17.933333333333334"/>
    <col collapsed="false" customWidth="true" hidden="false" max="6" min="6" style="0" width="24.2"/>
    <col collapsed="false" customWidth="true" hidden="false" max="22" min="22" style="0" width="24.2"/>
    <col collapsed="false" customWidth="true" hidden="false" max="38" min="38" style="0" width="17.933333333333334"/>
    <col collapsed="false" customWidth="true" hidden="false" max="39" min="39" style="0" width="17.933333333333334"/>
    <col collapsed="false" customWidth="true" hidden="false" max="54" min="54" style="0" width="17.933333333333334"/>
    <col collapsed="false" customWidth="true" hidden="false" max="69" min="69" style="0" width="17.933333333333334"/>
    <col collapsed="false" customWidth="true" hidden="false" max="85" min="85" style="0" width="17.933333333333334"/>
    <col collapsed="false" customWidth="true" hidden="false" max="7" min="7" style="0" width="24.2"/>
    <col collapsed="false" customWidth="true" hidden="false" max="23" min="23" style="0" width="24.2"/>
    <col collapsed="false" customWidth="true" hidden="false" max="40" min="40" style="0" width="17.933333333333334"/>
    <col collapsed="false" customWidth="true" hidden="false" max="55" min="55" style="0" width="17.933333333333334"/>
    <col collapsed="false" customWidth="true" hidden="false" max="70" min="70" style="0" width="17.933333333333334"/>
    <col collapsed="false" customWidth="true" hidden="false" max="86" min="86" style="0" width="17.933333333333334"/>
    <col collapsed="false" customWidth="true" hidden="false" max="103" min="103" style="0" width="17.933333333333334"/>
    <col collapsed="false" customWidth="true" hidden="false" max="8" min="8" style="0" width="24.2"/>
    <col collapsed="false" customWidth="true" hidden="false" max="24" min="24" style="0" width="24.2"/>
    <col collapsed="false" customWidth="true" hidden="false" max="56" min="56" style="0" width="17.933333333333334"/>
    <col collapsed="false" customWidth="true" hidden="false" max="71" min="71" style="0" width="17.933333333333334"/>
    <col collapsed="false" customWidth="true" hidden="false" max="87" min="87" style="0" width="17.933333333333334"/>
    <col collapsed="false" customWidth="true" hidden="false" max="104" min="104" style="0" width="17.933333333333334"/>
    <col collapsed="false" customWidth="true" hidden="false" max="9" min="9" style="0" width="24.2"/>
    <col collapsed="false" customWidth="true" hidden="false" max="25" min="25" style="0" width="24.2"/>
    <col collapsed="false" customWidth="true" hidden="false" max="41" min="41" style="0" width="17.933333333333334"/>
    <col collapsed="false" customWidth="true" hidden="false" max="57" min="57" style="0" width="17.933333333333334"/>
    <col collapsed="false" customWidth="true" hidden="false" max="72" min="72" style="0" width="17.933333333333334"/>
    <col collapsed="false" customWidth="true" hidden="false" max="88" min="88" style="0" width="17.933333333333334"/>
    <col collapsed="false" customWidth="true" hidden="false" max="10" min="10" style="0" width="24.2"/>
    <col collapsed="false" customWidth="true" hidden="false" max="26" min="26" style="0" width="24.2"/>
    <col collapsed="false" customWidth="true" hidden="false" max="42" min="42" style="0" width="17.933333333333334"/>
    <col collapsed="false" customWidth="true" hidden="false" max="58" min="58" style="0" width="17.933333333333334"/>
    <col collapsed="false" customWidth="true" hidden="false" max="73" min="73" style="0" width="17.933333333333334"/>
    <col collapsed="false" customWidth="true" hidden="false" max="89" min="89" style="0" width="17.933333333333334"/>
    <col collapsed="false" customWidth="true" hidden="false" max="105" min="105" style="0" width="17.933333333333334"/>
    <col collapsed="false" customWidth="true" hidden="false" max="11" min="11" style="0" width="24.2"/>
    <col collapsed="false" customWidth="true" hidden="false" max="27" min="27" style="0" width="24.2"/>
    <col collapsed="false" customWidth="true" hidden="false" max="43" min="43" style="0" width="17.933333333333334"/>
    <col collapsed="false" customWidth="true" hidden="false" max="59" min="59" style="0" width="17.933333333333334"/>
    <col collapsed="false" customWidth="true" hidden="false" max="74" min="74" style="0" width="17.933333333333334"/>
    <col collapsed="false" customWidth="true" hidden="false" max="90" min="90" style="0" width="17.933333333333334"/>
    <col collapsed="false" customWidth="true" hidden="false" max="106" min="106" style="0" width="17.933333333333334"/>
    <col collapsed="false" customWidth="true" hidden="false" max="12" min="12" style="0" width="24.2"/>
    <col collapsed="false" customWidth="true" hidden="false" max="28" min="28" style="0" width="24.2"/>
    <col collapsed="false" customWidth="true" hidden="false" max="44" min="44" style="0" width="17.933333333333334"/>
    <col collapsed="false" customWidth="true" hidden="false" max="60" min="60" style="0" width="17.933333333333334"/>
    <col collapsed="false" customWidth="true" hidden="false" max="75" min="75" style="0" width="17.933333333333334"/>
    <col collapsed="false" customWidth="true" hidden="false" max="91" min="91" style="0" width="17.933333333333334"/>
    <col collapsed="false" customWidth="true" hidden="false" max="107" min="107" style="0" width="17.933333333333334"/>
    <col collapsed="false" customWidth="true" hidden="false" max="13" min="13" style="0" width="24.2"/>
    <col collapsed="false" customWidth="true" hidden="false" max="29" min="29" style="0" width="24.2"/>
    <col collapsed="false" customWidth="true" hidden="false" max="45" min="45" style="0" width="17.933333333333334"/>
    <col collapsed="false" customWidth="true" hidden="false" max="61" min="61" style="0" width="17.933333333333334"/>
    <col collapsed="false" customWidth="true" hidden="false" max="76" min="76" style="0" width="17.933333333333334"/>
    <col collapsed="false" customWidth="true" hidden="false" max="92" min="92" style="0" width="17.933333333333334"/>
    <col collapsed="false" customWidth="true" hidden="false" max="108" min="108" style="0" width="17.933333333333334"/>
    <col collapsed="false" customWidth="true" hidden="false" max="14" min="14" style="0" width="24.2"/>
    <col collapsed="false" customWidth="true" hidden="false" max="30" min="30" style="0" width="24.2"/>
    <col collapsed="false" customWidth="true" hidden="false" max="46" min="46" style="0" width="17.933333333333334"/>
    <col collapsed="false" customWidth="true" hidden="false" max="62" min="62" style="0" width="17.933333333333334"/>
    <col collapsed="false" customWidth="true" hidden="false" max="77" min="77" style="0" width="17.933333333333334"/>
    <col collapsed="false" customWidth="true" hidden="false" max="93" min="93" style="0" width="17.933333333333334"/>
    <col collapsed="false" customWidth="true" hidden="false" max="109" min="109" style="0" width="17.933333333333334"/>
    <col collapsed="false" customWidth="true" hidden="false" max="15" min="15" style="0" width="24.2"/>
    <col collapsed="false" customWidth="true" hidden="false" max="31" min="31" style="0" width="24.2"/>
    <col collapsed="false" customWidth="true" hidden="false" max="47" min="47" style="0" width="17.933333333333334"/>
    <col collapsed="false" customWidth="true" hidden="false" max="63" min="63" style="0" width="17.933333333333334"/>
    <col collapsed="false" customWidth="true" hidden="false" max="78" min="78" style="0" width="17.933333333333334"/>
    <col collapsed="false" customWidth="true" hidden="false" max="94" min="94" style="0" width="17.933333333333334"/>
    <col collapsed="false" customWidth="true" hidden="false" max="110" min="110" style="0" width="17.933333333333334"/>
    <col collapsed="false" customWidth="true" hidden="false" max="16" min="16" style="0" width="24.2"/>
    <col collapsed="false" customWidth="true" hidden="false" max="32" min="32" style="0" width="17.933333333333334"/>
    <col collapsed="false" customWidth="true" hidden="false" max="48" min="48" style="0" width="17.933333333333334"/>
    <col collapsed="false" customWidth="true" hidden="false" max="64" min="64" style="0" width="17.933333333333334"/>
    <col collapsed="false" customWidth="true" hidden="false" max="79" min="79" style="0" width="17.933333333333334"/>
    <col collapsed="false" customWidth="true" hidden="false" max="95" min="95" style="0" width="17.933333333333334"/>
    <col collapsed="false" customWidth="true" hidden="false" max="1" min="1" style="0" width="24.2"/>
    <col collapsed="false" customWidth="true" hidden="false" max="17" min="17" style="0" width="24.2"/>
    <col collapsed="false" customWidth="true" hidden="false" max="33" min="33" style="0" width="17.933333333333334"/>
    <col collapsed="false" customWidth="true" hidden="false" max="49" min="49" style="0" width="17.933333333333334"/>
    <col collapsed="false" customWidth="true" hidden="false" max="80" min="80" style="0" width="17.933333333333334"/>
    <col collapsed="false" customWidth="true" hidden="false" max="96" min="96" style="0" width="17.933333333333334"/>
    <col collapsed="false" customWidth="true" hidden="false" max="97" min="97" style="0" width="17.933333333333334"/>
  </cols>
  <sheetData>
    <row customHeight="true" ht="16.296296296296294" r="1">
      <c r="A1" s="418" t="s">
        <v>595</v>
      </c>
      <c r="B1" s="418" t="s">
        <v>596</v>
      </c>
      <c r="C1" s="418" t="s">
        <v>597</v>
      </c>
      <c r="D1" s="418" t="s">
        <v>598</v>
      </c>
      <c r="E1" s="418" t="s">
        <v>599</v>
      </c>
      <c r="F1" s="418" t="s">
        <v>600</v>
      </c>
      <c r="G1" s="418" t="s">
        <v>601</v>
      </c>
      <c r="H1" s="418" t="s">
        <v>602</v>
      </c>
      <c r="I1" s="418" t="s">
        <v>603</v>
      </c>
      <c r="J1" s="418" t="s">
        <v>604</v>
      </c>
      <c r="K1" s="418" t="s">
        <v>605</v>
      </c>
      <c r="L1" s="418" t="s">
        <v>606</v>
      </c>
      <c r="M1" s="418" t="s">
        <v>607</v>
      </c>
      <c r="N1" s="418" t="s">
        <v>608</v>
      </c>
      <c r="O1" s="418" t="s">
        <v>609</v>
      </c>
      <c r="P1" s="418" t="s">
        <v>610</v>
      </c>
      <c r="Q1" s="418" t="s">
        <v>611</v>
      </c>
      <c r="R1" s="418" t="s">
        <v>612</v>
      </c>
      <c r="S1" s="418" t="s">
        <v>613</v>
      </c>
      <c r="T1" s="418" t="s">
        <v>614</v>
      </c>
      <c r="U1" s="418" t="s">
        <v>615</v>
      </c>
      <c r="V1" s="418" t="s">
        <v>616</v>
      </c>
      <c r="W1" s="418" t="s">
        <v>617</v>
      </c>
      <c r="X1" s="418" t="s">
        <v>618</v>
      </c>
      <c r="Y1" s="418" t="s">
        <v>619</v>
      </c>
      <c r="Z1" s="418" t="s">
        <v>620</v>
      </c>
      <c r="AA1" s="418" t="s">
        <v>621</v>
      </c>
      <c r="AB1" s="418" t="s">
        <v>622</v>
      </c>
      <c r="AC1" s="418" t="s">
        <v>623</v>
      </c>
      <c r="AD1" s="418" t="s">
        <v>624</v>
      </c>
      <c r="AE1" s="418" t="s">
        <v>625</v>
      </c>
      <c r="AF1" s="418" t="s">
        <v>626</v>
      </c>
      <c r="AG1" s="418" t="s">
        <v>627</v>
      </c>
      <c r="AH1" s="418" t="s">
        <v>628</v>
      </c>
      <c r="AI1" s="418" t="s">
        <v>629</v>
      </c>
      <c r="AJ1" s="418" t="s">
        <v>630</v>
      </c>
      <c r="AK1" s="418" t="s">
        <v>631</v>
      </c>
      <c r="AL1" s="418" t="s">
        <v>632</v>
      </c>
      <c r="AM1" s="418" t="s">
        <v>633</v>
      </c>
      <c r="AN1" s="418" t="s">
        <v>634</v>
      </c>
      <c r="AO1" s="418" t="s">
        <v>635</v>
      </c>
      <c r="AP1" s="418" t="s">
        <v>636</v>
      </c>
      <c r="AQ1" s="418" t="s">
        <v>637</v>
      </c>
      <c r="AR1" s="418" t="s">
        <v>638</v>
      </c>
      <c r="AS1" s="418" t="s">
        <v>639</v>
      </c>
      <c r="AT1" s="418" t="s">
        <v>640</v>
      </c>
      <c r="AU1" s="418" t="s">
        <v>641</v>
      </c>
      <c r="AV1" s="418" t="s">
        <v>642</v>
      </c>
      <c r="AW1" s="418" t="s">
        <v>643</v>
      </c>
      <c r="AX1" s="418" t="s">
        <v>644</v>
      </c>
      <c r="AY1" s="418" t="s">
        <v>645</v>
      </c>
      <c r="AZ1" s="418" t="s">
        <v>646</v>
      </c>
      <c r="BA1" s="418" t="s">
        <v>647</v>
      </c>
      <c r="BB1" s="418" t="s">
        <v>648</v>
      </c>
      <c r="BC1" s="418" t="s">
        <v>649</v>
      </c>
      <c r="BD1" s="418" t="s">
        <v>650</v>
      </c>
      <c r="BE1" s="418" t="s">
        <v>651</v>
      </c>
      <c r="BF1" s="418" t="s">
        <v>652</v>
      </c>
      <c r="BG1" s="418" t="s">
        <v>653</v>
      </c>
      <c r="BH1" s="418" t="s">
        <v>654</v>
      </c>
      <c r="BI1" s="418" t="s">
        <v>655</v>
      </c>
      <c r="BJ1" s="418" t="s">
        <v>656</v>
      </c>
      <c r="BK1" s="418" t="s">
        <v>657</v>
      </c>
      <c r="BL1" s="418" t="s">
        <v>658</v>
      </c>
      <c r="BM1" s="418" t="s">
        <v>659</v>
      </c>
      <c r="BN1" s="418" t="s">
        <v>660</v>
      </c>
      <c r="BO1" s="418" t="s">
        <v>661</v>
      </c>
      <c r="BP1" s="418" t="s">
        <v>662</v>
      </c>
      <c r="BQ1" s="418" t="s">
        <v>663</v>
      </c>
      <c r="BR1" s="418" t="s">
        <v>664</v>
      </c>
      <c r="BS1" s="418" t="s">
        <v>665</v>
      </c>
      <c r="BT1" s="418" t="s">
        <v>666</v>
      </c>
      <c r="BU1" s="418" t="s">
        <v>667</v>
      </c>
      <c r="BV1" s="418" t="s">
        <v>668</v>
      </c>
      <c r="BW1" s="418" t="s">
        <v>669</v>
      </c>
      <c r="BX1" s="418" t="s">
        <v>670</v>
      </c>
      <c r="BY1" s="418" t="s">
        <v>671</v>
      </c>
      <c r="BZ1" s="418" t="s">
        <v>672</v>
      </c>
      <c r="CA1" s="418" t="s">
        <v>673</v>
      </c>
      <c r="CB1" s="418" t="s">
        <v>674</v>
      </c>
      <c r="CC1" s="418" t="s">
        <v>675</v>
      </c>
      <c r="CD1" s="418" t="s">
        <v>676</v>
      </c>
      <c r="CE1" s="418" t="s">
        <v>677</v>
      </c>
      <c r="CF1" s="418" t="s">
        <v>678</v>
      </c>
      <c r="CG1" s="418" t="s">
        <v>679</v>
      </c>
      <c r="CH1" s="418" t="s">
        <v>680</v>
      </c>
      <c r="CI1" s="418" t="s">
        <v>681</v>
      </c>
      <c r="CJ1" s="418" t="s">
        <v>682</v>
      </c>
      <c r="CK1" s="418" t="s">
        <v>683</v>
      </c>
      <c r="CL1" s="418" t="s">
        <v>684</v>
      </c>
      <c r="CM1" s="418" t="s">
        <v>685</v>
      </c>
      <c r="CN1" s="418" t="s">
        <v>686</v>
      </c>
      <c r="CO1" s="418" t="s">
        <v>687</v>
      </c>
      <c r="CP1" s="418" t="s">
        <v>688</v>
      </c>
      <c r="CQ1" s="418" t="s">
        <v>689</v>
      </c>
      <c r="CR1" s="418" t="s">
        <v>690</v>
      </c>
      <c r="CS1" s="418" t="s">
        <v>691</v>
      </c>
      <c r="CT1" s="418" t="s">
        <v>692</v>
      </c>
      <c r="CU1" s="418" t="s">
        <v>693</v>
      </c>
      <c r="CV1" s="418" t="s">
        <v>694</v>
      </c>
      <c r="CW1" s="418" t="s">
        <v>695</v>
      </c>
      <c r="CX1" s="418" t="s">
        <v>696</v>
      </c>
      <c r="CY1" s="418" t="s">
        <v>697</v>
      </c>
      <c r="CZ1" s="418" t="s">
        <v>698</v>
      </c>
      <c r="DA1" s="418" t="s">
        <v>699</v>
      </c>
      <c r="DB1" s="418" t="s">
        <v>700</v>
      </c>
      <c r="DC1" s="418" t="s">
        <v>701</v>
      </c>
      <c r="DD1" s="418" t="s">
        <v>702</v>
      </c>
      <c r="DE1" s="418" t="s">
        <v>703</v>
      </c>
      <c r="DF1" s="418" t="s">
        <v>704</v>
      </c>
    </row>
    <row customHeight="true" ht="16.296296296296294" r="2">
      <c r="A2" s="419" t="s">
        <v>705</v>
      </c>
      <c r="B2" s="419" t="s">
        <v>706</v>
      </c>
      <c r="C2" s="419" t="s">
        <v>707</v>
      </c>
      <c r="D2" s="419" t="s">
        <v>707</v>
      </c>
      <c r="E2" s="419" t="s">
        <v>706</v>
      </c>
      <c r="F2" s="419" t="s">
        <v>708</v>
      </c>
      <c r="G2" s="420">
        <v>64.99</v>
      </c>
      <c r="H2" s="420">
        <v>64.99</v>
      </c>
      <c r="I2" s="421">
        <v>0</v>
      </c>
      <c r="J2" s="421">
        <v>0</v>
      </c>
      <c r="K2" s="421">
        <v>0</v>
      </c>
      <c r="L2" s="421">
        <v>0</v>
      </c>
      <c r="M2" s="421">
        <v>0</v>
      </c>
      <c r="N2" s="421">
        <v>0</v>
      </c>
      <c r="O2" s="421">
        <v>0</v>
      </c>
      <c r="P2" s="421">
        <v>0</v>
      </c>
      <c r="Q2" s="420">
        <v>0</v>
      </c>
      <c r="R2" s="421">
        <v>0</v>
      </c>
      <c r="S2" s="420">
        <v>0</v>
      </c>
      <c r="T2" s="419" t="s">
        <v>709</v>
      </c>
      <c r="U2" s="419" t="s">
        <v>709</v>
      </c>
      <c r="V2" s="419" t="s">
        <v>709</v>
      </c>
      <c r="W2" s="419" t="s">
        <v>709</v>
      </c>
      <c r="X2" s="419" t="s">
        <v>709</v>
      </c>
      <c r="Y2" s="419" t="s">
        <v>709</v>
      </c>
      <c r="Z2" s="421">
        <v>0</v>
      </c>
      <c r="AA2" s="420">
        <v>0</v>
      </c>
      <c r="AB2" s="421">
        <v>0</v>
      </c>
      <c r="AC2" s="420">
        <v>0</v>
      </c>
      <c r="AD2" s="421">
        <v>0</v>
      </c>
      <c r="AE2" s="420">
        <v>0</v>
      </c>
      <c r="AF2" s="421">
        <v>0</v>
      </c>
      <c r="AG2" s="420">
        <v>0</v>
      </c>
      <c r="AH2" s="422">
        <v>0</v>
      </c>
      <c r="AI2" s="420">
        <v>0</v>
      </c>
      <c r="AJ2" s="422">
        <v>0</v>
      </c>
      <c r="AK2" s="420">
        <v>0</v>
      </c>
      <c r="AL2" s="419"/>
      <c r="AM2" s="419"/>
      <c r="AN2" s="421">
        <v>0</v>
      </c>
      <c r="AO2" s="420">
        <v>0</v>
      </c>
      <c r="AP2" s="419" t="s">
        <v>709</v>
      </c>
      <c r="AQ2" s="423">
        <v>0</v>
      </c>
      <c r="AR2" s="421">
        <v>0</v>
      </c>
      <c r="AS2" s="419" t="s">
        <v>709</v>
      </c>
      <c r="AT2" s="419" t="s">
        <v>710</v>
      </c>
      <c r="AU2" s="419" t="s">
        <v>710</v>
      </c>
      <c r="AV2" s="419" t="s">
        <v>710</v>
      </c>
      <c r="AW2" s="419" t="s">
        <v>710</v>
      </c>
      <c r="AX2" s="419" t="s">
        <v>710</v>
      </c>
      <c r="AY2" s="421">
        <v>0</v>
      </c>
      <c r="AZ2" s="419" t="s">
        <v>709</v>
      </c>
      <c r="BA2" s="421">
        <v>0</v>
      </c>
      <c r="BB2" s="419" t="s">
        <v>709</v>
      </c>
      <c r="BC2" s="421">
        <v>0</v>
      </c>
      <c r="BD2" s="419" t="s">
        <v>709</v>
      </c>
      <c r="BE2" s="421">
        <v>0</v>
      </c>
      <c r="BF2" s="421">
        <v>0</v>
      </c>
      <c r="BG2" s="421">
        <v>0</v>
      </c>
      <c r="BH2" s="421">
        <v>0</v>
      </c>
      <c r="BI2" s="419" t="s">
        <v>709</v>
      </c>
      <c r="BJ2" s="419" t="s">
        <v>709</v>
      </c>
      <c r="BK2" s="419" t="s">
        <v>709</v>
      </c>
      <c r="BL2" s="420">
        <v>0</v>
      </c>
      <c r="BM2" s="419" t="s">
        <v>709</v>
      </c>
      <c r="BN2" s="420">
        <v>0</v>
      </c>
      <c r="BO2" s="420">
        <v>0</v>
      </c>
      <c r="BP2" s="420">
        <v>0</v>
      </c>
      <c r="BQ2" s="420">
        <v>0</v>
      </c>
      <c r="BR2" s="420">
        <v>0</v>
      </c>
      <c r="BS2" s="424">
        <v>0</v>
      </c>
      <c r="BT2" s="419" t="s">
        <v>709</v>
      </c>
      <c r="BU2" s="419" t="s">
        <v>709</v>
      </c>
      <c r="BV2" s="419" t="s">
        <v>709</v>
      </c>
      <c r="BW2" s="420">
        <v>0</v>
      </c>
      <c r="BX2" s="420">
        <v>0</v>
      </c>
      <c r="BY2" s="420">
        <v>0</v>
      </c>
      <c r="BZ2" s="420">
        <v>0</v>
      </c>
      <c r="CA2" s="421">
        <v>0</v>
      </c>
      <c r="CB2" s="421">
        <v>0</v>
      </c>
      <c r="CC2" s="420">
        <v>0</v>
      </c>
      <c r="CD2" s="419" t="s">
        <v>709</v>
      </c>
      <c r="CE2" s="419" t="s">
        <v>709</v>
      </c>
      <c r="CF2" s="421">
        <v>0</v>
      </c>
      <c r="CG2" s="421">
        <v>0</v>
      </c>
      <c r="CH2" s="421">
        <v>0</v>
      </c>
      <c r="CI2" s="421">
        <v>0</v>
      </c>
      <c r="CJ2" s="419" t="s">
        <v>709</v>
      </c>
      <c r="CK2" s="419" t="s">
        <v>709</v>
      </c>
      <c r="CL2" s="419" t="s">
        <v>709</v>
      </c>
      <c r="CM2" s="419" t="s">
        <v>709</v>
      </c>
      <c r="CN2" s="419" t="s">
        <v>709</v>
      </c>
      <c r="CO2" s="419" t="s">
        <v>709</v>
      </c>
      <c r="CP2" s="421">
        <v>0</v>
      </c>
      <c r="CQ2" s="419" t="s">
        <v>709</v>
      </c>
      <c r="CR2" s="421">
        <v>0</v>
      </c>
      <c r="CS2" s="419" t="s">
        <v>709</v>
      </c>
      <c r="CT2" s="421">
        <v>0</v>
      </c>
      <c r="CU2" s="419" t="s">
        <v>709</v>
      </c>
      <c r="CV2" s="419" t="s">
        <v>709</v>
      </c>
      <c r="CW2" s="421">
        <v>0</v>
      </c>
      <c r="CX2" s="419" t="s">
        <v>709</v>
      </c>
      <c r="CY2" s="421">
        <v>0</v>
      </c>
      <c r="CZ2" s="419" t="s">
        <v>709</v>
      </c>
      <c r="DA2" s="421">
        <v>0</v>
      </c>
      <c r="DB2" s="419" t="s">
        <v>709</v>
      </c>
      <c r="DC2" s="419" t="s">
        <v>709</v>
      </c>
      <c r="DD2" s="419" t="s">
        <v>709</v>
      </c>
      <c r="DE2" s="419" t="s">
        <v>709</v>
      </c>
      <c r="DF2" s="419"/>
    </row>
    <row customHeight="true" ht="16.296296296296294" r="3">
      <c r="A3" s="419" t="s">
        <v>711</v>
      </c>
      <c r="B3" s="419" t="s">
        <v>706</v>
      </c>
      <c r="C3" s="419" t="s">
        <v>707</v>
      </c>
      <c r="D3" s="419" t="s">
        <v>707</v>
      </c>
      <c r="E3" s="419" t="s">
        <v>706</v>
      </c>
      <c r="F3" s="419" t="s">
        <v>708</v>
      </c>
      <c r="G3" s="420">
        <v>64.99</v>
      </c>
      <c r="H3" s="420">
        <v>64.99</v>
      </c>
      <c r="I3" s="421">
        <v>0</v>
      </c>
      <c r="J3" s="421">
        <v>0</v>
      </c>
      <c r="K3" s="421">
        <v>0</v>
      </c>
      <c r="L3" s="421">
        <v>0</v>
      </c>
      <c r="M3" s="421">
        <v>0</v>
      </c>
      <c r="N3" s="421">
        <v>0</v>
      </c>
      <c r="O3" s="421">
        <v>0</v>
      </c>
      <c r="P3" s="421">
        <v>0</v>
      </c>
      <c r="Q3" s="420">
        <v>0</v>
      </c>
      <c r="R3" s="421">
        <v>0</v>
      </c>
      <c r="S3" s="420">
        <v>0</v>
      </c>
      <c r="T3" s="419" t="s">
        <v>709</v>
      </c>
      <c r="U3" s="419" t="s">
        <v>709</v>
      </c>
      <c r="V3" s="419" t="s">
        <v>709</v>
      </c>
      <c r="W3" s="419" t="s">
        <v>709</v>
      </c>
      <c r="X3" s="419" t="s">
        <v>709</v>
      </c>
      <c r="Y3" s="419" t="s">
        <v>709</v>
      </c>
      <c r="Z3" s="421">
        <v>0</v>
      </c>
      <c r="AA3" s="420">
        <v>0</v>
      </c>
      <c r="AB3" s="421">
        <v>0</v>
      </c>
      <c r="AC3" s="420">
        <v>0</v>
      </c>
      <c r="AD3" s="421">
        <v>0</v>
      </c>
      <c r="AE3" s="420">
        <v>0</v>
      </c>
      <c r="AF3" s="421">
        <v>0</v>
      </c>
      <c r="AG3" s="420">
        <v>0</v>
      </c>
      <c r="AH3" s="422">
        <v>0</v>
      </c>
      <c r="AI3" s="420">
        <v>0</v>
      </c>
      <c r="AJ3" s="422">
        <v>0</v>
      </c>
      <c r="AK3" s="420">
        <v>0</v>
      </c>
      <c r="AL3" s="419"/>
      <c r="AM3" s="419"/>
      <c r="AN3" s="421">
        <v>0</v>
      </c>
      <c r="AO3" s="420">
        <v>0</v>
      </c>
      <c r="AP3" s="419" t="s">
        <v>709</v>
      </c>
      <c r="AQ3" s="423">
        <v>0</v>
      </c>
      <c r="AR3" s="421">
        <v>0</v>
      </c>
      <c r="AS3" s="419" t="s">
        <v>709</v>
      </c>
      <c r="AT3" s="419" t="s">
        <v>710</v>
      </c>
      <c r="AU3" s="419" t="s">
        <v>710</v>
      </c>
      <c r="AV3" s="419" t="s">
        <v>710</v>
      </c>
      <c r="AW3" s="419" t="s">
        <v>710</v>
      </c>
      <c r="AX3" s="419" t="s">
        <v>710</v>
      </c>
      <c r="AY3" s="421">
        <v>0</v>
      </c>
      <c r="AZ3" s="419" t="s">
        <v>709</v>
      </c>
      <c r="BA3" s="421">
        <v>0</v>
      </c>
      <c r="BB3" s="419" t="s">
        <v>709</v>
      </c>
      <c r="BC3" s="421">
        <v>0</v>
      </c>
      <c r="BD3" s="419" t="s">
        <v>709</v>
      </c>
      <c r="BE3" s="421">
        <v>0</v>
      </c>
      <c r="BF3" s="421">
        <v>0</v>
      </c>
      <c r="BG3" s="421">
        <v>0</v>
      </c>
      <c r="BH3" s="421">
        <v>0</v>
      </c>
      <c r="BI3" s="419" t="s">
        <v>709</v>
      </c>
      <c r="BJ3" s="419" t="s">
        <v>709</v>
      </c>
      <c r="BK3" s="419" t="s">
        <v>709</v>
      </c>
      <c r="BL3" s="420">
        <v>0</v>
      </c>
      <c r="BM3" s="419" t="s">
        <v>709</v>
      </c>
      <c r="BN3" s="420">
        <v>0</v>
      </c>
      <c r="BO3" s="420">
        <v>0</v>
      </c>
      <c r="BP3" s="420">
        <v>0</v>
      </c>
      <c r="BQ3" s="420">
        <v>0</v>
      </c>
      <c r="BR3" s="420">
        <v>0</v>
      </c>
      <c r="BS3" s="424">
        <v>0</v>
      </c>
      <c r="BT3" s="419" t="s">
        <v>709</v>
      </c>
      <c r="BU3" s="419" t="s">
        <v>709</v>
      </c>
      <c r="BV3" s="419" t="s">
        <v>709</v>
      </c>
      <c r="BW3" s="420">
        <v>0</v>
      </c>
      <c r="BX3" s="420">
        <v>0</v>
      </c>
      <c r="BY3" s="420">
        <v>0</v>
      </c>
      <c r="BZ3" s="420">
        <v>0</v>
      </c>
      <c r="CA3" s="421">
        <v>0</v>
      </c>
      <c r="CB3" s="421">
        <v>0</v>
      </c>
      <c r="CC3" s="420">
        <v>0</v>
      </c>
      <c r="CD3" s="419" t="s">
        <v>709</v>
      </c>
      <c r="CE3" s="419" t="s">
        <v>709</v>
      </c>
      <c r="CF3" s="421">
        <v>0</v>
      </c>
      <c r="CG3" s="421">
        <v>0</v>
      </c>
      <c r="CH3" s="421">
        <v>0</v>
      </c>
      <c r="CI3" s="421">
        <v>0</v>
      </c>
      <c r="CJ3" s="419" t="s">
        <v>709</v>
      </c>
      <c r="CK3" s="419" t="s">
        <v>709</v>
      </c>
      <c r="CL3" s="419" t="s">
        <v>709</v>
      </c>
      <c r="CM3" s="419" t="s">
        <v>709</v>
      </c>
      <c r="CN3" s="419" t="s">
        <v>709</v>
      </c>
      <c r="CO3" s="419" t="s">
        <v>709</v>
      </c>
      <c r="CP3" s="421">
        <v>0</v>
      </c>
      <c r="CQ3" s="419" t="s">
        <v>709</v>
      </c>
      <c r="CR3" s="421">
        <v>0</v>
      </c>
      <c r="CS3" s="419" t="s">
        <v>709</v>
      </c>
      <c r="CT3" s="421">
        <v>0</v>
      </c>
      <c r="CU3" s="419" t="s">
        <v>709</v>
      </c>
      <c r="CV3" s="419" t="s">
        <v>709</v>
      </c>
      <c r="CW3" s="421">
        <v>0</v>
      </c>
      <c r="CX3" s="419" t="s">
        <v>709</v>
      </c>
      <c r="CY3" s="421">
        <v>0</v>
      </c>
      <c r="CZ3" s="419" t="s">
        <v>709</v>
      </c>
      <c r="DA3" s="421">
        <v>0</v>
      </c>
      <c r="DB3" s="419" t="s">
        <v>709</v>
      </c>
      <c r="DC3" s="419" t="s">
        <v>709</v>
      </c>
      <c r="DD3" s="419" t="s">
        <v>709</v>
      </c>
      <c r="DE3" s="419" t="s">
        <v>709</v>
      </c>
      <c r="DF3" s="419"/>
    </row>
    <row customHeight="true" ht="16.296296296296294" r="4">
      <c r="A4" s="419" t="s">
        <v>712</v>
      </c>
      <c r="B4" s="419" t="s">
        <v>706</v>
      </c>
      <c r="C4" s="419" t="s">
        <v>707</v>
      </c>
      <c r="D4" s="419" t="s">
        <v>707</v>
      </c>
      <c r="E4" s="419" t="s">
        <v>706</v>
      </c>
      <c r="F4" s="419" t="s">
        <v>708</v>
      </c>
      <c r="G4" s="420">
        <v>64.99</v>
      </c>
      <c r="H4" s="420">
        <v>64.99</v>
      </c>
      <c r="I4" s="421">
        <v>0</v>
      </c>
      <c r="J4" s="421">
        <v>0</v>
      </c>
      <c r="K4" s="421">
        <v>0</v>
      </c>
      <c r="L4" s="421">
        <v>0</v>
      </c>
      <c r="M4" s="421">
        <v>0</v>
      </c>
      <c r="N4" s="421">
        <v>0</v>
      </c>
      <c r="O4" s="421">
        <v>0</v>
      </c>
      <c r="P4" s="421">
        <v>0</v>
      </c>
      <c r="Q4" s="420">
        <v>0</v>
      </c>
      <c r="R4" s="421">
        <v>0</v>
      </c>
      <c r="S4" s="420">
        <v>0</v>
      </c>
      <c r="T4" s="419" t="s">
        <v>709</v>
      </c>
      <c r="U4" s="419" t="s">
        <v>709</v>
      </c>
      <c r="V4" s="419" t="s">
        <v>709</v>
      </c>
      <c r="W4" s="419" t="s">
        <v>709</v>
      </c>
      <c r="X4" s="419" t="s">
        <v>709</v>
      </c>
      <c r="Y4" s="419" t="s">
        <v>709</v>
      </c>
      <c r="Z4" s="421">
        <v>0</v>
      </c>
      <c r="AA4" s="420">
        <v>0</v>
      </c>
      <c r="AB4" s="421">
        <v>0</v>
      </c>
      <c r="AC4" s="420">
        <v>0</v>
      </c>
      <c r="AD4" s="421">
        <v>0</v>
      </c>
      <c r="AE4" s="420">
        <v>0</v>
      </c>
      <c r="AF4" s="421">
        <v>0</v>
      </c>
      <c r="AG4" s="420">
        <v>0</v>
      </c>
      <c r="AH4" s="422">
        <v>0</v>
      </c>
      <c r="AI4" s="420">
        <v>0</v>
      </c>
      <c r="AJ4" s="422">
        <v>0</v>
      </c>
      <c r="AK4" s="420">
        <v>0</v>
      </c>
      <c r="AL4" s="419"/>
      <c r="AM4" s="419"/>
      <c r="AN4" s="421">
        <v>0</v>
      </c>
      <c r="AO4" s="420">
        <v>0</v>
      </c>
      <c r="AP4" s="419" t="s">
        <v>709</v>
      </c>
      <c r="AQ4" s="423">
        <v>0</v>
      </c>
      <c r="AR4" s="421">
        <v>0</v>
      </c>
      <c r="AS4" s="419" t="s">
        <v>709</v>
      </c>
      <c r="AT4" s="419" t="s">
        <v>710</v>
      </c>
      <c r="AU4" s="419" t="s">
        <v>710</v>
      </c>
      <c r="AV4" s="419" t="s">
        <v>710</v>
      </c>
      <c r="AW4" s="419" t="s">
        <v>710</v>
      </c>
      <c r="AX4" s="419" t="s">
        <v>710</v>
      </c>
      <c r="AY4" s="421">
        <v>0</v>
      </c>
      <c r="AZ4" s="419" t="s">
        <v>709</v>
      </c>
      <c r="BA4" s="421">
        <v>0</v>
      </c>
      <c r="BB4" s="419" t="s">
        <v>709</v>
      </c>
      <c r="BC4" s="421">
        <v>0</v>
      </c>
      <c r="BD4" s="419" t="s">
        <v>709</v>
      </c>
      <c r="BE4" s="421">
        <v>0</v>
      </c>
      <c r="BF4" s="421">
        <v>0</v>
      </c>
      <c r="BG4" s="421">
        <v>0</v>
      </c>
      <c r="BH4" s="421">
        <v>0</v>
      </c>
      <c r="BI4" s="419" t="s">
        <v>709</v>
      </c>
      <c r="BJ4" s="419" t="s">
        <v>709</v>
      </c>
      <c r="BK4" s="419" t="s">
        <v>709</v>
      </c>
      <c r="BL4" s="420">
        <v>0</v>
      </c>
      <c r="BM4" s="419" t="s">
        <v>709</v>
      </c>
      <c r="BN4" s="420">
        <v>0</v>
      </c>
      <c r="BO4" s="420">
        <v>0</v>
      </c>
      <c r="BP4" s="420">
        <v>0</v>
      </c>
      <c r="BQ4" s="420">
        <v>0</v>
      </c>
      <c r="BR4" s="420">
        <v>0</v>
      </c>
      <c r="BS4" s="424">
        <v>0</v>
      </c>
      <c r="BT4" s="419" t="s">
        <v>709</v>
      </c>
      <c r="BU4" s="419" t="s">
        <v>709</v>
      </c>
      <c r="BV4" s="419" t="s">
        <v>709</v>
      </c>
      <c r="BW4" s="420">
        <v>0</v>
      </c>
      <c r="BX4" s="420">
        <v>0</v>
      </c>
      <c r="BY4" s="420">
        <v>0</v>
      </c>
      <c r="BZ4" s="420">
        <v>0</v>
      </c>
      <c r="CA4" s="421">
        <v>0</v>
      </c>
      <c r="CB4" s="421">
        <v>0</v>
      </c>
      <c r="CC4" s="420">
        <v>0</v>
      </c>
      <c r="CD4" s="419" t="s">
        <v>709</v>
      </c>
      <c r="CE4" s="419" t="s">
        <v>709</v>
      </c>
      <c r="CF4" s="421">
        <v>0</v>
      </c>
      <c r="CG4" s="421">
        <v>0</v>
      </c>
      <c r="CH4" s="421">
        <v>0</v>
      </c>
      <c r="CI4" s="421">
        <v>0</v>
      </c>
      <c r="CJ4" s="419" t="s">
        <v>709</v>
      </c>
      <c r="CK4" s="419" t="s">
        <v>709</v>
      </c>
      <c r="CL4" s="419" t="s">
        <v>709</v>
      </c>
      <c r="CM4" s="419" t="s">
        <v>709</v>
      </c>
      <c r="CN4" s="419" t="s">
        <v>709</v>
      </c>
      <c r="CO4" s="419" t="s">
        <v>709</v>
      </c>
      <c r="CP4" s="421">
        <v>0</v>
      </c>
      <c r="CQ4" s="419" t="s">
        <v>709</v>
      </c>
      <c r="CR4" s="421">
        <v>0</v>
      </c>
      <c r="CS4" s="419" t="s">
        <v>709</v>
      </c>
      <c r="CT4" s="421">
        <v>0</v>
      </c>
      <c r="CU4" s="419" t="s">
        <v>709</v>
      </c>
      <c r="CV4" s="419" t="s">
        <v>709</v>
      </c>
      <c r="CW4" s="421">
        <v>0</v>
      </c>
      <c r="CX4" s="419" t="s">
        <v>709</v>
      </c>
      <c r="CY4" s="421">
        <v>0</v>
      </c>
      <c r="CZ4" s="419" t="s">
        <v>709</v>
      </c>
      <c r="DA4" s="421">
        <v>0</v>
      </c>
      <c r="DB4" s="419" t="s">
        <v>709</v>
      </c>
      <c r="DC4" s="419" t="s">
        <v>709</v>
      </c>
      <c r="DD4" s="419" t="s">
        <v>709</v>
      </c>
      <c r="DE4" s="419" t="s">
        <v>709</v>
      </c>
      <c r="DF4" s="419"/>
    </row>
    <row customHeight="true" ht="16.296296296296294" r="5">
      <c r="A5" s="419" t="s">
        <v>713</v>
      </c>
      <c r="B5" s="419" t="s">
        <v>706</v>
      </c>
      <c r="C5" s="419" t="s">
        <v>707</v>
      </c>
      <c r="D5" s="419" t="s">
        <v>707</v>
      </c>
      <c r="E5" s="419" t="s">
        <v>706</v>
      </c>
      <c r="F5" s="419" t="s">
        <v>708</v>
      </c>
      <c r="G5" s="420">
        <v>64.99</v>
      </c>
      <c r="H5" s="420">
        <v>64.99</v>
      </c>
      <c r="I5" s="421">
        <v>0</v>
      </c>
      <c r="J5" s="421">
        <v>0</v>
      </c>
      <c r="K5" s="421">
        <v>0</v>
      </c>
      <c r="L5" s="421">
        <v>0</v>
      </c>
      <c r="M5" s="421">
        <v>0</v>
      </c>
      <c r="N5" s="421">
        <v>0</v>
      </c>
      <c r="O5" s="421">
        <v>0</v>
      </c>
      <c r="P5" s="421">
        <v>0</v>
      </c>
      <c r="Q5" s="420">
        <v>0</v>
      </c>
      <c r="R5" s="421">
        <v>0</v>
      </c>
      <c r="S5" s="420">
        <v>0</v>
      </c>
      <c r="T5" s="419" t="s">
        <v>709</v>
      </c>
      <c r="U5" s="419" t="s">
        <v>709</v>
      </c>
      <c r="V5" s="419" t="s">
        <v>709</v>
      </c>
      <c r="W5" s="419" t="s">
        <v>709</v>
      </c>
      <c r="X5" s="419" t="s">
        <v>709</v>
      </c>
      <c r="Y5" s="419" t="s">
        <v>709</v>
      </c>
      <c r="Z5" s="421">
        <v>0</v>
      </c>
      <c r="AA5" s="420">
        <v>0</v>
      </c>
      <c r="AB5" s="421">
        <v>0</v>
      </c>
      <c r="AC5" s="420">
        <v>0</v>
      </c>
      <c r="AD5" s="421">
        <v>0</v>
      </c>
      <c r="AE5" s="420">
        <v>0</v>
      </c>
      <c r="AF5" s="421">
        <v>0</v>
      </c>
      <c r="AG5" s="420">
        <v>0</v>
      </c>
      <c r="AH5" s="422">
        <v>0</v>
      </c>
      <c r="AI5" s="420">
        <v>0</v>
      </c>
      <c r="AJ5" s="422">
        <v>0</v>
      </c>
      <c r="AK5" s="420">
        <v>0</v>
      </c>
      <c r="AL5" s="419"/>
      <c r="AM5" s="419"/>
      <c r="AN5" s="421">
        <v>0</v>
      </c>
      <c r="AO5" s="420">
        <v>0</v>
      </c>
      <c r="AP5" s="419" t="s">
        <v>709</v>
      </c>
      <c r="AQ5" s="423">
        <v>0</v>
      </c>
      <c r="AR5" s="421">
        <v>0</v>
      </c>
      <c r="AS5" s="419" t="s">
        <v>709</v>
      </c>
      <c r="AT5" s="419" t="s">
        <v>710</v>
      </c>
      <c r="AU5" s="419" t="s">
        <v>710</v>
      </c>
      <c r="AV5" s="419" t="s">
        <v>710</v>
      </c>
      <c r="AW5" s="419" t="s">
        <v>710</v>
      </c>
      <c r="AX5" s="419" t="s">
        <v>710</v>
      </c>
      <c r="AY5" s="421">
        <v>0</v>
      </c>
      <c r="AZ5" s="419" t="s">
        <v>709</v>
      </c>
      <c r="BA5" s="421">
        <v>0</v>
      </c>
      <c r="BB5" s="419" t="s">
        <v>709</v>
      </c>
      <c r="BC5" s="421">
        <v>0</v>
      </c>
      <c r="BD5" s="419" t="s">
        <v>709</v>
      </c>
      <c r="BE5" s="421">
        <v>0</v>
      </c>
      <c r="BF5" s="421">
        <v>0</v>
      </c>
      <c r="BG5" s="421">
        <v>0</v>
      </c>
      <c r="BH5" s="421">
        <v>0</v>
      </c>
      <c r="BI5" s="419" t="s">
        <v>709</v>
      </c>
      <c r="BJ5" s="419" t="s">
        <v>709</v>
      </c>
      <c r="BK5" s="419" t="s">
        <v>709</v>
      </c>
      <c r="BL5" s="420">
        <v>0</v>
      </c>
      <c r="BM5" s="419" t="s">
        <v>709</v>
      </c>
      <c r="BN5" s="420">
        <v>0</v>
      </c>
      <c r="BO5" s="420">
        <v>0</v>
      </c>
      <c r="BP5" s="420">
        <v>0</v>
      </c>
      <c r="BQ5" s="420">
        <v>0</v>
      </c>
      <c r="BR5" s="420">
        <v>0</v>
      </c>
      <c r="BS5" s="424">
        <v>0</v>
      </c>
      <c r="BT5" s="419" t="s">
        <v>709</v>
      </c>
      <c r="BU5" s="419" t="s">
        <v>709</v>
      </c>
      <c r="BV5" s="419" t="s">
        <v>709</v>
      </c>
      <c r="BW5" s="420">
        <v>0</v>
      </c>
      <c r="BX5" s="420">
        <v>0</v>
      </c>
      <c r="BY5" s="420">
        <v>0</v>
      </c>
      <c r="BZ5" s="420">
        <v>0</v>
      </c>
      <c r="CA5" s="421">
        <v>0</v>
      </c>
      <c r="CB5" s="421">
        <v>0</v>
      </c>
      <c r="CC5" s="420">
        <v>0</v>
      </c>
      <c r="CD5" s="419" t="s">
        <v>709</v>
      </c>
      <c r="CE5" s="419" t="s">
        <v>709</v>
      </c>
      <c r="CF5" s="421">
        <v>0</v>
      </c>
      <c r="CG5" s="421">
        <v>0</v>
      </c>
      <c r="CH5" s="421">
        <v>0</v>
      </c>
      <c r="CI5" s="421">
        <v>0</v>
      </c>
      <c r="CJ5" s="419" t="s">
        <v>709</v>
      </c>
      <c r="CK5" s="419" t="s">
        <v>709</v>
      </c>
      <c r="CL5" s="419" t="s">
        <v>709</v>
      </c>
      <c r="CM5" s="419" t="s">
        <v>709</v>
      </c>
      <c r="CN5" s="419" t="s">
        <v>709</v>
      </c>
      <c r="CO5" s="419" t="s">
        <v>709</v>
      </c>
      <c r="CP5" s="421">
        <v>0</v>
      </c>
      <c r="CQ5" s="419" t="s">
        <v>709</v>
      </c>
      <c r="CR5" s="421">
        <v>0</v>
      </c>
      <c r="CS5" s="419" t="s">
        <v>709</v>
      </c>
      <c r="CT5" s="421">
        <v>0</v>
      </c>
      <c r="CU5" s="419" t="s">
        <v>709</v>
      </c>
      <c r="CV5" s="419" t="s">
        <v>709</v>
      </c>
      <c r="CW5" s="421">
        <v>0</v>
      </c>
      <c r="CX5" s="419" t="s">
        <v>709</v>
      </c>
      <c r="CY5" s="421">
        <v>0</v>
      </c>
      <c r="CZ5" s="419" t="s">
        <v>709</v>
      </c>
      <c r="DA5" s="421">
        <v>0</v>
      </c>
      <c r="DB5" s="419" t="s">
        <v>709</v>
      </c>
      <c r="DC5" s="419" t="s">
        <v>709</v>
      </c>
      <c r="DD5" s="419" t="s">
        <v>709</v>
      </c>
      <c r="DE5" s="419" t="s">
        <v>709</v>
      </c>
      <c r="DF5" s="419"/>
    </row>
    <row customHeight="true" ht="16.296296296296294" r="6">
      <c r="A6" s="419" t="s">
        <v>714</v>
      </c>
      <c r="B6" s="419" t="s">
        <v>706</v>
      </c>
      <c r="C6" s="419" t="s">
        <v>707</v>
      </c>
      <c r="D6" s="419" t="s">
        <v>707</v>
      </c>
      <c r="E6" s="419" t="s">
        <v>706</v>
      </c>
      <c r="F6" s="419" t="s">
        <v>708</v>
      </c>
      <c r="G6" s="420">
        <v>64.99</v>
      </c>
      <c r="H6" s="420">
        <v>64.99</v>
      </c>
      <c r="I6" s="421">
        <v>0</v>
      </c>
      <c r="J6" s="421">
        <v>0</v>
      </c>
      <c r="K6" s="421">
        <v>0</v>
      </c>
      <c r="L6" s="421">
        <v>0</v>
      </c>
      <c r="M6" s="421">
        <v>0</v>
      </c>
      <c r="N6" s="421">
        <v>0</v>
      </c>
      <c r="O6" s="421">
        <v>0</v>
      </c>
      <c r="P6" s="421">
        <v>0</v>
      </c>
      <c r="Q6" s="420">
        <v>0</v>
      </c>
      <c r="R6" s="421">
        <v>0</v>
      </c>
      <c r="S6" s="420">
        <v>0</v>
      </c>
      <c r="T6" s="419" t="s">
        <v>709</v>
      </c>
      <c r="U6" s="419" t="s">
        <v>709</v>
      </c>
      <c r="V6" s="419" t="s">
        <v>709</v>
      </c>
      <c r="W6" s="419" t="s">
        <v>709</v>
      </c>
      <c r="X6" s="419" t="s">
        <v>709</v>
      </c>
      <c r="Y6" s="419" t="s">
        <v>709</v>
      </c>
      <c r="Z6" s="421">
        <v>0</v>
      </c>
      <c r="AA6" s="420">
        <v>0</v>
      </c>
      <c r="AB6" s="421">
        <v>0</v>
      </c>
      <c r="AC6" s="420">
        <v>0</v>
      </c>
      <c r="AD6" s="421">
        <v>0</v>
      </c>
      <c r="AE6" s="420">
        <v>0</v>
      </c>
      <c r="AF6" s="421">
        <v>0</v>
      </c>
      <c r="AG6" s="420">
        <v>0</v>
      </c>
      <c r="AH6" s="422">
        <v>0</v>
      </c>
      <c r="AI6" s="420">
        <v>0</v>
      </c>
      <c r="AJ6" s="422">
        <v>0</v>
      </c>
      <c r="AK6" s="420">
        <v>0</v>
      </c>
      <c r="AL6" s="419"/>
      <c r="AM6" s="419"/>
      <c r="AN6" s="421">
        <v>0</v>
      </c>
      <c r="AO6" s="420">
        <v>0</v>
      </c>
      <c r="AP6" s="419" t="s">
        <v>709</v>
      </c>
      <c r="AQ6" s="423">
        <v>0</v>
      </c>
      <c r="AR6" s="421">
        <v>0</v>
      </c>
      <c r="AS6" s="419" t="s">
        <v>709</v>
      </c>
      <c r="AT6" s="419" t="s">
        <v>710</v>
      </c>
      <c r="AU6" s="419" t="s">
        <v>710</v>
      </c>
      <c r="AV6" s="419" t="s">
        <v>710</v>
      </c>
      <c r="AW6" s="419" t="s">
        <v>710</v>
      </c>
      <c r="AX6" s="419" t="s">
        <v>710</v>
      </c>
      <c r="AY6" s="421">
        <v>0</v>
      </c>
      <c r="AZ6" s="419" t="s">
        <v>709</v>
      </c>
      <c r="BA6" s="421">
        <v>0</v>
      </c>
      <c r="BB6" s="419" t="s">
        <v>709</v>
      </c>
      <c r="BC6" s="421">
        <v>0</v>
      </c>
      <c r="BD6" s="419" t="s">
        <v>709</v>
      </c>
      <c r="BE6" s="421">
        <v>0</v>
      </c>
      <c r="BF6" s="421">
        <v>0</v>
      </c>
      <c r="BG6" s="421">
        <v>0</v>
      </c>
      <c r="BH6" s="421">
        <v>0</v>
      </c>
      <c r="BI6" s="419" t="s">
        <v>709</v>
      </c>
      <c r="BJ6" s="419" t="s">
        <v>709</v>
      </c>
      <c r="BK6" s="419" t="s">
        <v>709</v>
      </c>
      <c r="BL6" s="420">
        <v>0</v>
      </c>
      <c r="BM6" s="419" t="s">
        <v>709</v>
      </c>
      <c r="BN6" s="420">
        <v>0</v>
      </c>
      <c r="BO6" s="420">
        <v>0</v>
      </c>
      <c r="BP6" s="420">
        <v>0</v>
      </c>
      <c r="BQ6" s="420">
        <v>0</v>
      </c>
      <c r="BR6" s="420">
        <v>0</v>
      </c>
      <c r="BS6" s="424">
        <v>0</v>
      </c>
      <c r="BT6" s="419" t="s">
        <v>709</v>
      </c>
      <c r="BU6" s="419" t="s">
        <v>709</v>
      </c>
      <c r="BV6" s="419" t="s">
        <v>709</v>
      </c>
      <c r="BW6" s="420">
        <v>0</v>
      </c>
      <c r="BX6" s="420">
        <v>0</v>
      </c>
      <c r="BY6" s="420">
        <v>0</v>
      </c>
      <c r="BZ6" s="420">
        <v>0</v>
      </c>
      <c r="CA6" s="421">
        <v>0</v>
      </c>
      <c r="CB6" s="421">
        <v>0</v>
      </c>
      <c r="CC6" s="420">
        <v>0</v>
      </c>
      <c r="CD6" s="419" t="s">
        <v>709</v>
      </c>
      <c r="CE6" s="419" t="s">
        <v>709</v>
      </c>
      <c r="CF6" s="421">
        <v>0</v>
      </c>
      <c r="CG6" s="421">
        <v>0</v>
      </c>
      <c r="CH6" s="421">
        <v>0</v>
      </c>
      <c r="CI6" s="421">
        <v>0</v>
      </c>
      <c r="CJ6" s="419" t="s">
        <v>709</v>
      </c>
      <c r="CK6" s="419" t="s">
        <v>709</v>
      </c>
      <c r="CL6" s="419" t="s">
        <v>709</v>
      </c>
      <c r="CM6" s="419" t="s">
        <v>709</v>
      </c>
      <c r="CN6" s="419" t="s">
        <v>709</v>
      </c>
      <c r="CO6" s="419" t="s">
        <v>709</v>
      </c>
      <c r="CP6" s="421">
        <v>0</v>
      </c>
      <c r="CQ6" s="419" t="s">
        <v>709</v>
      </c>
      <c r="CR6" s="421">
        <v>0</v>
      </c>
      <c r="CS6" s="419" t="s">
        <v>709</v>
      </c>
      <c r="CT6" s="421">
        <v>0</v>
      </c>
      <c r="CU6" s="419" t="s">
        <v>709</v>
      </c>
      <c r="CV6" s="419" t="s">
        <v>709</v>
      </c>
      <c r="CW6" s="421">
        <v>0</v>
      </c>
      <c r="CX6" s="419" t="s">
        <v>709</v>
      </c>
      <c r="CY6" s="421">
        <v>0</v>
      </c>
      <c r="CZ6" s="419" t="s">
        <v>709</v>
      </c>
      <c r="DA6" s="421">
        <v>0</v>
      </c>
      <c r="DB6" s="419" t="s">
        <v>709</v>
      </c>
      <c r="DC6" s="419" t="s">
        <v>709</v>
      </c>
      <c r="DD6" s="419" t="s">
        <v>709</v>
      </c>
      <c r="DE6" s="419" t="s">
        <v>709</v>
      </c>
      <c r="DF6" s="419"/>
    </row>
    <row customHeight="true" ht="16.296296296296294" r="7">
      <c r="A7" s="419" t="s">
        <v>715</v>
      </c>
      <c r="B7" s="419" t="s">
        <v>706</v>
      </c>
      <c r="C7" s="419" t="s">
        <v>707</v>
      </c>
      <c r="D7" s="419" t="s">
        <v>707</v>
      </c>
      <c r="E7" s="419" t="s">
        <v>706</v>
      </c>
      <c r="F7" s="419" t="s">
        <v>708</v>
      </c>
      <c r="G7" s="420">
        <v>64.99</v>
      </c>
      <c r="H7" s="420">
        <v>64.99</v>
      </c>
      <c r="I7" s="421">
        <v>0</v>
      </c>
      <c r="J7" s="421">
        <v>0</v>
      </c>
      <c r="K7" s="421">
        <v>0</v>
      </c>
      <c r="L7" s="421">
        <v>0</v>
      </c>
      <c r="M7" s="421">
        <v>0</v>
      </c>
      <c r="N7" s="421">
        <v>0</v>
      </c>
      <c r="O7" s="421">
        <v>0</v>
      </c>
      <c r="P7" s="421">
        <v>0</v>
      </c>
      <c r="Q7" s="420">
        <v>0</v>
      </c>
      <c r="R7" s="421">
        <v>0</v>
      </c>
      <c r="S7" s="420">
        <v>0</v>
      </c>
      <c r="T7" s="419" t="s">
        <v>709</v>
      </c>
      <c r="U7" s="419" t="s">
        <v>709</v>
      </c>
      <c r="V7" s="419" t="s">
        <v>709</v>
      </c>
      <c r="W7" s="419" t="s">
        <v>709</v>
      </c>
      <c r="X7" s="419" t="s">
        <v>709</v>
      </c>
      <c r="Y7" s="419" t="s">
        <v>709</v>
      </c>
      <c r="Z7" s="421">
        <v>0</v>
      </c>
      <c r="AA7" s="420">
        <v>0</v>
      </c>
      <c r="AB7" s="421">
        <v>0</v>
      </c>
      <c r="AC7" s="420">
        <v>0</v>
      </c>
      <c r="AD7" s="421">
        <v>0</v>
      </c>
      <c r="AE7" s="420">
        <v>0</v>
      </c>
      <c r="AF7" s="421">
        <v>0</v>
      </c>
      <c r="AG7" s="420">
        <v>0</v>
      </c>
      <c r="AH7" s="422">
        <v>0</v>
      </c>
      <c r="AI7" s="420">
        <v>0</v>
      </c>
      <c r="AJ7" s="422">
        <v>0</v>
      </c>
      <c r="AK7" s="420">
        <v>0</v>
      </c>
      <c r="AL7" s="419"/>
      <c r="AM7" s="419"/>
      <c r="AN7" s="421">
        <v>0</v>
      </c>
      <c r="AO7" s="420">
        <v>0</v>
      </c>
      <c r="AP7" s="419" t="s">
        <v>709</v>
      </c>
      <c r="AQ7" s="423">
        <v>0</v>
      </c>
      <c r="AR7" s="421">
        <v>0</v>
      </c>
      <c r="AS7" s="419" t="s">
        <v>709</v>
      </c>
      <c r="AT7" s="419" t="s">
        <v>710</v>
      </c>
      <c r="AU7" s="419" t="s">
        <v>710</v>
      </c>
      <c r="AV7" s="419" t="s">
        <v>710</v>
      </c>
      <c r="AW7" s="419" t="s">
        <v>710</v>
      </c>
      <c r="AX7" s="419" t="s">
        <v>710</v>
      </c>
      <c r="AY7" s="421">
        <v>0</v>
      </c>
      <c r="AZ7" s="419" t="s">
        <v>709</v>
      </c>
      <c r="BA7" s="421">
        <v>0</v>
      </c>
      <c r="BB7" s="419" t="s">
        <v>709</v>
      </c>
      <c r="BC7" s="421">
        <v>0</v>
      </c>
      <c r="BD7" s="419" t="s">
        <v>709</v>
      </c>
      <c r="BE7" s="421">
        <v>0</v>
      </c>
      <c r="BF7" s="421">
        <v>0</v>
      </c>
      <c r="BG7" s="421">
        <v>0</v>
      </c>
      <c r="BH7" s="421">
        <v>0</v>
      </c>
      <c r="BI7" s="419" t="s">
        <v>709</v>
      </c>
      <c r="BJ7" s="419" t="s">
        <v>709</v>
      </c>
      <c r="BK7" s="419" t="s">
        <v>709</v>
      </c>
      <c r="BL7" s="420">
        <v>0</v>
      </c>
      <c r="BM7" s="419" t="s">
        <v>709</v>
      </c>
      <c r="BN7" s="420">
        <v>0</v>
      </c>
      <c r="BO7" s="420">
        <v>0</v>
      </c>
      <c r="BP7" s="420">
        <v>0</v>
      </c>
      <c r="BQ7" s="420">
        <v>0</v>
      </c>
      <c r="BR7" s="420">
        <v>0</v>
      </c>
      <c r="BS7" s="424">
        <v>0</v>
      </c>
      <c r="BT7" s="419" t="s">
        <v>709</v>
      </c>
      <c r="BU7" s="419" t="s">
        <v>709</v>
      </c>
      <c r="BV7" s="419" t="s">
        <v>709</v>
      </c>
      <c r="BW7" s="420">
        <v>0</v>
      </c>
      <c r="BX7" s="420">
        <v>0</v>
      </c>
      <c r="BY7" s="420">
        <v>0</v>
      </c>
      <c r="BZ7" s="420">
        <v>0</v>
      </c>
      <c r="CA7" s="421">
        <v>0</v>
      </c>
      <c r="CB7" s="421">
        <v>0</v>
      </c>
      <c r="CC7" s="420">
        <v>0</v>
      </c>
      <c r="CD7" s="419" t="s">
        <v>709</v>
      </c>
      <c r="CE7" s="419" t="s">
        <v>709</v>
      </c>
      <c r="CF7" s="421">
        <v>0</v>
      </c>
      <c r="CG7" s="421">
        <v>0</v>
      </c>
      <c r="CH7" s="421">
        <v>0</v>
      </c>
      <c r="CI7" s="421">
        <v>0</v>
      </c>
      <c r="CJ7" s="419" t="s">
        <v>709</v>
      </c>
      <c r="CK7" s="419" t="s">
        <v>709</v>
      </c>
      <c r="CL7" s="419" t="s">
        <v>709</v>
      </c>
      <c r="CM7" s="419" t="s">
        <v>709</v>
      </c>
      <c r="CN7" s="419" t="s">
        <v>709</v>
      </c>
      <c r="CO7" s="419" t="s">
        <v>709</v>
      </c>
      <c r="CP7" s="421">
        <v>0</v>
      </c>
      <c r="CQ7" s="419" t="s">
        <v>709</v>
      </c>
      <c r="CR7" s="421">
        <v>0</v>
      </c>
      <c r="CS7" s="419" t="s">
        <v>709</v>
      </c>
      <c r="CT7" s="421">
        <v>0</v>
      </c>
      <c r="CU7" s="419" t="s">
        <v>709</v>
      </c>
      <c r="CV7" s="419" t="s">
        <v>709</v>
      </c>
      <c r="CW7" s="421">
        <v>0</v>
      </c>
      <c r="CX7" s="419" t="s">
        <v>709</v>
      </c>
      <c r="CY7" s="421">
        <v>0</v>
      </c>
      <c r="CZ7" s="419" t="s">
        <v>709</v>
      </c>
      <c r="DA7" s="421">
        <v>0</v>
      </c>
      <c r="DB7" s="419" t="s">
        <v>709</v>
      </c>
      <c r="DC7" s="419" t="s">
        <v>709</v>
      </c>
      <c r="DD7" s="419" t="s">
        <v>709</v>
      </c>
      <c r="DE7" s="419" t="s">
        <v>709</v>
      </c>
      <c r="DF7" s="419"/>
    </row>
    <row customHeight="true" ht="16.296296296296294" r="8">
      <c r="A8" s="419" t="s">
        <v>716</v>
      </c>
      <c r="B8" s="419" t="s">
        <v>706</v>
      </c>
      <c r="C8" s="419" t="s">
        <v>707</v>
      </c>
      <c r="D8" s="419" t="s">
        <v>707</v>
      </c>
      <c r="E8" s="419" t="s">
        <v>706</v>
      </c>
      <c r="F8" s="419" t="s">
        <v>708</v>
      </c>
      <c r="G8" s="420">
        <v>64.99</v>
      </c>
      <c r="H8" s="420">
        <v>64.99</v>
      </c>
      <c r="I8" s="421">
        <v>0</v>
      </c>
      <c r="J8" s="421">
        <v>0</v>
      </c>
      <c r="K8" s="421">
        <v>0</v>
      </c>
      <c r="L8" s="421">
        <v>0</v>
      </c>
      <c r="M8" s="421">
        <v>0</v>
      </c>
      <c r="N8" s="421">
        <v>0</v>
      </c>
      <c r="O8" s="421">
        <v>0</v>
      </c>
      <c r="P8" s="421">
        <v>0</v>
      </c>
      <c r="Q8" s="420">
        <v>0</v>
      </c>
      <c r="R8" s="421">
        <v>0</v>
      </c>
      <c r="S8" s="420">
        <v>0</v>
      </c>
      <c r="T8" s="419" t="s">
        <v>709</v>
      </c>
      <c r="U8" s="419" t="s">
        <v>709</v>
      </c>
      <c r="V8" s="419" t="s">
        <v>709</v>
      </c>
      <c r="W8" s="419" t="s">
        <v>709</v>
      </c>
      <c r="X8" s="419" t="s">
        <v>709</v>
      </c>
      <c r="Y8" s="419" t="s">
        <v>709</v>
      </c>
      <c r="Z8" s="421">
        <v>0</v>
      </c>
      <c r="AA8" s="420">
        <v>0</v>
      </c>
      <c r="AB8" s="421">
        <v>0</v>
      </c>
      <c r="AC8" s="420">
        <v>0</v>
      </c>
      <c r="AD8" s="421">
        <v>0</v>
      </c>
      <c r="AE8" s="420">
        <v>0</v>
      </c>
      <c r="AF8" s="421">
        <v>0</v>
      </c>
      <c r="AG8" s="420">
        <v>0</v>
      </c>
      <c r="AH8" s="422">
        <v>0</v>
      </c>
      <c r="AI8" s="420">
        <v>0</v>
      </c>
      <c r="AJ8" s="422">
        <v>0</v>
      </c>
      <c r="AK8" s="420">
        <v>0</v>
      </c>
      <c r="AL8" s="419"/>
      <c r="AM8" s="419"/>
      <c r="AN8" s="421">
        <v>0</v>
      </c>
      <c r="AO8" s="420">
        <v>0</v>
      </c>
      <c r="AP8" s="419" t="s">
        <v>709</v>
      </c>
      <c r="AQ8" s="423">
        <v>0</v>
      </c>
      <c r="AR8" s="421">
        <v>0</v>
      </c>
      <c r="AS8" s="419" t="s">
        <v>709</v>
      </c>
      <c r="AT8" s="419" t="s">
        <v>710</v>
      </c>
      <c r="AU8" s="419" t="s">
        <v>710</v>
      </c>
      <c r="AV8" s="419" t="s">
        <v>710</v>
      </c>
      <c r="AW8" s="419" t="s">
        <v>710</v>
      </c>
      <c r="AX8" s="419" t="s">
        <v>710</v>
      </c>
      <c r="AY8" s="421">
        <v>0</v>
      </c>
      <c r="AZ8" s="419" t="s">
        <v>709</v>
      </c>
      <c r="BA8" s="421">
        <v>0</v>
      </c>
      <c r="BB8" s="419" t="s">
        <v>709</v>
      </c>
      <c r="BC8" s="421">
        <v>0</v>
      </c>
      <c r="BD8" s="419" t="s">
        <v>709</v>
      </c>
      <c r="BE8" s="421">
        <v>0</v>
      </c>
      <c r="BF8" s="421">
        <v>0</v>
      </c>
      <c r="BG8" s="421">
        <v>0</v>
      </c>
      <c r="BH8" s="421">
        <v>0</v>
      </c>
      <c r="BI8" s="419" t="s">
        <v>709</v>
      </c>
      <c r="BJ8" s="419" t="s">
        <v>709</v>
      </c>
      <c r="BK8" s="419" t="s">
        <v>709</v>
      </c>
      <c r="BL8" s="420">
        <v>0</v>
      </c>
      <c r="BM8" s="419" t="s">
        <v>709</v>
      </c>
      <c r="BN8" s="420">
        <v>0</v>
      </c>
      <c r="BO8" s="420">
        <v>0</v>
      </c>
      <c r="BP8" s="420">
        <v>0</v>
      </c>
      <c r="BQ8" s="420">
        <v>0</v>
      </c>
      <c r="BR8" s="420">
        <v>0</v>
      </c>
      <c r="BS8" s="424">
        <v>0</v>
      </c>
      <c r="BT8" s="419" t="s">
        <v>709</v>
      </c>
      <c r="BU8" s="419" t="s">
        <v>709</v>
      </c>
      <c r="BV8" s="419" t="s">
        <v>709</v>
      </c>
      <c r="BW8" s="420">
        <v>0</v>
      </c>
      <c r="BX8" s="420">
        <v>0</v>
      </c>
      <c r="BY8" s="420">
        <v>0</v>
      </c>
      <c r="BZ8" s="420">
        <v>0</v>
      </c>
      <c r="CA8" s="421">
        <v>0</v>
      </c>
      <c r="CB8" s="421">
        <v>0</v>
      </c>
      <c r="CC8" s="420">
        <v>0</v>
      </c>
      <c r="CD8" s="419" t="s">
        <v>709</v>
      </c>
      <c r="CE8" s="419" t="s">
        <v>709</v>
      </c>
      <c r="CF8" s="421">
        <v>0</v>
      </c>
      <c r="CG8" s="421">
        <v>0</v>
      </c>
      <c r="CH8" s="421">
        <v>0</v>
      </c>
      <c r="CI8" s="421">
        <v>0</v>
      </c>
      <c r="CJ8" s="419" t="s">
        <v>709</v>
      </c>
      <c r="CK8" s="419" t="s">
        <v>709</v>
      </c>
      <c r="CL8" s="419" t="s">
        <v>709</v>
      </c>
      <c r="CM8" s="419" t="s">
        <v>709</v>
      </c>
      <c r="CN8" s="419" t="s">
        <v>709</v>
      </c>
      <c r="CO8" s="419" t="s">
        <v>709</v>
      </c>
      <c r="CP8" s="421">
        <v>0</v>
      </c>
      <c r="CQ8" s="419" t="s">
        <v>709</v>
      </c>
      <c r="CR8" s="421">
        <v>0</v>
      </c>
      <c r="CS8" s="419" t="s">
        <v>709</v>
      </c>
      <c r="CT8" s="421">
        <v>0</v>
      </c>
      <c r="CU8" s="419" t="s">
        <v>709</v>
      </c>
      <c r="CV8" s="419" t="s">
        <v>709</v>
      </c>
      <c r="CW8" s="421">
        <v>0</v>
      </c>
      <c r="CX8" s="419" t="s">
        <v>709</v>
      </c>
      <c r="CY8" s="421">
        <v>0</v>
      </c>
      <c r="CZ8" s="419" t="s">
        <v>709</v>
      </c>
      <c r="DA8" s="421">
        <v>0</v>
      </c>
      <c r="DB8" s="419" t="s">
        <v>709</v>
      </c>
      <c r="DC8" s="419" t="s">
        <v>709</v>
      </c>
      <c r="DD8" s="419" t="s">
        <v>709</v>
      </c>
      <c r="DE8" s="419" t="s">
        <v>709</v>
      </c>
      <c r="DF8" s="419"/>
    </row>
    <row customHeight="true" ht="16.296296296296294" r="9">
      <c r="A9" s="419" t="s">
        <v>717</v>
      </c>
      <c r="B9" s="419" t="s">
        <v>706</v>
      </c>
      <c r="C9" s="419" t="s">
        <v>707</v>
      </c>
      <c r="D9" s="419" t="s">
        <v>707</v>
      </c>
      <c r="E9" s="419" t="s">
        <v>706</v>
      </c>
      <c r="F9" s="419" t="s">
        <v>708</v>
      </c>
      <c r="G9" s="420">
        <v>64.99</v>
      </c>
      <c r="H9" s="420">
        <v>64.99</v>
      </c>
      <c r="I9" s="421">
        <v>0</v>
      </c>
      <c r="J9" s="421">
        <v>0</v>
      </c>
      <c r="K9" s="421">
        <v>0</v>
      </c>
      <c r="L9" s="421">
        <v>0</v>
      </c>
      <c r="M9" s="421">
        <v>0</v>
      </c>
      <c r="N9" s="421">
        <v>0</v>
      </c>
      <c r="O9" s="421">
        <v>0</v>
      </c>
      <c r="P9" s="421">
        <v>0</v>
      </c>
      <c r="Q9" s="420">
        <v>0</v>
      </c>
      <c r="R9" s="421">
        <v>0</v>
      </c>
      <c r="S9" s="420">
        <v>0</v>
      </c>
      <c r="T9" s="419" t="s">
        <v>709</v>
      </c>
      <c r="U9" s="419" t="s">
        <v>709</v>
      </c>
      <c r="V9" s="419" t="s">
        <v>709</v>
      </c>
      <c r="W9" s="419" t="s">
        <v>709</v>
      </c>
      <c r="X9" s="419" t="s">
        <v>709</v>
      </c>
      <c r="Y9" s="419" t="s">
        <v>709</v>
      </c>
      <c r="Z9" s="421">
        <v>0</v>
      </c>
      <c r="AA9" s="420">
        <v>0</v>
      </c>
      <c r="AB9" s="421">
        <v>0</v>
      </c>
      <c r="AC9" s="420">
        <v>0</v>
      </c>
      <c r="AD9" s="421">
        <v>0</v>
      </c>
      <c r="AE9" s="420">
        <v>0</v>
      </c>
      <c r="AF9" s="421">
        <v>0</v>
      </c>
      <c r="AG9" s="420">
        <v>0</v>
      </c>
      <c r="AH9" s="422">
        <v>0</v>
      </c>
      <c r="AI9" s="420">
        <v>0</v>
      </c>
      <c r="AJ9" s="422">
        <v>0</v>
      </c>
      <c r="AK9" s="420">
        <v>0</v>
      </c>
      <c r="AL9" s="419"/>
      <c r="AM9" s="419"/>
      <c r="AN9" s="421">
        <v>0</v>
      </c>
      <c r="AO9" s="420">
        <v>0</v>
      </c>
      <c r="AP9" s="419" t="s">
        <v>709</v>
      </c>
      <c r="AQ9" s="423">
        <v>0</v>
      </c>
      <c r="AR9" s="421">
        <v>0</v>
      </c>
      <c r="AS9" s="419" t="s">
        <v>709</v>
      </c>
      <c r="AT9" s="419" t="s">
        <v>710</v>
      </c>
      <c r="AU9" s="419" t="s">
        <v>710</v>
      </c>
      <c r="AV9" s="419" t="s">
        <v>710</v>
      </c>
      <c r="AW9" s="419" t="s">
        <v>710</v>
      </c>
      <c r="AX9" s="419" t="s">
        <v>710</v>
      </c>
      <c r="AY9" s="421">
        <v>0</v>
      </c>
      <c r="AZ9" s="419" t="s">
        <v>709</v>
      </c>
      <c r="BA9" s="421">
        <v>0</v>
      </c>
      <c r="BB9" s="419" t="s">
        <v>709</v>
      </c>
      <c r="BC9" s="421">
        <v>0</v>
      </c>
      <c r="BD9" s="419" t="s">
        <v>709</v>
      </c>
      <c r="BE9" s="421">
        <v>0</v>
      </c>
      <c r="BF9" s="421">
        <v>0</v>
      </c>
      <c r="BG9" s="421">
        <v>0</v>
      </c>
      <c r="BH9" s="421">
        <v>0</v>
      </c>
      <c r="BI9" s="419" t="s">
        <v>709</v>
      </c>
      <c r="BJ9" s="419" t="s">
        <v>709</v>
      </c>
      <c r="BK9" s="419" t="s">
        <v>709</v>
      </c>
      <c r="BL9" s="420">
        <v>0</v>
      </c>
      <c r="BM9" s="419" t="s">
        <v>709</v>
      </c>
      <c r="BN9" s="420">
        <v>0</v>
      </c>
      <c r="BO9" s="420">
        <v>0</v>
      </c>
      <c r="BP9" s="420">
        <v>0</v>
      </c>
      <c r="BQ9" s="420">
        <v>0</v>
      </c>
      <c r="BR9" s="420">
        <v>0</v>
      </c>
      <c r="BS9" s="424">
        <v>0</v>
      </c>
      <c r="BT9" s="419" t="s">
        <v>709</v>
      </c>
      <c r="BU9" s="419" t="s">
        <v>709</v>
      </c>
      <c r="BV9" s="419" t="s">
        <v>709</v>
      </c>
      <c r="BW9" s="420">
        <v>0</v>
      </c>
      <c r="BX9" s="420">
        <v>0</v>
      </c>
      <c r="BY9" s="420">
        <v>0</v>
      </c>
      <c r="BZ9" s="420">
        <v>0</v>
      </c>
      <c r="CA9" s="421">
        <v>0</v>
      </c>
      <c r="CB9" s="421">
        <v>0</v>
      </c>
      <c r="CC9" s="420">
        <v>0</v>
      </c>
      <c r="CD9" s="419" t="s">
        <v>709</v>
      </c>
      <c r="CE9" s="419" t="s">
        <v>709</v>
      </c>
      <c r="CF9" s="421">
        <v>0</v>
      </c>
      <c r="CG9" s="421">
        <v>0</v>
      </c>
      <c r="CH9" s="421">
        <v>0</v>
      </c>
      <c r="CI9" s="421">
        <v>0</v>
      </c>
      <c r="CJ9" s="419" t="s">
        <v>709</v>
      </c>
      <c r="CK9" s="419" t="s">
        <v>709</v>
      </c>
      <c r="CL9" s="419" t="s">
        <v>709</v>
      </c>
      <c r="CM9" s="419" t="s">
        <v>709</v>
      </c>
      <c r="CN9" s="419" t="s">
        <v>709</v>
      </c>
      <c r="CO9" s="419" t="s">
        <v>709</v>
      </c>
      <c r="CP9" s="421">
        <v>0</v>
      </c>
      <c r="CQ9" s="419" t="s">
        <v>709</v>
      </c>
      <c r="CR9" s="421">
        <v>0</v>
      </c>
      <c r="CS9" s="419" t="s">
        <v>709</v>
      </c>
      <c r="CT9" s="421">
        <v>0</v>
      </c>
      <c r="CU9" s="419" t="s">
        <v>709</v>
      </c>
      <c r="CV9" s="419" t="s">
        <v>709</v>
      </c>
      <c r="CW9" s="421">
        <v>0</v>
      </c>
      <c r="CX9" s="419" t="s">
        <v>709</v>
      </c>
      <c r="CY9" s="421">
        <v>0</v>
      </c>
      <c r="CZ9" s="419" t="s">
        <v>709</v>
      </c>
      <c r="DA9" s="421">
        <v>0</v>
      </c>
      <c r="DB9" s="419" t="s">
        <v>709</v>
      </c>
      <c r="DC9" s="419" t="s">
        <v>709</v>
      </c>
      <c r="DD9" s="419" t="s">
        <v>709</v>
      </c>
      <c r="DE9" s="419" t="s">
        <v>709</v>
      </c>
      <c r="DF9" s="419"/>
    </row>
    <row customHeight="true" ht="16.296296296296294" r="10">
      <c r="A10" s="419" t="s">
        <v>718</v>
      </c>
      <c r="B10" s="419" t="s">
        <v>706</v>
      </c>
      <c r="C10" s="419" t="s">
        <v>707</v>
      </c>
      <c r="D10" s="419" t="s">
        <v>707</v>
      </c>
      <c r="E10" s="419" t="s">
        <v>706</v>
      </c>
      <c r="F10" s="419" t="s">
        <v>708</v>
      </c>
      <c r="G10" s="420">
        <v>64.99</v>
      </c>
      <c r="H10" s="420">
        <v>64.99</v>
      </c>
      <c r="I10" s="421">
        <v>0</v>
      </c>
      <c r="J10" s="421">
        <v>0</v>
      </c>
      <c r="K10" s="421">
        <v>0</v>
      </c>
      <c r="L10" s="421">
        <v>0</v>
      </c>
      <c r="M10" s="421">
        <v>0</v>
      </c>
      <c r="N10" s="421">
        <v>0</v>
      </c>
      <c r="O10" s="421">
        <v>0</v>
      </c>
      <c r="P10" s="421">
        <v>0</v>
      </c>
      <c r="Q10" s="420">
        <v>0</v>
      </c>
      <c r="R10" s="421">
        <v>0</v>
      </c>
      <c r="S10" s="420">
        <v>0</v>
      </c>
      <c r="T10" s="419" t="s">
        <v>709</v>
      </c>
      <c r="U10" s="419" t="s">
        <v>709</v>
      </c>
      <c r="V10" s="419" t="s">
        <v>709</v>
      </c>
      <c r="W10" s="419" t="s">
        <v>709</v>
      </c>
      <c r="X10" s="419" t="s">
        <v>709</v>
      </c>
      <c r="Y10" s="419" t="s">
        <v>709</v>
      </c>
      <c r="Z10" s="421">
        <v>0</v>
      </c>
      <c r="AA10" s="420">
        <v>0</v>
      </c>
      <c r="AB10" s="421">
        <v>0</v>
      </c>
      <c r="AC10" s="420">
        <v>0</v>
      </c>
      <c r="AD10" s="421">
        <v>0</v>
      </c>
      <c r="AE10" s="420">
        <v>0</v>
      </c>
      <c r="AF10" s="421">
        <v>0</v>
      </c>
      <c r="AG10" s="420">
        <v>0</v>
      </c>
      <c r="AH10" s="422">
        <v>0</v>
      </c>
      <c r="AI10" s="420">
        <v>0</v>
      </c>
      <c r="AJ10" s="422">
        <v>0</v>
      </c>
      <c r="AK10" s="420">
        <v>0</v>
      </c>
      <c r="AL10" s="419"/>
      <c r="AM10" s="419"/>
      <c r="AN10" s="421">
        <v>0</v>
      </c>
      <c r="AO10" s="420">
        <v>0</v>
      </c>
      <c r="AP10" s="419" t="s">
        <v>709</v>
      </c>
      <c r="AQ10" s="423">
        <v>0</v>
      </c>
      <c r="AR10" s="421">
        <v>0</v>
      </c>
      <c r="AS10" s="419" t="s">
        <v>709</v>
      </c>
      <c r="AT10" s="419" t="s">
        <v>710</v>
      </c>
      <c r="AU10" s="419" t="s">
        <v>710</v>
      </c>
      <c r="AV10" s="419" t="s">
        <v>710</v>
      </c>
      <c r="AW10" s="419" t="s">
        <v>710</v>
      </c>
      <c r="AX10" s="419" t="s">
        <v>710</v>
      </c>
      <c r="AY10" s="421">
        <v>0</v>
      </c>
      <c r="AZ10" s="419" t="s">
        <v>709</v>
      </c>
      <c r="BA10" s="421">
        <v>0</v>
      </c>
      <c r="BB10" s="419" t="s">
        <v>709</v>
      </c>
      <c r="BC10" s="421">
        <v>0</v>
      </c>
      <c r="BD10" s="419" t="s">
        <v>709</v>
      </c>
      <c r="BE10" s="421">
        <v>0</v>
      </c>
      <c r="BF10" s="421">
        <v>0</v>
      </c>
      <c r="BG10" s="421">
        <v>0</v>
      </c>
      <c r="BH10" s="421">
        <v>0</v>
      </c>
      <c r="BI10" s="419" t="s">
        <v>709</v>
      </c>
      <c r="BJ10" s="419" t="s">
        <v>709</v>
      </c>
      <c r="BK10" s="419" t="s">
        <v>709</v>
      </c>
      <c r="BL10" s="420">
        <v>0</v>
      </c>
      <c r="BM10" s="419" t="s">
        <v>709</v>
      </c>
      <c r="BN10" s="420">
        <v>0</v>
      </c>
      <c r="BO10" s="420">
        <v>0</v>
      </c>
      <c r="BP10" s="420">
        <v>0</v>
      </c>
      <c r="BQ10" s="420">
        <v>0</v>
      </c>
      <c r="BR10" s="420">
        <v>0</v>
      </c>
      <c r="BS10" s="424">
        <v>0</v>
      </c>
      <c r="BT10" s="419" t="s">
        <v>709</v>
      </c>
      <c r="BU10" s="419" t="s">
        <v>709</v>
      </c>
      <c r="BV10" s="419" t="s">
        <v>709</v>
      </c>
      <c r="BW10" s="420">
        <v>0</v>
      </c>
      <c r="BX10" s="420">
        <v>0</v>
      </c>
      <c r="BY10" s="420">
        <v>0</v>
      </c>
      <c r="BZ10" s="420">
        <v>0</v>
      </c>
      <c r="CA10" s="421">
        <v>0</v>
      </c>
      <c r="CB10" s="421">
        <v>0</v>
      </c>
      <c r="CC10" s="420">
        <v>0</v>
      </c>
      <c r="CD10" s="419" t="s">
        <v>709</v>
      </c>
      <c r="CE10" s="419" t="s">
        <v>709</v>
      </c>
      <c r="CF10" s="421">
        <v>0</v>
      </c>
      <c r="CG10" s="421">
        <v>0</v>
      </c>
      <c r="CH10" s="421">
        <v>0</v>
      </c>
      <c r="CI10" s="421">
        <v>0</v>
      </c>
      <c r="CJ10" s="419" t="s">
        <v>709</v>
      </c>
      <c r="CK10" s="419" t="s">
        <v>709</v>
      </c>
      <c r="CL10" s="419" t="s">
        <v>709</v>
      </c>
      <c r="CM10" s="419" t="s">
        <v>709</v>
      </c>
      <c r="CN10" s="419" t="s">
        <v>709</v>
      </c>
      <c r="CO10" s="419" t="s">
        <v>709</v>
      </c>
      <c r="CP10" s="421">
        <v>0</v>
      </c>
      <c r="CQ10" s="419" t="s">
        <v>709</v>
      </c>
      <c r="CR10" s="421">
        <v>0</v>
      </c>
      <c r="CS10" s="419" t="s">
        <v>709</v>
      </c>
      <c r="CT10" s="421">
        <v>0</v>
      </c>
      <c r="CU10" s="419" t="s">
        <v>709</v>
      </c>
      <c r="CV10" s="419" t="s">
        <v>709</v>
      </c>
      <c r="CW10" s="421">
        <v>0</v>
      </c>
      <c r="CX10" s="419" t="s">
        <v>709</v>
      </c>
      <c r="CY10" s="421">
        <v>0</v>
      </c>
      <c r="CZ10" s="419" t="s">
        <v>709</v>
      </c>
      <c r="DA10" s="421">
        <v>0</v>
      </c>
      <c r="DB10" s="419" t="s">
        <v>709</v>
      </c>
      <c r="DC10" s="419" t="s">
        <v>709</v>
      </c>
      <c r="DD10" s="419" t="s">
        <v>709</v>
      </c>
      <c r="DE10" s="419" t="s">
        <v>709</v>
      </c>
      <c r="DF10" s="419"/>
    </row>
    <row customHeight="true" ht="16.296296296296294" r="11">
      <c r="A11" s="419" t="s">
        <v>719</v>
      </c>
      <c r="B11" s="419" t="s">
        <v>706</v>
      </c>
      <c r="C11" s="419" t="s">
        <v>707</v>
      </c>
      <c r="D11" s="419" t="s">
        <v>707</v>
      </c>
      <c r="E11" s="419" t="s">
        <v>706</v>
      </c>
      <c r="F11" s="419" t="s">
        <v>708</v>
      </c>
      <c r="G11" s="420">
        <v>64.99</v>
      </c>
      <c r="H11" s="420">
        <v>64.99</v>
      </c>
      <c r="I11" s="421">
        <v>0</v>
      </c>
      <c r="J11" s="421">
        <v>0</v>
      </c>
      <c r="K11" s="421">
        <v>0</v>
      </c>
      <c r="L11" s="421">
        <v>0</v>
      </c>
      <c r="M11" s="421">
        <v>0</v>
      </c>
      <c r="N11" s="421">
        <v>0</v>
      </c>
      <c r="O11" s="421">
        <v>0</v>
      </c>
      <c r="P11" s="421">
        <v>0</v>
      </c>
      <c r="Q11" s="420">
        <v>0</v>
      </c>
      <c r="R11" s="421">
        <v>0</v>
      </c>
      <c r="S11" s="420">
        <v>0</v>
      </c>
      <c r="T11" s="419" t="s">
        <v>709</v>
      </c>
      <c r="U11" s="419" t="s">
        <v>709</v>
      </c>
      <c r="V11" s="419" t="s">
        <v>709</v>
      </c>
      <c r="W11" s="419" t="s">
        <v>709</v>
      </c>
      <c r="X11" s="419" t="s">
        <v>709</v>
      </c>
      <c r="Y11" s="419" t="s">
        <v>709</v>
      </c>
      <c r="Z11" s="421">
        <v>0</v>
      </c>
      <c r="AA11" s="420">
        <v>0</v>
      </c>
      <c r="AB11" s="421">
        <v>0</v>
      </c>
      <c r="AC11" s="420">
        <v>0</v>
      </c>
      <c r="AD11" s="421">
        <v>0</v>
      </c>
      <c r="AE11" s="420">
        <v>0</v>
      </c>
      <c r="AF11" s="421">
        <v>0</v>
      </c>
      <c r="AG11" s="420">
        <v>0</v>
      </c>
      <c r="AH11" s="422">
        <v>0</v>
      </c>
      <c r="AI11" s="420">
        <v>0</v>
      </c>
      <c r="AJ11" s="422">
        <v>0</v>
      </c>
      <c r="AK11" s="420">
        <v>0</v>
      </c>
      <c r="AL11" s="419"/>
      <c r="AM11" s="419"/>
      <c r="AN11" s="421">
        <v>0</v>
      </c>
      <c r="AO11" s="420">
        <v>0</v>
      </c>
      <c r="AP11" s="419" t="s">
        <v>709</v>
      </c>
      <c r="AQ11" s="423">
        <v>0</v>
      </c>
      <c r="AR11" s="421">
        <v>0</v>
      </c>
      <c r="AS11" s="419" t="s">
        <v>709</v>
      </c>
      <c r="AT11" s="419" t="s">
        <v>710</v>
      </c>
      <c r="AU11" s="419" t="s">
        <v>710</v>
      </c>
      <c r="AV11" s="419" t="s">
        <v>710</v>
      </c>
      <c r="AW11" s="419" t="s">
        <v>710</v>
      </c>
      <c r="AX11" s="419" t="s">
        <v>710</v>
      </c>
      <c r="AY11" s="421">
        <v>0</v>
      </c>
      <c r="AZ11" s="419" t="s">
        <v>709</v>
      </c>
      <c r="BA11" s="421">
        <v>0</v>
      </c>
      <c r="BB11" s="419" t="s">
        <v>709</v>
      </c>
      <c r="BC11" s="421">
        <v>0</v>
      </c>
      <c r="BD11" s="419" t="s">
        <v>709</v>
      </c>
      <c r="BE11" s="421">
        <v>0</v>
      </c>
      <c r="BF11" s="421">
        <v>0</v>
      </c>
      <c r="BG11" s="421">
        <v>0</v>
      </c>
      <c r="BH11" s="421">
        <v>0</v>
      </c>
      <c r="BI11" s="419" t="s">
        <v>709</v>
      </c>
      <c r="BJ11" s="419" t="s">
        <v>709</v>
      </c>
      <c r="BK11" s="419" t="s">
        <v>709</v>
      </c>
      <c r="BL11" s="420">
        <v>0</v>
      </c>
      <c r="BM11" s="419" t="s">
        <v>709</v>
      </c>
      <c r="BN11" s="420">
        <v>0</v>
      </c>
      <c r="BO11" s="420">
        <v>0</v>
      </c>
      <c r="BP11" s="420">
        <v>0</v>
      </c>
      <c r="BQ11" s="420">
        <v>0</v>
      </c>
      <c r="BR11" s="420">
        <v>0</v>
      </c>
      <c r="BS11" s="424">
        <v>0</v>
      </c>
      <c r="BT11" s="419" t="s">
        <v>709</v>
      </c>
      <c r="BU11" s="419" t="s">
        <v>709</v>
      </c>
      <c r="BV11" s="419" t="s">
        <v>709</v>
      </c>
      <c r="BW11" s="420">
        <v>0</v>
      </c>
      <c r="BX11" s="420">
        <v>0</v>
      </c>
      <c r="BY11" s="420">
        <v>0</v>
      </c>
      <c r="BZ11" s="420">
        <v>0</v>
      </c>
      <c r="CA11" s="421">
        <v>0</v>
      </c>
      <c r="CB11" s="421">
        <v>0</v>
      </c>
      <c r="CC11" s="420">
        <v>0</v>
      </c>
      <c r="CD11" s="419" t="s">
        <v>709</v>
      </c>
      <c r="CE11" s="419" t="s">
        <v>709</v>
      </c>
      <c r="CF11" s="421">
        <v>0</v>
      </c>
      <c r="CG11" s="421">
        <v>0</v>
      </c>
      <c r="CH11" s="421">
        <v>0</v>
      </c>
      <c r="CI11" s="421">
        <v>0</v>
      </c>
      <c r="CJ11" s="419" t="s">
        <v>709</v>
      </c>
      <c r="CK11" s="419" t="s">
        <v>709</v>
      </c>
      <c r="CL11" s="419" t="s">
        <v>709</v>
      </c>
      <c r="CM11" s="419" t="s">
        <v>709</v>
      </c>
      <c r="CN11" s="419" t="s">
        <v>709</v>
      </c>
      <c r="CO11" s="419" t="s">
        <v>709</v>
      </c>
      <c r="CP11" s="421">
        <v>0</v>
      </c>
      <c r="CQ11" s="419" t="s">
        <v>709</v>
      </c>
      <c r="CR11" s="421">
        <v>0</v>
      </c>
      <c r="CS11" s="419" t="s">
        <v>709</v>
      </c>
      <c r="CT11" s="421">
        <v>0</v>
      </c>
      <c r="CU11" s="419" t="s">
        <v>709</v>
      </c>
      <c r="CV11" s="419" t="s">
        <v>709</v>
      </c>
      <c r="CW11" s="421">
        <v>0</v>
      </c>
      <c r="CX11" s="419" t="s">
        <v>709</v>
      </c>
      <c r="CY11" s="421">
        <v>0</v>
      </c>
      <c r="CZ11" s="419" t="s">
        <v>709</v>
      </c>
      <c r="DA11" s="421">
        <v>0</v>
      </c>
      <c r="DB11" s="419" t="s">
        <v>709</v>
      </c>
      <c r="DC11" s="419" t="s">
        <v>709</v>
      </c>
      <c r="DD11" s="419" t="s">
        <v>709</v>
      </c>
      <c r="DE11" s="419" t="s">
        <v>709</v>
      </c>
      <c r="DF11" s="419"/>
    </row>
    <row customHeight="true" ht="16.296296296296294" r="12">
      <c r="A12" s="419" t="s">
        <v>720</v>
      </c>
      <c r="B12" s="419" t="s">
        <v>706</v>
      </c>
      <c r="C12" s="419" t="s">
        <v>707</v>
      </c>
      <c r="D12" s="419" t="s">
        <v>707</v>
      </c>
      <c r="E12" s="419" t="s">
        <v>706</v>
      </c>
      <c r="F12" s="419" t="s">
        <v>708</v>
      </c>
      <c r="G12" s="420">
        <v>64.99</v>
      </c>
      <c r="H12" s="420">
        <v>64.99</v>
      </c>
      <c r="I12" s="421">
        <v>0</v>
      </c>
      <c r="J12" s="421">
        <v>0</v>
      </c>
      <c r="K12" s="421">
        <v>0</v>
      </c>
      <c r="L12" s="421">
        <v>0</v>
      </c>
      <c r="M12" s="421">
        <v>0</v>
      </c>
      <c r="N12" s="421">
        <v>0</v>
      </c>
      <c r="O12" s="421">
        <v>0</v>
      </c>
      <c r="P12" s="421">
        <v>0</v>
      </c>
      <c r="Q12" s="420">
        <v>0</v>
      </c>
      <c r="R12" s="421">
        <v>0</v>
      </c>
      <c r="S12" s="420">
        <v>0</v>
      </c>
      <c r="T12" s="419" t="s">
        <v>709</v>
      </c>
      <c r="U12" s="419" t="s">
        <v>709</v>
      </c>
      <c r="V12" s="419" t="s">
        <v>709</v>
      </c>
      <c r="W12" s="419" t="s">
        <v>709</v>
      </c>
      <c r="X12" s="419" t="s">
        <v>709</v>
      </c>
      <c r="Y12" s="419" t="s">
        <v>709</v>
      </c>
      <c r="Z12" s="421">
        <v>0</v>
      </c>
      <c r="AA12" s="420">
        <v>0</v>
      </c>
      <c r="AB12" s="421">
        <v>0</v>
      </c>
      <c r="AC12" s="420">
        <v>0</v>
      </c>
      <c r="AD12" s="421">
        <v>0</v>
      </c>
      <c r="AE12" s="420">
        <v>0</v>
      </c>
      <c r="AF12" s="421">
        <v>0</v>
      </c>
      <c r="AG12" s="420">
        <v>0</v>
      </c>
      <c r="AH12" s="422">
        <v>0</v>
      </c>
      <c r="AI12" s="420">
        <v>0</v>
      </c>
      <c r="AJ12" s="422">
        <v>0</v>
      </c>
      <c r="AK12" s="420">
        <v>0</v>
      </c>
      <c r="AL12" s="419"/>
      <c r="AM12" s="419"/>
      <c r="AN12" s="421">
        <v>0</v>
      </c>
      <c r="AO12" s="420">
        <v>0</v>
      </c>
      <c r="AP12" s="419" t="s">
        <v>709</v>
      </c>
      <c r="AQ12" s="423">
        <v>0</v>
      </c>
      <c r="AR12" s="421">
        <v>0</v>
      </c>
      <c r="AS12" s="419" t="s">
        <v>709</v>
      </c>
      <c r="AT12" s="419" t="s">
        <v>710</v>
      </c>
      <c r="AU12" s="419" t="s">
        <v>710</v>
      </c>
      <c r="AV12" s="419" t="s">
        <v>710</v>
      </c>
      <c r="AW12" s="419" t="s">
        <v>710</v>
      </c>
      <c r="AX12" s="419" t="s">
        <v>710</v>
      </c>
      <c r="AY12" s="421">
        <v>0</v>
      </c>
      <c r="AZ12" s="419" t="s">
        <v>709</v>
      </c>
      <c r="BA12" s="421">
        <v>0</v>
      </c>
      <c r="BB12" s="419" t="s">
        <v>709</v>
      </c>
      <c r="BC12" s="421">
        <v>0</v>
      </c>
      <c r="BD12" s="419" t="s">
        <v>709</v>
      </c>
      <c r="BE12" s="421">
        <v>0</v>
      </c>
      <c r="BF12" s="421">
        <v>0</v>
      </c>
      <c r="BG12" s="421">
        <v>0</v>
      </c>
      <c r="BH12" s="421">
        <v>0</v>
      </c>
      <c r="BI12" s="419" t="s">
        <v>709</v>
      </c>
      <c r="BJ12" s="419" t="s">
        <v>709</v>
      </c>
      <c r="BK12" s="419" t="s">
        <v>709</v>
      </c>
      <c r="BL12" s="420">
        <v>0</v>
      </c>
      <c r="BM12" s="419" t="s">
        <v>709</v>
      </c>
      <c r="BN12" s="420">
        <v>0</v>
      </c>
      <c r="BO12" s="420">
        <v>0</v>
      </c>
      <c r="BP12" s="420">
        <v>0</v>
      </c>
      <c r="BQ12" s="420">
        <v>0</v>
      </c>
      <c r="BR12" s="420">
        <v>0</v>
      </c>
      <c r="BS12" s="424">
        <v>0</v>
      </c>
      <c r="BT12" s="419" t="s">
        <v>709</v>
      </c>
      <c r="BU12" s="419" t="s">
        <v>709</v>
      </c>
      <c r="BV12" s="419" t="s">
        <v>709</v>
      </c>
      <c r="BW12" s="420">
        <v>0</v>
      </c>
      <c r="BX12" s="420">
        <v>0</v>
      </c>
      <c r="BY12" s="420">
        <v>0</v>
      </c>
      <c r="BZ12" s="420">
        <v>0</v>
      </c>
      <c r="CA12" s="421">
        <v>0</v>
      </c>
      <c r="CB12" s="421">
        <v>0</v>
      </c>
      <c r="CC12" s="420">
        <v>0</v>
      </c>
      <c r="CD12" s="419" t="s">
        <v>709</v>
      </c>
      <c r="CE12" s="419" t="s">
        <v>709</v>
      </c>
      <c r="CF12" s="421">
        <v>0</v>
      </c>
      <c r="CG12" s="421">
        <v>0</v>
      </c>
      <c r="CH12" s="421">
        <v>0</v>
      </c>
      <c r="CI12" s="421">
        <v>0</v>
      </c>
      <c r="CJ12" s="419" t="s">
        <v>709</v>
      </c>
      <c r="CK12" s="419" t="s">
        <v>709</v>
      </c>
      <c r="CL12" s="419" t="s">
        <v>709</v>
      </c>
      <c r="CM12" s="419" t="s">
        <v>709</v>
      </c>
      <c r="CN12" s="419" t="s">
        <v>709</v>
      </c>
      <c r="CO12" s="419" t="s">
        <v>709</v>
      </c>
      <c r="CP12" s="421">
        <v>0</v>
      </c>
      <c r="CQ12" s="419" t="s">
        <v>709</v>
      </c>
      <c r="CR12" s="421">
        <v>0</v>
      </c>
      <c r="CS12" s="419" t="s">
        <v>709</v>
      </c>
      <c r="CT12" s="421">
        <v>0</v>
      </c>
      <c r="CU12" s="419" t="s">
        <v>709</v>
      </c>
      <c r="CV12" s="419" t="s">
        <v>709</v>
      </c>
      <c r="CW12" s="421">
        <v>0</v>
      </c>
      <c r="CX12" s="419" t="s">
        <v>709</v>
      </c>
      <c r="CY12" s="421">
        <v>0</v>
      </c>
      <c r="CZ12" s="419" t="s">
        <v>709</v>
      </c>
      <c r="DA12" s="421">
        <v>0</v>
      </c>
      <c r="DB12" s="419" t="s">
        <v>709</v>
      </c>
      <c r="DC12" s="419" t="s">
        <v>709</v>
      </c>
      <c r="DD12" s="419" t="s">
        <v>709</v>
      </c>
      <c r="DE12" s="419" t="s">
        <v>709</v>
      </c>
      <c r="DF12" s="419"/>
    </row>
    <row customHeight="true" ht="16.296296296296294" r="13">
      <c r="A13" s="419" t="s">
        <v>721</v>
      </c>
      <c r="B13" s="419" t="s">
        <v>706</v>
      </c>
      <c r="C13" s="419" t="s">
        <v>707</v>
      </c>
      <c r="D13" s="419" t="s">
        <v>707</v>
      </c>
      <c r="E13" s="419" t="s">
        <v>706</v>
      </c>
      <c r="F13" s="419" t="s">
        <v>708</v>
      </c>
      <c r="G13" s="420">
        <v>64.99</v>
      </c>
      <c r="H13" s="420">
        <v>64.99</v>
      </c>
      <c r="I13" s="421">
        <v>0</v>
      </c>
      <c r="J13" s="421">
        <v>0</v>
      </c>
      <c r="K13" s="421">
        <v>0</v>
      </c>
      <c r="L13" s="421">
        <v>0</v>
      </c>
      <c r="M13" s="421">
        <v>0</v>
      </c>
      <c r="N13" s="421">
        <v>0</v>
      </c>
      <c r="O13" s="421">
        <v>0</v>
      </c>
      <c r="P13" s="421">
        <v>0</v>
      </c>
      <c r="Q13" s="420">
        <v>0</v>
      </c>
      <c r="R13" s="421">
        <v>0</v>
      </c>
      <c r="S13" s="420">
        <v>0</v>
      </c>
      <c r="T13" s="419" t="s">
        <v>709</v>
      </c>
      <c r="U13" s="419" t="s">
        <v>709</v>
      </c>
      <c r="V13" s="419" t="s">
        <v>709</v>
      </c>
      <c r="W13" s="419" t="s">
        <v>709</v>
      </c>
      <c r="X13" s="419" t="s">
        <v>709</v>
      </c>
      <c r="Y13" s="419" t="s">
        <v>709</v>
      </c>
      <c r="Z13" s="421">
        <v>0</v>
      </c>
      <c r="AA13" s="420">
        <v>0</v>
      </c>
      <c r="AB13" s="421">
        <v>0</v>
      </c>
      <c r="AC13" s="420">
        <v>0</v>
      </c>
      <c r="AD13" s="421">
        <v>0</v>
      </c>
      <c r="AE13" s="420">
        <v>0</v>
      </c>
      <c r="AF13" s="421">
        <v>0</v>
      </c>
      <c r="AG13" s="420">
        <v>0</v>
      </c>
      <c r="AH13" s="422">
        <v>0</v>
      </c>
      <c r="AI13" s="420">
        <v>0</v>
      </c>
      <c r="AJ13" s="422">
        <v>0</v>
      </c>
      <c r="AK13" s="420">
        <v>0</v>
      </c>
      <c r="AL13" s="419"/>
      <c r="AM13" s="419"/>
      <c r="AN13" s="421">
        <v>0</v>
      </c>
      <c r="AO13" s="420">
        <v>0</v>
      </c>
      <c r="AP13" s="419" t="s">
        <v>709</v>
      </c>
      <c r="AQ13" s="423">
        <v>0</v>
      </c>
      <c r="AR13" s="421">
        <v>0</v>
      </c>
      <c r="AS13" s="419" t="s">
        <v>709</v>
      </c>
      <c r="AT13" s="419" t="s">
        <v>710</v>
      </c>
      <c r="AU13" s="419" t="s">
        <v>710</v>
      </c>
      <c r="AV13" s="419" t="s">
        <v>710</v>
      </c>
      <c r="AW13" s="419" t="s">
        <v>710</v>
      </c>
      <c r="AX13" s="419" t="s">
        <v>710</v>
      </c>
      <c r="AY13" s="421">
        <v>0</v>
      </c>
      <c r="AZ13" s="419" t="s">
        <v>709</v>
      </c>
      <c r="BA13" s="421">
        <v>0</v>
      </c>
      <c r="BB13" s="419" t="s">
        <v>709</v>
      </c>
      <c r="BC13" s="421">
        <v>0</v>
      </c>
      <c r="BD13" s="419" t="s">
        <v>709</v>
      </c>
      <c r="BE13" s="421">
        <v>0</v>
      </c>
      <c r="BF13" s="421">
        <v>0</v>
      </c>
      <c r="BG13" s="421">
        <v>0</v>
      </c>
      <c r="BH13" s="421">
        <v>0</v>
      </c>
      <c r="BI13" s="419" t="s">
        <v>709</v>
      </c>
      <c r="BJ13" s="419" t="s">
        <v>709</v>
      </c>
      <c r="BK13" s="419" t="s">
        <v>709</v>
      </c>
      <c r="BL13" s="420">
        <v>0</v>
      </c>
      <c r="BM13" s="419" t="s">
        <v>709</v>
      </c>
      <c r="BN13" s="420">
        <v>0</v>
      </c>
      <c r="BO13" s="420">
        <v>0</v>
      </c>
      <c r="BP13" s="420">
        <v>0</v>
      </c>
      <c r="BQ13" s="420">
        <v>0</v>
      </c>
      <c r="BR13" s="420">
        <v>0</v>
      </c>
      <c r="BS13" s="424">
        <v>0</v>
      </c>
      <c r="BT13" s="419" t="s">
        <v>709</v>
      </c>
      <c r="BU13" s="419" t="s">
        <v>709</v>
      </c>
      <c r="BV13" s="419" t="s">
        <v>709</v>
      </c>
      <c r="BW13" s="420">
        <v>0</v>
      </c>
      <c r="BX13" s="420">
        <v>0</v>
      </c>
      <c r="BY13" s="420">
        <v>0</v>
      </c>
      <c r="BZ13" s="420">
        <v>0</v>
      </c>
      <c r="CA13" s="421">
        <v>0</v>
      </c>
      <c r="CB13" s="421">
        <v>0</v>
      </c>
      <c r="CC13" s="420">
        <v>0</v>
      </c>
      <c r="CD13" s="419" t="s">
        <v>709</v>
      </c>
      <c r="CE13" s="419" t="s">
        <v>709</v>
      </c>
      <c r="CF13" s="421">
        <v>0</v>
      </c>
      <c r="CG13" s="421">
        <v>0</v>
      </c>
      <c r="CH13" s="421">
        <v>0</v>
      </c>
      <c r="CI13" s="421">
        <v>0</v>
      </c>
      <c r="CJ13" s="419" t="s">
        <v>709</v>
      </c>
      <c r="CK13" s="419" t="s">
        <v>709</v>
      </c>
      <c r="CL13" s="419" t="s">
        <v>709</v>
      </c>
      <c r="CM13" s="419" t="s">
        <v>709</v>
      </c>
      <c r="CN13" s="419" t="s">
        <v>709</v>
      </c>
      <c r="CO13" s="419" t="s">
        <v>709</v>
      </c>
      <c r="CP13" s="421">
        <v>0</v>
      </c>
      <c r="CQ13" s="419" t="s">
        <v>709</v>
      </c>
      <c r="CR13" s="421">
        <v>0</v>
      </c>
      <c r="CS13" s="419" t="s">
        <v>709</v>
      </c>
      <c r="CT13" s="421">
        <v>0</v>
      </c>
      <c r="CU13" s="419" t="s">
        <v>709</v>
      </c>
      <c r="CV13" s="419" t="s">
        <v>709</v>
      </c>
      <c r="CW13" s="421">
        <v>0</v>
      </c>
      <c r="CX13" s="419" t="s">
        <v>709</v>
      </c>
      <c r="CY13" s="421">
        <v>0</v>
      </c>
      <c r="CZ13" s="419" t="s">
        <v>709</v>
      </c>
      <c r="DA13" s="421">
        <v>0</v>
      </c>
      <c r="DB13" s="419" t="s">
        <v>709</v>
      </c>
      <c r="DC13" s="419" t="s">
        <v>709</v>
      </c>
      <c r="DD13" s="419" t="s">
        <v>709</v>
      </c>
      <c r="DE13" s="419" t="s">
        <v>709</v>
      </c>
      <c r="DF13" s="419"/>
    </row>
    <row customHeight="true" ht="16.296296296296294" r="14">
      <c r="A14" s="419" t="s">
        <v>722</v>
      </c>
      <c r="B14" s="419" t="s">
        <v>706</v>
      </c>
      <c r="C14" s="419" t="s">
        <v>707</v>
      </c>
      <c r="D14" s="419" t="s">
        <v>707</v>
      </c>
      <c r="E14" s="419" t="s">
        <v>706</v>
      </c>
      <c r="F14" s="419" t="s">
        <v>708</v>
      </c>
      <c r="G14" s="420">
        <v>64.99</v>
      </c>
      <c r="H14" s="420">
        <v>64.99</v>
      </c>
      <c r="I14" s="421">
        <v>18</v>
      </c>
      <c r="J14" s="421">
        <v>0</v>
      </c>
      <c r="K14" s="421">
        <v>0</v>
      </c>
      <c r="L14" s="421">
        <v>0</v>
      </c>
      <c r="M14" s="421">
        <v>0</v>
      </c>
      <c r="N14" s="421">
        <v>0</v>
      </c>
      <c r="O14" s="421">
        <v>18</v>
      </c>
      <c r="P14" s="421">
        <v>0</v>
      </c>
      <c r="Q14" s="420">
        <v>0</v>
      </c>
      <c r="R14" s="421">
        <v>0</v>
      </c>
      <c r="S14" s="420">
        <v>0</v>
      </c>
      <c r="T14" s="419" t="s">
        <v>709</v>
      </c>
      <c r="U14" s="419" t="s">
        <v>709</v>
      </c>
      <c r="V14" s="419" t="s">
        <v>709</v>
      </c>
      <c r="W14" s="419" t="s">
        <v>709</v>
      </c>
      <c r="X14" s="419" t="s">
        <v>709</v>
      </c>
      <c r="Y14" s="419" t="s">
        <v>709</v>
      </c>
      <c r="Z14" s="421">
        <v>0</v>
      </c>
      <c r="AA14" s="420">
        <v>0</v>
      </c>
      <c r="AB14" s="421">
        <v>0</v>
      </c>
      <c r="AC14" s="420">
        <v>0</v>
      </c>
      <c r="AD14" s="421">
        <v>0</v>
      </c>
      <c r="AE14" s="420">
        <v>0</v>
      </c>
      <c r="AF14" s="421">
        <v>0</v>
      </c>
      <c r="AG14" s="420">
        <v>0</v>
      </c>
      <c r="AH14" s="422">
        <v>0</v>
      </c>
      <c r="AI14" s="420">
        <v>0</v>
      </c>
      <c r="AJ14" s="422">
        <v>0</v>
      </c>
      <c r="AK14" s="420">
        <v>0</v>
      </c>
      <c r="AL14" s="419"/>
      <c r="AM14" s="419"/>
      <c r="AN14" s="421">
        <v>0</v>
      </c>
      <c r="AO14" s="420">
        <v>0</v>
      </c>
      <c r="AP14" s="419" t="s">
        <v>709</v>
      </c>
      <c r="AQ14" s="423">
        <v>0</v>
      </c>
      <c r="AR14" s="421">
        <v>0</v>
      </c>
      <c r="AS14" s="419" t="s">
        <v>709</v>
      </c>
      <c r="AT14" s="419" t="s">
        <v>710</v>
      </c>
      <c r="AU14" s="419" t="s">
        <v>710</v>
      </c>
      <c r="AV14" s="419" t="s">
        <v>710</v>
      </c>
      <c r="AW14" s="419" t="s">
        <v>710</v>
      </c>
      <c r="AX14" s="419" t="s">
        <v>710</v>
      </c>
      <c r="AY14" s="421">
        <v>0</v>
      </c>
      <c r="AZ14" s="419" t="s">
        <v>709</v>
      </c>
      <c r="BA14" s="421">
        <v>0</v>
      </c>
      <c r="BB14" s="419" t="s">
        <v>709</v>
      </c>
      <c r="BC14" s="421">
        <v>0</v>
      </c>
      <c r="BD14" s="419" t="s">
        <v>709</v>
      </c>
      <c r="BE14" s="421">
        <v>0</v>
      </c>
      <c r="BF14" s="421">
        <v>0</v>
      </c>
      <c r="BG14" s="421">
        <v>0</v>
      </c>
      <c r="BH14" s="421">
        <v>0</v>
      </c>
      <c r="BI14" s="419" t="s">
        <v>709</v>
      </c>
      <c r="BJ14" s="419" t="s">
        <v>709</v>
      </c>
      <c r="BK14" s="419" t="s">
        <v>709</v>
      </c>
      <c r="BL14" s="420">
        <v>0</v>
      </c>
      <c r="BM14" s="419" t="s">
        <v>709</v>
      </c>
      <c r="BN14" s="420">
        <v>0</v>
      </c>
      <c r="BO14" s="420">
        <v>0</v>
      </c>
      <c r="BP14" s="420">
        <v>0</v>
      </c>
      <c r="BQ14" s="420">
        <v>0</v>
      </c>
      <c r="BR14" s="420">
        <v>0</v>
      </c>
      <c r="BS14" s="424">
        <v>0</v>
      </c>
      <c r="BT14" s="419" t="s">
        <v>709</v>
      </c>
      <c r="BU14" s="419" t="s">
        <v>709</v>
      </c>
      <c r="BV14" s="419" t="s">
        <v>709</v>
      </c>
      <c r="BW14" s="420">
        <v>0</v>
      </c>
      <c r="BX14" s="420">
        <v>0</v>
      </c>
      <c r="BY14" s="420">
        <v>0</v>
      </c>
      <c r="BZ14" s="420">
        <v>0</v>
      </c>
      <c r="CA14" s="421">
        <v>0</v>
      </c>
      <c r="CB14" s="421">
        <v>0</v>
      </c>
      <c r="CC14" s="420">
        <v>0</v>
      </c>
      <c r="CD14" s="419" t="s">
        <v>709</v>
      </c>
      <c r="CE14" s="419" t="s">
        <v>709</v>
      </c>
      <c r="CF14" s="421">
        <v>0</v>
      </c>
      <c r="CG14" s="421">
        <v>0</v>
      </c>
      <c r="CH14" s="421">
        <v>0</v>
      </c>
      <c r="CI14" s="421">
        <v>0</v>
      </c>
      <c r="CJ14" s="419" t="s">
        <v>709</v>
      </c>
      <c r="CK14" s="419" t="s">
        <v>709</v>
      </c>
      <c r="CL14" s="419" t="s">
        <v>709</v>
      </c>
      <c r="CM14" s="419" t="s">
        <v>709</v>
      </c>
      <c r="CN14" s="419" t="s">
        <v>709</v>
      </c>
      <c r="CO14" s="419" t="s">
        <v>709</v>
      </c>
      <c r="CP14" s="421">
        <v>0</v>
      </c>
      <c r="CQ14" s="419" t="s">
        <v>709</v>
      </c>
      <c r="CR14" s="421">
        <v>0</v>
      </c>
      <c r="CS14" s="419" t="s">
        <v>709</v>
      </c>
      <c r="CT14" s="421">
        <v>0</v>
      </c>
      <c r="CU14" s="419" t="s">
        <v>709</v>
      </c>
      <c r="CV14" s="419" t="s">
        <v>709</v>
      </c>
      <c r="CW14" s="421">
        <v>0</v>
      </c>
      <c r="CX14" s="419" t="s">
        <v>709</v>
      </c>
      <c r="CY14" s="421">
        <v>0</v>
      </c>
      <c r="CZ14" s="419" t="s">
        <v>709</v>
      </c>
      <c r="DA14" s="421">
        <v>0</v>
      </c>
      <c r="DB14" s="419" t="s">
        <v>709</v>
      </c>
      <c r="DC14" s="419" t="s">
        <v>709</v>
      </c>
      <c r="DD14" s="419" t="s">
        <v>709</v>
      </c>
      <c r="DE14" s="419" t="s">
        <v>709</v>
      </c>
      <c r="DF14" s="419"/>
    </row>
    <row customHeight="true" ht="16.296296296296294" r="15">
      <c r="A15" s="419" t="s">
        <v>723</v>
      </c>
      <c r="B15" s="419" t="s">
        <v>706</v>
      </c>
      <c r="C15" s="419" t="s">
        <v>707</v>
      </c>
      <c r="D15" s="419" t="s">
        <v>707</v>
      </c>
      <c r="E15" s="419" t="s">
        <v>706</v>
      </c>
      <c r="F15" s="419" t="s">
        <v>708</v>
      </c>
      <c r="G15" s="420">
        <v>64.99</v>
      </c>
      <c r="H15" s="420">
        <v>64.99</v>
      </c>
      <c r="I15" s="421">
        <v>19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19</v>
      </c>
      <c r="P15" s="421">
        <v>0</v>
      </c>
      <c r="Q15" s="420">
        <v>0</v>
      </c>
      <c r="R15" s="421">
        <v>0</v>
      </c>
      <c r="S15" s="420">
        <v>0</v>
      </c>
      <c r="T15" s="419" t="s">
        <v>709</v>
      </c>
      <c r="U15" s="419" t="s">
        <v>709</v>
      </c>
      <c r="V15" s="419" t="s">
        <v>709</v>
      </c>
      <c r="W15" s="419" t="s">
        <v>709</v>
      </c>
      <c r="X15" s="419" t="s">
        <v>709</v>
      </c>
      <c r="Y15" s="419" t="s">
        <v>709</v>
      </c>
      <c r="Z15" s="421">
        <v>0</v>
      </c>
      <c r="AA15" s="420">
        <v>0</v>
      </c>
      <c r="AB15" s="421">
        <v>0</v>
      </c>
      <c r="AC15" s="420">
        <v>0</v>
      </c>
      <c r="AD15" s="421">
        <v>0</v>
      </c>
      <c r="AE15" s="420">
        <v>0</v>
      </c>
      <c r="AF15" s="421">
        <v>0</v>
      </c>
      <c r="AG15" s="420">
        <v>0</v>
      </c>
      <c r="AH15" s="422">
        <v>0</v>
      </c>
      <c r="AI15" s="420">
        <v>0</v>
      </c>
      <c r="AJ15" s="422">
        <v>0</v>
      </c>
      <c r="AK15" s="420">
        <v>0</v>
      </c>
      <c r="AL15" s="419"/>
      <c r="AM15" s="419"/>
      <c r="AN15" s="421">
        <v>0</v>
      </c>
      <c r="AO15" s="420">
        <v>0</v>
      </c>
      <c r="AP15" s="419" t="s">
        <v>709</v>
      </c>
      <c r="AQ15" s="423">
        <v>0</v>
      </c>
      <c r="AR15" s="421">
        <v>0</v>
      </c>
      <c r="AS15" s="419" t="s">
        <v>709</v>
      </c>
      <c r="AT15" s="419" t="s">
        <v>710</v>
      </c>
      <c r="AU15" s="419" t="s">
        <v>710</v>
      </c>
      <c r="AV15" s="419" t="s">
        <v>710</v>
      </c>
      <c r="AW15" s="419" t="s">
        <v>710</v>
      </c>
      <c r="AX15" s="419" t="s">
        <v>710</v>
      </c>
      <c r="AY15" s="421">
        <v>0</v>
      </c>
      <c r="AZ15" s="419" t="s">
        <v>709</v>
      </c>
      <c r="BA15" s="421">
        <v>0</v>
      </c>
      <c r="BB15" s="419" t="s">
        <v>709</v>
      </c>
      <c r="BC15" s="421">
        <v>1</v>
      </c>
      <c r="BD15" s="419" t="s">
        <v>709</v>
      </c>
      <c r="BE15" s="421">
        <v>1</v>
      </c>
      <c r="BF15" s="421">
        <v>0</v>
      </c>
      <c r="BG15" s="421">
        <v>2</v>
      </c>
      <c r="BH15" s="421">
        <v>2</v>
      </c>
      <c r="BI15" s="419" t="s">
        <v>709</v>
      </c>
      <c r="BJ15" s="419" t="s">
        <v>709</v>
      </c>
      <c r="BK15" s="419" t="s">
        <v>724</v>
      </c>
      <c r="BL15" s="420">
        <v>0</v>
      </c>
      <c r="BM15" s="419" t="s">
        <v>709</v>
      </c>
      <c r="BN15" s="420">
        <v>0</v>
      </c>
      <c r="BO15" s="420">
        <v>0</v>
      </c>
      <c r="BP15" s="420">
        <v>0</v>
      </c>
      <c r="BQ15" s="420">
        <v>0</v>
      </c>
      <c r="BR15" s="420">
        <v>0</v>
      </c>
      <c r="BS15" s="424">
        <v>0</v>
      </c>
      <c r="BT15" s="419" t="s">
        <v>709</v>
      </c>
      <c r="BU15" s="419" t="s">
        <v>709</v>
      </c>
      <c r="BV15" s="419" t="s">
        <v>709</v>
      </c>
      <c r="BW15" s="420">
        <v>0</v>
      </c>
      <c r="BX15" s="420">
        <v>0</v>
      </c>
      <c r="BY15" s="420">
        <v>0</v>
      </c>
      <c r="BZ15" s="420">
        <v>0</v>
      </c>
      <c r="CA15" s="421">
        <v>0</v>
      </c>
      <c r="CB15" s="421">
        <v>0</v>
      </c>
      <c r="CC15" s="420">
        <v>0</v>
      </c>
      <c r="CD15" s="419" t="s">
        <v>709</v>
      </c>
      <c r="CE15" s="419" t="s">
        <v>709</v>
      </c>
      <c r="CF15" s="421">
        <v>0</v>
      </c>
      <c r="CG15" s="421">
        <v>0</v>
      </c>
      <c r="CH15" s="421">
        <v>0</v>
      </c>
      <c r="CI15" s="421">
        <v>1</v>
      </c>
      <c r="CJ15" s="419" t="s">
        <v>709</v>
      </c>
      <c r="CK15" s="419" t="s">
        <v>709</v>
      </c>
      <c r="CL15" s="419" t="s">
        <v>709</v>
      </c>
      <c r="CM15" s="419" t="s">
        <v>725</v>
      </c>
      <c r="CN15" s="419" t="s">
        <v>709</v>
      </c>
      <c r="CO15" s="419" t="s">
        <v>709</v>
      </c>
      <c r="CP15" s="421">
        <v>0</v>
      </c>
      <c r="CQ15" s="419" t="s">
        <v>709</v>
      </c>
      <c r="CR15" s="421">
        <v>0</v>
      </c>
      <c r="CS15" s="419" t="s">
        <v>709</v>
      </c>
      <c r="CT15" s="421">
        <v>0</v>
      </c>
      <c r="CU15" s="419" t="s">
        <v>709</v>
      </c>
      <c r="CV15" s="419" t="s">
        <v>709</v>
      </c>
      <c r="CW15" s="421">
        <v>0</v>
      </c>
      <c r="CX15" s="419" t="s">
        <v>709</v>
      </c>
      <c r="CY15" s="421">
        <v>0</v>
      </c>
      <c r="CZ15" s="419" t="s">
        <v>709</v>
      </c>
      <c r="DA15" s="421">
        <v>0</v>
      </c>
      <c r="DB15" s="419" t="s">
        <v>709</v>
      </c>
      <c r="DC15" s="419" t="s">
        <v>709</v>
      </c>
      <c r="DD15" s="419" t="s">
        <v>709</v>
      </c>
      <c r="DE15" s="419" t="s">
        <v>709</v>
      </c>
      <c r="DF15" s="419"/>
    </row>
    <row customHeight="true" ht="16.296296296296294" r="16">
      <c r="A16" s="419" t="s">
        <v>726</v>
      </c>
      <c r="B16" s="419" t="s">
        <v>706</v>
      </c>
      <c r="C16" s="419" t="s">
        <v>707</v>
      </c>
      <c r="D16" s="419" t="s">
        <v>707</v>
      </c>
      <c r="E16" s="419" t="s">
        <v>706</v>
      </c>
      <c r="F16" s="419" t="s">
        <v>708</v>
      </c>
      <c r="G16" s="420">
        <v>64.99</v>
      </c>
      <c r="H16" s="420">
        <v>64.99</v>
      </c>
      <c r="I16" s="421">
        <v>55</v>
      </c>
      <c r="J16" s="421">
        <v>0</v>
      </c>
      <c r="K16" s="421">
        <v>0</v>
      </c>
      <c r="L16" s="421">
        <v>0</v>
      </c>
      <c r="M16" s="421">
        <v>0</v>
      </c>
      <c r="N16" s="421">
        <v>0</v>
      </c>
      <c r="O16" s="421">
        <v>55</v>
      </c>
      <c r="P16" s="421">
        <v>0</v>
      </c>
      <c r="Q16" s="420">
        <v>0</v>
      </c>
      <c r="R16" s="421">
        <v>0</v>
      </c>
      <c r="S16" s="420">
        <v>0</v>
      </c>
      <c r="T16" s="419" t="s">
        <v>709</v>
      </c>
      <c r="U16" s="419" t="s">
        <v>709</v>
      </c>
      <c r="V16" s="419" t="s">
        <v>709</v>
      </c>
      <c r="W16" s="419" t="s">
        <v>709</v>
      </c>
      <c r="X16" s="419" t="s">
        <v>709</v>
      </c>
      <c r="Y16" s="419" t="s">
        <v>709</v>
      </c>
      <c r="Z16" s="421">
        <v>0</v>
      </c>
      <c r="AA16" s="420">
        <v>0</v>
      </c>
      <c r="AB16" s="421">
        <v>0</v>
      </c>
      <c r="AC16" s="420">
        <v>0</v>
      </c>
      <c r="AD16" s="421">
        <v>0</v>
      </c>
      <c r="AE16" s="420">
        <v>0</v>
      </c>
      <c r="AF16" s="421">
        <v>0</v>
      </c>
      <c r="AG16" s="420">
        <v>0</v>
      </c>
      <c r="AH16" s="422">
        <v>0</v>
      </c>
      <c r="AI16" s="420">
        <v>0</v>
      </c>
      <c r="AJ16" s="422">
        <v>0</v>
      </c>
      <c r="AK16" s="420">
        <v>0</v>
      </c>
      <c r="AL16" s="419"/>
      <c r="AM16" s="419"/>
      <c r="AN16" s="421">
        <v>0</v>
      </c>
      <c r="AO16" s="420">
        <v>0</v>
      </c>
      <c r="AP16" s="419" t="s">
        <v>709</v>
      </c>
      <c r="AQ16" s="423">
        <v>0</v>
      </c>
      <c r="AR16" s="421">
        <v>0</v>
      </c>
      <c r="AS16" s="419" t="s">
        <v>709</v>
      </c>
      <c r="AT16" s="419" t="s">
        <v>710</v>
      </c>
      <c r="AU16" s="419" t="s">
        <v>710</v>
      </c>
      <c r="AV16" s="419" t="s">
        <v>710</v>
      </c>
      <c r="AW16" s="419" t="s">
        <v>710</v>
      </c>
      <c r="AX16" s="419" t="s">
        <v>710</v>
      </c>
      <c r="AY16" s="421">
        <v>0</v>
      </c>
      <c r="AZ16" s="419" t="s">
        <v>709</v>
      </c>
      <c r="BA16" s="421">
        <v>2</v>
      </c>
      <c r="BB16" s="419" t="s">
        <v>727</v>
      </c>
      <c r="BC16" s="421">
        <v>3</v>
      </c>
      <c r="BD16" s="419" t="s">
        <v>709</v>
      </c>
      <c r="BE16" s="421">
        <v>5</v>
      </c>
      <c r="BF16" s="421">
        <v>2</v>
      </c>
      <c r="BG16" s="421">
        <v>5</v>
      </c>
      <c r="BH16" s="421">
        <v>7</v>
      </c>
      <c r="BI16" s="419" t="s">
        <v>709</v>
      </c>
      <c r="BJ16" s="419" t="s">
        <v>709</v>
      </c>
      <c r="BK16" s="419" t="s">
        <v>724</v>
      </c>
      <c r="BL16" s="420">
        <v>0</v>
      </c>
      <c r="BM16" s="419" t="s">
        <v>709</v>
      </c>
      <c r="BN16" s="420">
        <v>0</v>
      </c>
      <c r="BO16" s="420">
        <v>0</v>
      </c>
      <c r="BP16" s="420">
        <v>0</v>
      </c>
      <c r="BQ16" s="420">
        <v>0</v>
      </c>
      <c r="BR16" s="420">
        <v>0</v>
      </c>
      <c r="BS16" s="424">
        <v>0</v>
      </c>
      <c r="BT16" s="419" t="s">
        <v>709</v>
      </c>
      <c r="BU16" s="419" t="s">
        <v>709</v>
      </c>
      <c r="BV16" s="419" t="s">
        <v>709</v>
      </c>
      <c r="BW16" s="420">
        <v>0</v>
      </c>
      <c r="BX16" s="420">
        <v>0</v>
      </c>
      <c r="BY16" s="420">
        <v>0</v>
      </c>
      <c r="BZ16" s="420">
        <v>0</v>
      </c>
      <c r="CA16" s="421">
        <v>0</v>
      </c>
      <c r="CB16" s="421">
        <v>0</v>
      </c>
      <c r="CC16" s="420">
        <v>0</v>
      </c>
      <c r="CD16" s="419" t="s">
        <v>709</v>
      </c>
      <c r="CE16" s="419" t="s">
        <v>709</v>
      </c>
      <c r="CF16" s="421">
        <v>0</v>
      </c>
      <c r="CG16" s="421">
        <v>0</v>
      </c>
      <c r="CH16" s="421">
        <v>0</v>
      </c>
      <c r="CI16" s="421">
        <v>5</v>
      </c>
      <c r="CJ16" s="419" t="s">
        <v>709</v>
      </c>
      <c r="CK16" s="419" t="s">
        <v>709</v>
      </c>
      <c r="CL16" s="419" t="s">
        <v>709</v>
      </c>
      <c r="CM16" s="419" t="s">
        <v>728</v>
      </c>
      <c r="CN16" s="419" t="s">
        <v>709</v>
      </c>
      <c r="CO16" s="419" t="s">
        <v>709</v>
      </c>
      <c r="CP16" s="421">
        <v>0</v>
      </c>
      <c r="CQ16" s="419" t="s">
        <v>709</v>
      </c>
      <c r="CR16" s="421">
        <v>0</v>
      </c>
      <c r="CS16" s="419" t="s">
        <v>709</v>
      </c>
      <c r="CT16" s="421">
        <v>0</v>
      </c>
      <c r="CU16" s="419" t="s">
        <v>709</v>
      </c>
      <c r="CV16" s="419" t="s">
        <v>709</v>
      </c>
      <c r="CW16" s="421">
        <v>0</v>
      </c>
      <c r="CX16" s="419" t="s">
        <v>709</v>
      </c>
      <c r="CY16" s="421">
        <v>0</v>
      </c>
      <c r="CZ16" s="419" t="s">
        <v>709</v>
      </c>
      <c r="DA16" s="421">
        <v>0</v>
      </c>
      <c r="DB16" s="419" t="s">
        <v>709</v>
      </c>
      <c r="DC16" s="419" t="s">
        <v>709</v>
      </c>
      <c r="DD16" s="419" t="s">
        <v>709</v>
      </c>
      <c r="DE16" s="419" t="s">
        <v>709</v>
      </c>
      <c r="DF16" s="419"/>
    </row>
    <row customHeight="true" ht="16.296296296296294" r="17">
      <c r="A17" s="419" t="s">
        <v>729</v>
      </c>
      <c r="B17" s="419" t="s">
        <v>706</v>
      </c>
      <c r="C17" s="419" t="s">
        <v>707</v>
      </c>
      <c r="D17" s="419" t="s">
        <v>707</v>
      </c>
      <c r="E17" s="419" t="s">
        <v>706</v>
      </c>
      <c r="F17" s="419" t="s">
        <v>708</v>
      </c>
      <c r="G17" s="420">
        <v>64.99</v>
      </c>
      <c r="H17" s="420">
        <v>64.99</v>
      </c>
      <c r="I17" s="421">
        <v>72</v>
      </c>
      <c r="J17" s="421">
        <v>0</v>
      </c>
      <c r="K17" s="421">
        <v>0</v>
      </c>
      <c r="L17" s="421">
        <v>0</v>
      </c>
      <c r="M17" s="421">
        <v>0</v>
      </c>
      <c r="N17" s="421">
        <v>0</v>
      </c>
      <c r="O17" s="421">
        <v>72</v>
      </c>
      <c r="P17" s="421">
        <v>0</v>
      </c>
      <c r="Q17" s="420">
        <v>0</v>
      </c>
      <c r="R17" s="421">
        <v>0</v>
      </c>
      <c r="S17" s="420">
        <v>0</v>
      </c>
      <c r="T17" s="419" t="s">
        <v>709</v>
      </c>
      <c r="U17" s="419" t="s">
        <v>709</v>
      </c>
      <c r="V17" s="419" t="s">
        <v>709</v>
      </c>
      <c r="W17" s="419" t="s">
        <v>709</v>
      </c>
      <c r="X17" s="419" t="s">
        <v>709</v>
      </c>
      <c r="Y17" s="419" t="s">
        <v>709</v>
      </c>
      <c r="Z17" s="421">
        <v>0</v>
      </c>
      <c r="AA17" s="420">
        <v>0</v>
      </c>
      <c r="AB17" s="421">
        <v>0</v>
      </c>
      <c r="AC17" s="420">
        <v>0</v>
      </c>
      <c r="AD17" s="421">
        <v>0</v>
      </c>
      <c r="AE17" s="420">
        <v>0</v>
      </c>
      <c r="AF17" s="421">
        <v>0</v>
      </c>
      <c r="AG17" s="420">
        <v>0</v>
      </c>
      <c r="AH17" s="422">
        <v>0</v>
      </c>
      <c r="AI17" s="420">
        <v>0</v>
      </c>
      <c r="AJ17" s="422">
        <v>0</v>
      </c>
      <c r="AK17" s="420">
        <v>0</v>
      </c>
      <c r="AL17" s="419"/>
      <c r="AM17" s="419"/>
      <c r="AN17" s="421">
        <v>0</v>
      </c>
      <c r="AO17" s="420">
        <v>0</v>
      </c>
      <c r="AP17" s="419" t="s">
        <v>709</v>
      </c>
      <c r="AQ17" s="423">
        <v>0</v>
      </c>
      <c r="AR17" s="421">
        <v>0</v>
      </c>
      <c r="AS17" s="419" t="s">
        <v>709</v>
      </c>
      <c r="AT17" s="419" t="s">
        <v>710</v>
      </c>
      <c r="AU17" s="419" t="s">
        <v>710</v>
      </c>
      <c r="AV17" s="419" t="s">
        <v>710</v>
      </c>
      <c r="AW17" s="419" t="s">
        <v>710</v>
      </c>
      <c r="AX17" s="419" t="s">
        <v>710</v>
      </c>
      <c r="AY17" s="421">
        <v>0</v>
      </c>
      <c r="AZ17" s="419" t="s">
        <v>709</v>
      </c>
      <c r="BA17" s="421">
        <v>1</v>
      </c>
      <c r="BB17" s="419" t="s">
        <v>730</v>
      </c>
      <c r="BC17" s="421">
        <v>0</v>
      </c>
      <c r="BD17" s="419" t="s">
        <v>709</v>
      </c>
      <c r="BE17" s="421">
        <v>1</v>
      </c>
      <c r="BF17" s="421">
        <v>1</v>
      </c>
      <c r="BG17" s="421">
        <v>0</v>
      </c>
      <c r="BH17" s="421">
        <v>1</v>
      </c>
      <c r="BI17" s="419" t="s">
        <v>709</v>
      </c>
      <c r="BJ17" s="419" t="s">
        <v>709</v>
      </c>
      <c r="BK17" s="419" t="s">
        <v>724</v>
      </c>
      <c r="BL17" s="420">
        <v>0</v>
      </c>
      <c r="BM17" s="419" t="s">
        <v>709</v>
      </c>
      <c r="BN17" s="420">
        <v>0</v>
      </c>
      <c r="BO17" s="420">
        <v>0</v>
      </c>
      <c r="BP17" s="420">
        <v>0</v>
      </c>
      <c r="BQ17" s="420">
        <v>0</v>
      </c>
      <c r="BR17" s="420">
        <v>0</v>
      </c>
      <c r="BS17" s="424">
        <v>0</v>
      </c>
      <c r="BT17" s="419" t="s">
        <v>709</v>
      </c>
      <c r="BU17" s="419" t="s">
        <v>709</v>
      </c>
      <c r="BV17" s="419" t="s">
        <v>709</v>
      </c>
      <c r="BW17" s="420">
        <v>0</v>
      </c>
      <c r="BX17" s="420">
        <v>0</v>
      </c>
      <c r="BY17" s="420">
        <v>0</v>
      </c>
      <c r="BZ17" s="420">
        <v>0</v>
      </c>
      <c r="CA17" s="421">
        <v>0</v>
      </c>
      <c r="CB17" s="421">
        <v>0</v>
      </c>
      <c r="CC17" s="420">
        <v>0</v>
      </c>
      <c r="CD17" s="419" t="s">
        <v>709</v>
      </c>
      <c r="CE17" s="419" t="s">
        <v>709</v>
      </c>
      <c r="CF17" s="421">
        <v>0</v>
      </c>
      <c r="CG17" s="421">
        <v>0</v>
      </c>
      <c r="CH17" s="421">
        <v>0</v>
      </c>
      <c r="CI17" s="421">
        <v>1</v>
      </c>
      <c r="CJ17" s="419" t="s">
        <v>709</v>
      </c>
      <c r="CK17" s="419" t="s">
        <v>709</v>
      </c>
      <c r="CL17" s="419" t="s">
        <v>709</v>
      </c>
      <c r="CM17" s="419" t="s">
        <v>731</v>
      </c>
      <c r="CN17" s="419" t="s">
        <v>709</v>
      </c>
      <c r="CO17" s="419" t="s">
        <v>709</v>
      </c>
      <c r="CP17" s="421">
        <v>0</v>
      </c>
      <c r="CQ17" s="419" t="s">
        <v>709</v>
      </c>
      <c r="CR17" s="421">
        <v>0</v>
      </c>
      <c r="CS17" s="419" t="s">
        <v>709</v>
      </c>
      <c r="CT17" s="421">
        <v>0</v>
      </c>
      <c r="CU17" s="419" t="s">
        <v>709</v>
      </c>
      <c r="CV17" s="419" t="s">
        <v>709</v>
      </c>
      <c r="CW17" s="421">
        <v>0</v>
      </c>
      <c r="CX17" s="419" t="s">
        <v>709</v>
      </c>
      <c r="CY17" s="421">
        <v>0</v>
      </c>
      <c r="CZ17" s="419" t="s">
        <v>709</v>
      </c>
      <c r="DA17" s="421">
        <v>0</v>
      </c>
      <c r="DB17" s="419" t="s">
        <v>709</v>
      </c>
      <c r="DC17" s="419" t="s">
        <v>709</v>
      </c>
      <c r="DD17" s="419" t="s">
        <v>709</v>
      </c>
      <c r="DE17" s="419" t="s">
        <v>709</v>
      </c>
      <c r="DF17" s="419"/>
    </row>
    <row customHeight="true" ht="16.296296296296294" r="18">
      <c r="A18" s="419" t="s">
        <v>732</v>
      </c>
      <c r="B18" s="419" t="s">
        <v>706</v>
      </c>
      <c r="C18" s="419" t="s">
        <v>707</v>
      </c>
      <c r="D18" s="419" t="s">
        <v>707</v>
      </c>
      <c r="E18" s="419" t="s">
        <v>706</v>
      </c>
      <c r="F18" s="419" t="s">
        <v>708</v>
      </c>
      <c r="G18" s="420">
        <v>54.99</v>
      </c>
      <c r="H18" s="420">
        <v>64.99</v>
      </c>
      <c r="I18" s="421">
        <v>93</v>
      </c>
      <c r="J18" s="421">
        <v>0</v>
      </c>
      <c r="K18" s="421">
        <v>0</v>
      </c>
      <c r="L18" s="421">
        <v>0</v>
      </c>
      <c r="M18" s="421">
        <v>0</v>
      </c>
      <c r="N18" s="421">
        <v>0</v>
      </c>
      <c r="O18" s="421">
        <v>93</v>
      </c>
      <c r="P18" s="421">
        <v>0</v>
      </c>
      <c r="Q18" s="420">
        <v>0</v>
      </c>
      <c r="R18" s="421">
        <v>0</v>
      </c>
      <c r="S18" s="420">
        <v>0</v>
      </c>
      <c r="T18" s="419" t="s">
        <v>709</v>
      </c>
      <c r="U18" s="419" t="s">
        <v>709</v>
      </c>
      <c r="V18" s="419" t="s">
        <v>709</v>
      </c>
      <c r="W18" s="419" t="s">
        <v>709</v>
      </c>
      <c r="X18" s="419" t="s">
        <v>709</v>
      </c>
      <c r="Y18" s="419" t="s">
        <v>709</v>
      </c>
      <c r="Z18" s="421">
        <v>0</v>
      </c>
      <c r="AA18" s="420">
        <v>0</v>
      </c>
      <c r="AB18" s="421">
        <v>0</v>
      </c>
      <c r="AC18" s="420">
        <v>0</v>
      </c>
      <c r="AD18" s="421">
        <v>0</v>
      </c>
      <c r="AE18" s="420">
        <v>0</v>
      </c>
      <c r="AF18" s="421">
        <v>0</v>
      </c>
      <c r="AG18" s="420">
        <v>0</v>
      </c>
      <c r="AH18" s="422">
        <v>0</v>
      </c>
      <c r="AI18" s="420">
        <v>0</v>
      </c>
      <c r="AJ18" s="422">
        <v>0</v>
      </c>
      <c r="AK18" s="420">
        <v>0</v>
      </c>
      <c r="AL18" s="419"/>
      <c r="AM18" s="419"/>
      <c r="AN18" s="421">
        <v>0</v>
      </c>
      <c r="AO18" s="420">
        <v>0</v>
      </c>
      <c r="AP18" s="419" t="s">
        <v>709</v>
      </c>
      <c r="AQ18" s="423">
        <v>0</v>
      </c>
      <c r="AR18" s="421">
        <v>0</v>
      </c>
      <c r="AS18" s="419" t="s">
        <v>709</v>
      </c>
      <c r="AT18" s="419" t="s">
        <v>710</v>
      </c>
      <c r="AU18" s="419" t="s">
        <v>710</v>
      </c>
      <c r="AV18" s="419" t="s">
        <v>710</v>
      </c>
      <c r="AW18" s="419" t="s">
        <v>710</v>
      </c>
      <c r="AX18" s="419" t="s">
        <v>710</v>
      </c>
      <c r="AY18" s="421">
        <v>0</v>
      </c>
      <c r="AZ18" s="419" t="s">
        <v>709</v>
      </c>
      <c r="BA18" s="421">
        <v>0</v>
      </c>
      <c r="BB18" s="419" t="s">
        <v>709</v>
      </c>
      <c r="BC18" s="421">
        <v>0</v>
      </c>
      <c r="BD18" s="419" t="s">
        <v>709</v>
      </c>
      <c r="BE18" s="421">
        <v>0</v>
      </c>
      <c r="BF18" s="421">
        <v>0</v>
      </c>
      <c r="BG18" s="421">
        <v>0</v>
      </c>
      <c r="BH18" s="421">
        <v>0</v>
      </c>
      <c r="BI18" s="419" t="s">
        <v>709</v>
      </c>
      <c r="BJ18" s="419" t="s">
        <v>709</v>
      </c>
      <c r="BK18" s="419" t="s">
        <v>709</v>
      </c>
      <c r="BL18" s="420">
        <v>0</v>
      </c>
      <c r="BM18" s="419" t="s">
        <v>709</v>
      </c>
      <c r="BN18" s="420">
        <v>0</v>
      </c>
      <c r="BO18" s="420">
        <v>0</v>
      </c>
      <c r="BP18" s="420">
        <v>0</v>
      </c>
      <c r="BQ18" s="420">
        <v>0</v>
      </c>
      <c r="BR18" s="420">
        <v>0</v>
      </c>
      <c r="BS18" s="424">
        <v>0</v>
      </c>
      <c r="BT18" s="419" t="s">
        <v>709</v>
      </c>
      <c r="BU18" s="419" t="s">
        <v>709</v>
      </c>
      <c r="BV18" s="419" t="s">
        <v>709</v>
      </c>
      <c r="BW18" s="420">
        <v>0</v>
      </c>
      <c r="BX18" s="420">
        <v>0</v>
      </c>
      <c r="BY18" s="420">
        <v>0</v>
      </c>
      <c r="BZ18" s="420">
        <v>0</v>
      </c>
      <c r="CA18" s="421">
        <v>0</v>
      </c>
      <c r="CB18" s="421">
        <v>0</v>
      </c>
      <c r="CC18" s="420">
        <v>0</v>
      </c>
      <c r="CD18" s="419" t="s">
        <v>709</v>
      </c>
      <c r="CE18" s="419" t="s">
        <v>709</v>
      </c>
      <c r="CF18" s="421">
        <v>0</v>
      </c>
      <c r="CG18" s="421">
        <v>0</v>
      </c>
      <c r="CH18" s="421">
        <v>0</v>
      </c>
      <c r="CI18" s="421">
        <v>0</v>
      </c>
      <c r="CJ18" s="419" t="s">
        <v>709</v>
      </c>
      <c r="CK18" s="419" t="s">
        <v>709</v>
      </c>
      <c r="CL18" s="419" t="s">
        <v>709</v>
      </c>
      <c r="CM18" s="419" t="s">
        <v>709</v>
      </c>
      <c r="CN18" s="419" t="s">
        <v>709</v>
      </c>
      <c r="CO18" s="419" t="s">
        <v>709</v>
      </c>
      <c r="CP18" s="421">
        <v>0</v>
      </c>
      <c r="CQ18" s="419" t="s">
        <v>709</v>
      </c>
      <c r="CR18" s="421">
        <v>0</v>
      </c>
      <c r="CS18" s="419" t="s">
        <v>709</v>
      </c>
      <c r="CT18" s="421">
        <v>0</v>
      </c>
      <c r="CU18" s="419" t="s">
        <v>709</v>
      </c>
      <c r="CV18" s="419" t="s">
        <v>709</v>
      </c>
      <c r="CW18" s="421">
        <v>0</v>
      </c>
      <c r="CX18" s="419" t="s">
        <v>709</v>
      </c>
      <c r="CY18" s="421">
        <v>0</v>
      </c>
      <c r="CZ18" s="419" t="s">
        <v>709</v>
      </c>
      <c r="DA18" s="421">
        <v>0</v>
      </c>
      <c r="DB18" s="419" t="s">
        <v>709</v>
      </c>
      <c r="DC18" s="419" t="s">
        <v>709</v>
      </c>
      <c r="DD18" s="419" t="s">
        <v>709</v>
      </c>
      <c r="DE18" s="419" t="s">
        <v>709</v>
      </c>
      <c r="DF18" s="419"/>
    </row>
    <row customHeight="true" ht="16.296296296296294" r="19">
      <c r="A19" s="419" t="s">
        <v>733</v>
      </c>
      <c r="B19" s="419" t="s">
        <v>706</v>
      </c>
      <c r="C19" s="419" t="s">
        <v>707</v>
      </c>
      <c r="D19" s="419" t="s">
        <v>707</v>
      </c>
      <c r="E19" s="419" t="s">
        <v>706</v>
      </c>
      <c r="F19" s="419" t="s">
        <v>708</v>
      </c>
      <c r="G19" s="420">
        <v>54.99</v>
      </c>
      <c r="H19" s="420">
        <v>64.99</v>
      </c>
      <c r="I19" s="421">
        <v>159</v>
      </c>
      <c r="J19" s="421">
        <v>0</v>
      </c>
      <c r="K19" s="421">
        <v>0</v>
      </c>
      <c r="L19" s="421">
        <v>0</v>
      </c>
      <c r="M19" s="421">
        <v>0</v>
      </c>
      <c r="N19" s="421">
        <v>0</v>
      </c>
      <c r="O19" s="421">
        <v>159</v>
      </c>
      <c r="P19" s="421">
        <v>5</v>
      </c>
      <c r="Q19" s="420">
        <v>274.95</v>
      </c>
      <c r="R19" s="421">
        <v>5</v>
      </c>
      <c r="S19" s="420">
        <v>0</v>
      </c>
      <c r="T19" s="419" t="s">
        <v>709</v>
      </c>
      <c r="U19" s="419" t="s">
        <v>724</v>
      </c>
      <c r="V19" s="419" t="s">
        <v>709</v>
      </c>
      <c r="W19" s="419" t="s">
        <v>709</v>
      </c>
      <c r="X19" s="419" t="s">
        <v>724</v>
      </c>
      <c r="Y19" s="419" t="s">
        <v>709</v>
      </c>
      <c r="Z19" s="421">
        <v>0</v>
      </c>
      <c r="AA19" s="420">
        <v>0</v>
      </c>
      <c r="AB19" s="421">
        <v>0</v>
      </c>
      <c r="AC19" s="420">
        <v>0</v>
      </c>
      <c r="AD19" s="421">
        <v>5</v>
      </c>
      <c r="AE19" s="420">
        <v>274.95</v>
      </c>
      <c r="AF19" s="421">
        <v>5</v>
      </c>
      <c r="AG19" s="420">
        <v>274.95</v>
      </c>
      <c r="AH19" s="422">
        <v>5</v>
      </c>
      <c r="AI19" s="420">
        <v>274.95</v>
      </c>
      <c r="AJ19" s="422">
        <v>5</v>
      </c>
      <c r="AK19" s="420">
        <v>0</v>
      </c>
      <c r="AL19" s="419"/>
      <c r="AM19" s="419"/>
      <c r="AN19" s="421">
        <v>0</v>
      </c>
      <c r="AO19" s="420">
        <v>0</v>
      </c>
      <c r="AP19" s="419" t="s">
        <v>709</v>
      </c>
      <c r="AQ19" s="423">
        <v>0</v>
      </c>
      <c r="AR19" s="421">
        <v>0</v>
      </c>
      <c r="AS19" s="419" t="s">
        <v>709</v>
      </c>
      <c r="AT19" s="419" t="s">
        <v>710</v>
      </c>
      <c r="AU19" s="419" t="s">
        <v>710</v>
      </c>
      <c r="AV19" s="419" t="s">
        <v>710</v>
      </c>
      <c r="AW19" s="419" t="s">
        <v>710</v>
      </c>
      <c r="AX19" s="419" t="s">
        <v>710</v>
      </c>
      <c r="AY19" s="421">
        <v>0</v>
      </c>
      <c r="AZ19" s="419" t="s">
        <v>709</v>
      </c>
      <c r="BA19" s="421">
        <v>16</v>
      </c>
      <c r="BB19" s="419" t="s">
        <v>734</v>
      </c>
      <c r="BC19" s="421">
        <v>4</v>
      </c>
      <c r="BD19" s="419" t="s">
        <v>709</v>
      </c>
      <c r="BE19" s="421">
        <v>20</v>
      </c>
      <c r="BF19" s="421">
        <v>17</v>
      </c>
      <c r="BG19" s="421">
        <v>5</v>
      </c>
      <c r="BH19" s="421">
        <v>22</v>
      </c>
      <c r="BI19" s="419" t="s">
        <v>735</v>
      </c>
      <c r="BJ19" s="419" t="s">
        <v>735</v>
      </c>
      <c r="BK19" s="419" t="s">
        <v>724</v>
      </c>
      <c r="BL19" s="420">
        <v>0</v>
      </c>
      <c r="BM19" s="419" t="s">
        <v>709</v>
      </c>
      <c r="BN19" s="420">
        <v>0</v>
      </c>
      <c r="BO19" s="420">
        <v>0</v>
      </c>
      <c r="BP19" s="420">
        <v>0</v>
      </c>
      <c r="BQ19" s="420">
        <v>0</v>
      </c>
      <c r="BR19" s="420">
        <v>0</v>
      </c>
      <c r="BS19" s="424">
        <v>0</v>
      </c>
      <c r="BT19" s="419" t="s">
        <v>709</v>
      </c>
      <c r="BU19" s="419" t="s">
        <v>709</v>
      </c>
      <c r="BV19" s="419" t="s">
        <v>709</v>
      </c>
      <c r="BW19" s="420">
        <v>0</v>
      </c>
      <c r="BX19" s="420">
        <v>0</v>
      </c>
      <c r="BY19" s="420">
        <v>0</v>
      </c>
      <c r="BZ19" s="420">
        <v>0</v>
      </c>
      <c r="CA19" s="421">
        <v>0</v>
      </c>
      <c r="CB19" s="421">
        <v>0</v>
      </c>
      <c r="CC19" s="420">
        <v>0</v>
      </c>
      <c r="CD19" s="419" t="s">
        <v>709</v>
      </c>
      <c r="CE19" s="419" t="s">
        <v>709</v>
      </c>
      <c r="CF19" s="421">
        <v>0</v>
      </c>
      <c r="CG19" s="421">
        <v>0</v>
      </c>
      <c r="CH19" s="421">
        <v>5</v>
      </c>
      <c r="CI19" s="421">
        <v>20</v>
      </c>
      <c r="CJ19" s="419" t="s">
        <v>735</v>
      </c>
      <c r="CK19" s="419" t="s">
        <v>736</v>
      </c>
      <c r="CL19" s="419" t="s">
        <v>735</v>
      </c>
      <c r="CM19" s="419" t="s">
        <v>737</v>
      </c>
      <c r="CN19" s="419" t="s">
        <v>709</v>
      </c>
      <c r="CO19" s="419" t="s">
        <v>736</v>
      </c>
      <c r="CP19" s="421">
        <v>2</v>
      </c>
      <c r="CQ19" s="419" t="s">
        <v>738</v>
      </c>
      <c r="CR19" s="421">
        <v>1</v>
      </c>
      <c r="CS19" s="419" t="s">
        <v>739</v>
      </c>
      <c r="CT19" s="421">
        <v>3</v>
      </c>
      <c r="CU19" s="419" t="s">
        <v>740</v>
      </c>
      <c r="CV19" s="419" t="s">
        <v>709</v>
      </c>
      <c r="CW19" s="421">
        <v>2</v>
      </c>
      <c r="CX19" s="419" t="s">
        <v>741</v>
      </c>
      <c r="CY19" s="421">
        <v>1</v>
      </c>
      <c r="CZ19" s="419" t="s">
        <v>742</v>
      </c>
      <c r="DA19" s="421">
        <v>3</v>
      </c>
      <c r="DB19" s="419" t="s">
        <v>743</v>
      </c>
      <c r="DC19" s="419" t="s">
        <v>709</v>
      </c>
      <c r="DD19" s="419" t="s">
        <v>709</v>
      </c>
      <c r="DE19" s="419" t="s">
        <v>709</v>
      </c>
      <c r="DF19" s="419"/>
    </row>
    <row customHeight="true" ht="16.296296296296294" r="20">
      <c r="A20" s="419" t="s">
        <v>744</v>
      </c>
      <c r="B20" s="419" t="s">
        <v>706</v>
      </c>
      <c r="C20" s="419" t="s">
        <v>707</v>
      </c>
      <c r="D20" s="419" t="s">
        <v>707</v>
      </c>
      <c r="E20" s="419" t="s">
        <v>706</v>
      </c>
      <c r="F20" s="419" t="s">
        <v>708</v>
      </c>
      <c r="G20" s="420">
        <v>54.99</v>
      </c>
      <c r="H20" s="420">
        <v>64.99</v>
      </c>
      <c r="I20" s="421">
        <v>201</v>
      </c>
      <c r="J20" s="421">
        <v>0</v>
      </c>
      <c r="K20" s="421">
        <v>0</v>
      </c>
      <c r="L20" s="421">
        <v>0</v>
      </c>
      <c r="M20" s="421">
        <v>0</v>
      </c>
      <c r="N20" s="421">
        <v>0</v>
      </c>
      <c r="O20" s="421">
        <v>201</v>
      </c>
      <c r="P20" s="421">
        <v>3</v>
      </c>
      <c r="Q20" s="420">
        <v>162.22</v>
      </c>
      <c r="R20" s="421">
        <v>3</v>
      </c>
      <c r="S20" s="420">
        <v>52.24</v>
      </c>
      <c r="T20" s="419" t="s">
        <v>709</v>
      </c>
      <c r="U20" s="419" t="s">
        <v>724</v>
      </c>
      <c r="V20" s="419" t="s">
        <v>709</v>
      </c>
      <c r="W20" s="419" t="s">
        <v>709</v>
      </c>
      <c r="X20" s="419" t="s">
        <v>724</v>
      </c>
      <c r="Y20" s="419" t="s">
        <v>709</v>
      </c>
      <c r="Z20" s="421">
        <v>1</v>
      </c>
      <c r="AA20" s="420">
        <v>52.24</v>
      </c>
      <c r="AB20" s="421">
        <v>1</v>
      </c>
      <c r="AC20" s="420">
        <v>0</v>
      </c>
      <c r="AD20" s="421">
        <v>2</v>
      </c>
      <c r="AE20" s="420">
        <v>109.98</v>
      </c>
      <c r="AF20" s="421">
        <v>2</v>
      </c>
      <c r="AG20" s="420">
        <v>109.98</v>
      </c>
      <c r="AH20" s="422">
        <v>3</v>
      </c>
      <c r="AI20" s="420">
        <v>162.22</v>
      </c>
      <c r="AJ20" s="422">
        <v>3</v>
      </c>
      <c r="AK20" s="420">
        <v>17.41</v>
      </c>
      <c r="AL20" s="419"/>
      <c r="AM20" s="419"/>
      <c r="AN20" s="421">
        <v>0</v>
      </c>
      <c r="AO20" s="420">
        <v>0</v>
      </c>
      <c r="AP20" s="419" t="s">
        <v>709</v>
      </c>
      <c r="AQ20" s="423">
        <v>0</v>
      </c>
      <c r="AR20" s="421">
        <v>0</v>
      </c>
      <c r="AS20" s="419" t="s">
        <v>709</v>
      </c>
      <c r="AT20" s="419" t="s">
        <v>710</v>
      </c>
      <c r="AU20" s="419" t="s">
        <v>710</v>
      </c>
      <c r="AV20" s="419" t="s">
        <v>710</v>
      </c>
      <c r="AW20" s="419" t="s">
        <v>710</v>
      </c>
      <c r="AX20" s="419" t="s">
        <v>710</v>
      </c>
      <c r="AY20" s="421">
        <v>0</v>
      </c>
      <c r="AZ20" s="419" t="s">
        <v>709</v>
      </c>
      <c r="BA20" s="421">
        <v>4</v>
      </c>
      <c r="BB20" s="419" t="s">
        <v>745</v>
      </c>
      <c r="BC20" s="421">
        <v>1</v>
      </c>
      <c r="BD20" s="419" t="s">
        <v>709</v>
      </c>
      <c r="BE20" s="421">
        <v>5</v>
      </c>
      <c r="BF20" s="421">
        <v>8</v>
      </c>
      <c r="BG20" s="421">
        <v>1</v>
      </c>
      <c r="BH20" s="421">
        <v>9</v>
      </c>
      <c r="BI20" s="419" t="s">
        <v>746</v>
      </c>
      <c r="BJ20" s="419" t="s">
        <v>746</v>
      </c>
      <c r="BK20" s="419" t="s">
        <v>724</v>
      </c>
      <c r="BL20" s="420">
        <v>0</v>
      </c>
      <c r="BM20" s="419" t="s">
        <v>709</v>
      </c>
      <c r="BN20" s="420">
        <v>0</v>
      </c>
      <c r="BO20" s="420">
        <v>0</v>
      </c>
      <c r="BP20" s="420">
        <v>0</v>
      </c>
      <c r="BQ20" s="420">
        <v>0</v>
      </c>
      <c r="BR20" s="420">
        <v>0</v>
      </c>
      <c r="BS20" s="424">
        <v>0</v>
      </c>
      <c r="BT20" s="419" t="s">
        <v>709</v>
      </c>
      <c r="BU20" s="419" t="s">
        <v>709</v>
      </c>
      <c r="BV20" s="419" t="s">
        <v>709</v>
      </c>
      <c r="BW20" s="420">
        <v>0</v>
      </c>
      <c r="BX20" s="420">
        <v>0</v>
      </c>
      <c r="BY20" s="420">
        <v>0</v>
      </c>
      <c r="BZ20" s="420">
        <v>0</v>
      </c>
      <c r="CA20" s="421">
        <v>0</v>
      </c>
      <c r="CB20" s="421">
        <v>0</v>
      </c>
      <c r="CC20" s="420">
        <v>0</v>
      </c>
      <c r="CD20" s="419" t="s">
        <v>709</v>
      </c>
      <c r="CE20" s="419" t="s">
        <v>709</v>
      </c>
      <c r="CF20" s="421">
        <v>0</v>
      </c>
      <c r="CG20" s="421">
        <v>0</v>
      </c>
      <c r="CH20" s="421">
        <v>3</v>
      </c>
      <c r="CI20" s="421">
        <v>5</v>
      </c>
      <c r="CJ20" s="419" t="s">
        <v>746</v>
      </c>
      <c r="CK20" s="419" t="s">
        <v>709</v>
      </c>
      <c r="CL20" s="419" t="s">
        <v>746</v>
      </c>
      <c r="CM20" s="419" t="s">
        <v>747</v>
      </c>
      <c r="CN20" s="419" t="s">
        <v>709</v>
      </c>
      <c r="CO20" s="419" t="s">
        <v>709</v>
      </c>
      <c r="CP20" s="421">
        <v>1</v>
      </c>
      <c r="CQ20" s="419" t="s">
        <v>738</v>
      </c>
      <c r="CR20" s="421">
        <v>0</v>
      </c>
      <c r="CS20" s="419" t="s">
        <v>709</v>
      </c>
      <c r="CT20" s="421">
        <v>1</v>
      </c>
      <c r="CU20" s="419" t="s">
        <v>741</v>
      </c>
      <c r="CV20" s="419" t="s">
        <v>724</v>
      </c>
      <c r="CW20" s="421">
        <v>3</v>
      </c>
      <c r="CX20" s="419" t="s">
        <v>748</v>
      </c>
      <c r="CY20" s="421">
        <v>0</v>
      </c>
      <c r="CZ20" s="419" t="s">
        <v>709</v>
      </c>
      <c r="DA20" s="421">
        <v>3</v>
      </c>
      <c r="DB20" s="419" t="s">
        <v>740</v>
      </c>
      <c r="DC20" s="419" t="s">
        <v>724</v>
      </c>
      <c r="DD20" s="419" t="s">
        <v>724</v>
      </c>
      <c r="DE20" s="419" t="s">
        <v>724</v>
      </c>
      <c r="DF20" s="419"/>
    </row>
    <row customHeight="true" ht="16.296296296296294" r="21">
      <c r="A21" s="419" t="s">
        <v>749</v>
      </c>
      <c r="B21" s="419" t="s">
        <v>706</v>
      </c>
      <c r="C21" s="419" t="s">
        <v>707</v>
      </c>
      <c r="D21" s="419" t="s">
        <v>707</v>
      </c>
      <c r="E21" s="419" t="s">
        <v>706</v>
      </c>
      <c r="F21" s="419" t="s">
        <v>708</v>
      </c>
      <c r="G21" s="420">
        <v>54.99</v>
      </c>
      <c r="H21" s="420">
        <v>64.99</v>
      </c>
      <c r="I21" s="421">
        <v>201</v>
      </c>
      <c r="J21" s="421">
        <v>0</v>
      </c>
      <c r="K21" s="421">
        <v>0</v>
      </c>
      <c r="L21" s="421">
        <v>0</v>
      </c>
      <c r="M21" s="421">
        <v>0</v>
      </c>
      <c r="N21" s="421">
        <v>0</v>
      </c>
      <c r="O21" s="421">
        <v>201</v>
      </c>
      <c r="P21" s="421">
        <v>2</v>
      </c>
      <c r="Q21" s="420">
        <v>109.98</v>
      </c>
      <c r="R21" s="421">
        <v>2</v>
      </c>
      <c r="S21" s="420">
        <v>0</v>
      </c>
      <c r="T21" s="419" t="s">
        <v>709</v>
      </c>
      <c r="U21" s="419" t="s">
        <v>724</v>
      </c>
      <c r="V21" s="419" t="s">
        <v>709</v>
      </c>
      <c r="W21" s="419" t="s">
        <v>709</v>
      </c>
      <c r="X21" s="419" t="s">
        <v>724</v>
      </c>
      <c r="Y21" s="419" t="s">
        <v>709</v>
      </c>
      <c r="Z21" s="421">
        <v>0</v>
      </c>
      <c r="AA21" s="420">
        <v>0</v>
      </c>
      <c r="AB21" s="421">
        <v>0</v>
      </c>
      <c r="AC21" s="420">
        <v>0</v>
      </c>
      <c r="AD21" s="421">
        <v>2</v>
      </c>
      <c r="AE21" s="420">
        <v>109.98</v>
      </c>
      <c r="AF21" s="421">
        <v>2</v>
      </c>
      <c r="AG21" s="420">
        <v>109.98</v>
      </c>
      <c r="AH21" s="422">
        <v>2</v>
      </c>
      <c r="AI21" s="420">
        <v>109.98</v>
      </c>
      <c r="AJ21" s="422">
        <v>2</v>
      </c>
      <c r="AK21" s="420">
        <v>0</v>
      </c>
      <c r="AL21" s="419"/>
      <c r="AM21" s="419"/>
      <c r="AN21" s="421">
        <v>0</v>
      </c>
      <c r="AO21" s="420">
        <v>0</v>
      </c>
      <c r="AP21" s="419" t="s">
        <v>709</v>
      </c>
      <c r="AQ21" s="423">
        <v>0</v>
      </c>
      <c r="AR21" s="421">
        <v>0</v>
      </c>
      <c r="AS21" s="419" t="s">
        <v>709</v>
      </c>
      <c r="AT21" s="419" t="s">
        <v>710</v>
      </c>
      <c r="AU21" s="419" t="s">
        <v>710</v>
      </c>
      <c r="AV21" s="419" t="s">
        <v>710</v>
      </c>
      <c r="AW21" s="419" t="s">
        <v>710</v>
      </c>
      <c r="AX21" s="419" t="s">
        <v>710</v>
      </c>
      <c r="AY21" s="421">
        <v>0</v>
      </c>
      <c r="AZ21" s="419" t="s">
        <v>709</v>
      </c>
      <c r="BA21" s="421">
        <v>6</v>
      </c>
      <c r="BB21" s="419" t="s">
        <v>750</v>
      </c>
      <c r="BC21" s="421">
        <v>4</v>
      </c>
      <c r="BD21" s="419" t="s">
        <v>709</v>
      </c>
      <c r="BE21" s="421">
        <v>10</v>
      </c>
      <c r="BF21" s="421">
        <v>6</v>
      </c>
      <c r="BG21" s="421">
        <v>4</v>
      </c>
      <c r="BH21" s="421">
        <v>10</v>
      </c>
      <c r="BI21" s="419" t="s">
        <v>751</v>
      </c>
      <c r="BJ21" s="419" t="s">
        <v>751</v>
      </c>
      <c r="BK21" s="419" t="s">
        <v>724</v>
      </c>
      <c r="BL21" s="420">
        <v>0</v>
      </c>
      <c r="BM21" s="419" t="s">
        <v>709</v>
      </c>
      <c r="BN21" s="420">
        <v>0</v>
      </c>
      <c r="BO21" s="420">
        <v>0</v>
      </c>
      <c r="BP21" s="420">
        <v>0</v>
      </c>
      <c r="BQ21" s="420">
        <v>0</v>
      </c>
      <c r="BR21" s="420">
        <v>0</v>
      </c>
      <c r="BS21" s="424">
        <v>0</v>
      </c>
      <c r="BT21" s="419" t="s">
        <v>709</v>
      </c>
      <c r="BU21" s="419" t="s">
        <v>709</v>
      </c>
      <c r="BV21" s="419" t="s">
        <v>709</v>
      </c>
      <c r="BW21" s="420">
        <v>0</v>
      </c>
      <c r="BX21" s="420">
        <v>0</v>
      </c>
      <c r="BY21" s="420">
        <v>0</v>
      </c>
      <c r="BZ21" s="420">
        <v>0</v>
      </c>
      <c r="CA21" s="421">
        <v>0</v>
      </c>
      <c r="CB21" s="421">
        <v>0</v>
      </c>
      <c r="CC21" s="420">
        <v>0</v>
      </c>
      <c r="CD21" s="419" t="s">
        <v>709</v>
      </c>
      <c r="CE21" s="419" t="s">
        <v>709</v>
      </c>
      <c r="CF21" s="421">
        <v>0</v>
      </c>
      <c r="CG21" s="421">
        <v>0</v>
      </c>
      <c r="CH21" s="421">
        <v>2</v>
      </c>
      <c r="CI21" s="421">
        <v>10</v>
      </c>
      <c r="CJ21" s="419" t="s">
        <v>751</v>
      </c>
      <c r="CK21" s="419" t="s">
        <v>736</v>
      </c>
      <c r="CL21" s="419" t="s">
        <v>751</v>
      </c>
      <c r="CM21" s="419" t="s">
        <v>752</v>
      </c>
      <c r="CN21" s="419" t="s">
        <v>709</v>
      </c>
      <c r="CO21" s="419" t="s">
        <v>736</v>
      </c>
      <c r="CP21" s="421">
        <v>0</v>
      </c>
      <c r="CQ21" s="419" t="s">
        <v>709</v>
      </c>
      <c r="CR21" s="421">
        <v>0</v>
      </c>
      <c r="CS21" s="419" t="s">
        <v>709</v>
      </c>
      <c r="CT21" s="421">
        <v>0</v>
      </c>
      <c r="CU21" s="419" t="s">
        <v>709</v>
      </c>
      <c r="CV21" s="419" t="s">
        <v>709</v>
      </c>
      <c r="CW21" s="421">
        <v>0</v>
      </c>
      <c r="CX21" s="419" t="s">
        <v>709</v>
      </c>
      <c r="CY21" s="421">
        <v>0</v>
      </c>
      <c r="CZ21" s="419" t="s">
        <v>709</v>
      </c>
      <c r="DA21" s="421">
        <v>0</v>
      </c>
      <c r="DB21" s="419" t="s">
        <v>709</v>
      </c>
      <c r="DC21" s="419" t="s">
        <v>709</v>
      </c>
      <c r="DD21" s="419" t="s">
        <v>709</v>
      </c>
      <c r="DE21" s="419" t="s">
        <v>709</v>
      </c>
      <c r="DF21" s="419"/>
    </row>
    <row customHeight="true" ht="16.296296296296294" r="22">
      <c r="A22" s="419" t="s">
        <v>753</v>
      </c>
      <c r="B22" s="419" t="s">
        <v>706</v>
      </c>
      <c r="C22" s="419" t="s">
        <v>707</v>
      </c>
      <c r="D22" s="419" t="s">
        <v>707</v>
      </c>
      <c r="E22" s="419" t="s">
        <v>706</v>
      </c>
      <c r="F22" s="419" t="s">
        <v>708</v>
      </c>
      <c r="G22" s="420">
        <v>54.99</v>
      </c>
      <c r="H22" s="420">
        <v>64.99</v>
      </c>
      <c r="I22" s="421">
        <v>200</v>
      </c>
      <c r="J22" s="421">
        <v>0</v>
      </c>
      <c r="K22" s="421">
        <v>0</v>
      </c>
      <c r="L22" s="421">
        <v>0</v>
      </c>
      <c r="M22" s="421">
        <v>0</v>
      </c>
      <c r="N22" s="421">
        <v>0</v>
      </c>
      <c r="O22" s="421">
        <v>200</v>
      </c>
      <c r="P22" s="421">
        <v>0</v>
      </c>
      <c r="Q22" s="420">
        <v>0</v>
      </c>
      <c r="R22" s="421">
        <v>0</v>
      </c>
      <c r="S22" s="420">
        <v>0</v>
      </c>
      <c r="T22" s="419" t="s">
        <v>709</v>
      </c>
      <c r="U22" s="419" t="s">
        <v>709</v>
      </c>
      <c r="V22" s="419" t="s">
        <v>709</v>
      </c>
      <c r="W22" s="419" t="s">
        <v>709</v>
      </c>
      <c r="X22" s="419" t="s">
        <v>709</v>
      </c>
      <c r="Y22" s="419" t="s">
        <v>709</v>
      </c>
      <c r="Z22" s="421">
        <v>0</v>
      </c>
      <c r="AA22" s="420">
        <v>0</v>
      </c>
      <c r="AB22" s="421">
        <v>0</v>
      </c>
      <c r="AC22" s="420">
        <v>0</v>
      </c>
      <c r="AD22" s="421">
        <v>0</v>
      </c>
      <c r="AE22" s="420">
        <v>0</v>
      </c>
      <c r="AF22" s="421">
        <v>0</v>
      </c>
      <c r="AG22" s="420">
        <v>0</v>
      </c>
      <c r="AH22" s="422">
        <v>0</v>
      </c>
      <c r="AI22" s="420">
        <v>0</v>
      </c>
      <c r="AJ22" s="422">
        <v>0</v>
      </c>
      <c r="AK22" s="420">
        <v>0</v>
      </c>
      <c r="AL22" s="419" t="s">
        <v>754</v>
      </c>
      <c r="AM22" s="419" t="s">
        <v>755</v>
      </c>
      <c r="AN22" s="421">
        <v>0</v>
      </c>
      <c r="AO22" s="420">
        <v>0</v>
      </c>
      <c r="AP22" s="419" t="s">
        <v>709</v>
      </c>
      <c r="AQ22" s="423">
        <v>0</v>
      </c>
      <c r="AR22" s="421">
        <v>0</v>
      </c>
      <c r="AS22" s="419" t="s">
        <v>709</v>
      </c>
      <c r="AT22" s="419" t="s">
        <v>710</v>
      </c>
      <c r="AU22" s="419" t="s">
        <v>710</v>
      </c>
      <c r="AV22" s="419" t="s">
        <v>710</v>
      </c>
      <c r="AW22" s="419" t="s">
        <v>710</v>
      </c>
      <c r="AX22" s="419" t="s">
        <v>710</v>
      </c>
      <c r="AY22" s="421">
        <v>0</v>
      </c>
      <c r="AZ22" s="419" t="s">
        <v>709</v>
      </c>
      <c r="BA22" s="421">
        <v>2</v>
      </c>
      <c r="BB22" s="419" t="s">
        <v>756</v>
      </c>
      <c r="BC22" s="421">
        <v>1</v>
      </c>
      <c r="BD22" s="419" t="s">
        <v>709</v>
      </c>
      <c r="BE22" s="421">
        <v>3</v>
      </c>
      <c r="BF22" s="421">
        <v>4</v>
      </c>
      <c r="BG22" s="421">
        <v>1</v>
      </c>
      <c r="BH22" s="421">
        <v>5</v>
      </c>
      <c r="BI22" s="419" t="s">
        <v>709</v>
      </c>
      <c r="BJ22" s="419" t="s">
        <v>709</v>
      </c>
      <c r="BK22" s="419" t="s">
        <v>724</v>
      </c>
      <c r="BL22" s="420">
        <v>0</v>
      </c>
      <c r="BM22" s="419" t="s">
        <v>709</v>
      </c>
      <c r="BN22" s="420">
        <v>0</v>
      </c>
      <c r="BO22" s="420">
        <v>0</v>
      </c>
      <c r="BP22" s="420">
        <v>0</v>
      </c>
      <c r="BQ22" s="420">
        <v>0</v>
      </c>
      <c r="BR22" s="420">
        <v>0</v>
      </c>
      <c r="BS22" s="424">
        <v>0</v>
      </c>
      <c r="BT22" s="419" t="s">
        <v>709</v>
      </c>
      <c r="BU22" s="419" t="s">
        <v>709</v>
      </c>
      <c r="BV22" s="419" t="s">
        <v>709</v>
      </c>
      <c r="BW22" s="420">
        <v>0</v>
      </c>
      <c r="BX22" s="420">
        <v>0</v>
      </c>
      <c r="BY22" s="420">
        <v>0</v>
      </c>
      <c r="BZ22" s="420">
        <v>0</v>
      </c>
      <c r="CA22" s="421">
        <v>0</v>
      </c>
      <c r="CB22" s="421">
        <v>0</v>
      </c>
      <c r="CC22" s="420">
        <v>0</v>
      </c>
      <c r="CD22" s="419" t="s">
        <v>709</v>
      </c>
      <c r="CE22" s="419" t="s">
        <v>709</v>
      </c>
      <c r="CF22" s="421">
        <v>0</v>
      </c>
      <c r="CG22" s="421">
        <v>0</v>
      </c>
      <c r="CH22" s="421">
        <v>0</v>
      </c>
      <c r="CI22" s="421">
        <v>3</v>
      </c>
      <c r="CJ22" s="419" t="s">
        <v>709</v>
      </c>
      <c r="CK22" s="419" t="s">
        <v>709</v>
      </c>
      <c r="CL22" s="419" t="s">
        <v>709</v>
      </c>
      <c r="CM22" s="419" t="s">
        <v>757</v>
      </c>
      <c r="CN22" s="419" t="s">
        <v>709</v>
      </c>
      <c r="CO22" s="419" t="s">
        <v>709</v>
      </c>
      <c r="CP22" s="421">
        <v>0</v>
      </c>
      <c r="CQ22" s="419" t="s">
        <v>709</v>
      </c>
      <c r="CR22" s="421">
        <v>0</v>
      </c>
      <c r="CS22" s="419" t="s">
        <v>709</v>
      </c>
      <c r="CT22" s="421">
        <v>0</v>
      </c>
      <c r="CU22" s="419" t="s">
        <v>709</v>
      </c>
      <c r="CV22" s="419" t="s">
        <v>709</v>
      </c>
      <c r="CW22" s="421">
        <v>0</v>
      </c>
      <c r="CX22" s="419" t="s">
        <v>709</v>
      </c>
      <c r="CY22" s="421">
        <v>0</v>
      </c>
      <c r="CZ22" s="419" t="s">
        <v>709</v>
      </c>
      <c r="DA22" s="421">
        <v>0</v>
      </c>
      <c r="DB22" s="419" t="s">
        <v>709</v>
      </c>
      <c r="DC22" s="419" t="s">
        <v>709</v>
      </c>
      <c r="DD22" s="419" t="s">
        <v>709</v>
      </c>
      <c r="DE22" s="419" t="s">
        <v>709</v>
      </c>
      <c r="DF22" s="419"/>
    </row>
    <row customHeight="true" ht="16.296296296296294" r="23">
      <c r="A23" s="419" t="s">
        <v>758</v>
      </c>
      <c r="B23" s="419" t="s">
        <v>706</v>
      </c>
      <c r="C23" s="419" t="s">
        <v>707</v>
      </c>
      <c r="D23" s="419" t="s">
        <v>707</v>
      </c>
      <c r="E23" s="419" t="s">
        <v>706</v>
      </c>
      <c r="F23" s="419" t="s">
        <v>708</v>
      </c>
      <c r="G23" s="420">
        <v>54.99</v>
      </c>
      <c r="H23" s="420">
        <v>54.99</v>
      </c>
      <c r="I23" s="421">
        <v>198</v>
      </c>
      <c r="J23" s="421">
        <v>0</v>
      </c>
      <c r="K23" s="421">
        <v>0</v>
      </c>
      <c r="L23" s="421">
        <v>0</v>
      </c>
      <c r="M23" s="421">
        <v>0</v>
      </c>
      <c r="N23" s="421">
        <v>0</v>
      </c>
      <c r="O23" s="421">
        <v>198</v>
      </c>
      <c r="P23" s="421">
        <v>1</v>
      </c>
      <c r="Q23" s="420">
        <v>54.99</v>
      </c>
      <c r="R23" s="421">
        <v>1</v>
      </c>
      <c r="S23" s="420">
        <v>54.99</v>
      </c>
      <c r="T23" s="419" t="s">
        <v>709</v>
      </c>
      <c r="U23" s="419" t="s">
        <v>724</v>
      </c>
      <c r="V23" s="419" t="s">
        <v>709</v>
      </c>
      <c r="W23" s="419" t="s">
        <v>709</v>
      </c>
      <c r="X23" s="419" t="s">
        <v>724</v>
      </c>
      <c r="Y23" s="419" t="s">
        <v>709</v>
      </c>
      <c r="Z23" s="421">
        <v>0</v>
      </c>
      <c r="AA23" s="420">
        <v>0</v>
      </c>
      <c r="AB23" s="421">
        <v>0</v>
      </c>
      <c r="AC23" s="420">
        <v>0</v>
      </c>
      <c r="AD23" s="421">
        <v>0</v>
      </c>
      <c r="AE23" s="420">
        <v>0</v>
      </c>
      <c r="AF23" s="421">
        <v>0</v>
      </c>
      <c r="AG23" s="420">
        <v>0</v>
      </c>
      <c r="AH23" s="422">
        <v>1</v>
      </c>
      <c r="AI23" s="420">
        <v>54.99</v>
      </c>
      <c r="AJ23" s="422">
        <v>1</v>
      </c>
      <c r="AK23" s="420">
        <v>54.99</v>
      </c>
      <c r="AL23" s="419" t="s">
        <v>754</v>
      </c>
      <c r="AM23" s="419" t="s">
        <v>755</v>
      </c>
      <c r="AN23" s="421">
        <v>0</v>
      </c>
      <c r="AO23" s="420">
        <v>0</v>
      </c>
      <c r="AP23" s="419" t="s">
        <v>709</v>
      </c>
      <c r="AQ23" s="423">
        <v>0</v>
      </c>
      <c r="AR23" s="421">
        <v>0</v>
      </c>
      <c r="AS23" s="419" t="s">
        <v>709</v>
      </c>
      <c r="AT23" s="419" t="s">
        <v>710</v>
      </c>
      <c r="AU23" s="419" t="s">
        <v>710</v>
      </c>
      <c r="AV23" s="419" t="s">
        <v>710</v>
      </c>
      <c r="AW23" s="419" t="s">
        <v>710</v>
      </c>
      <c r="AX23" s="419" t="s">
        <v>710</v>
      </c>
      <c r="AY23" s="421">
        <v>0</v>
      </c>
      <c r="AZ23" s="419" t="s">
        <v>709</v>
      </c>
      <c r="BA23" s="421">
        <v>4</v>
      </c>
      <c r="BB23" s="419" t="s">
        <v>759</v>
      </c>
      <c r="BC23" s="421">
        <v>1</v>
      </c>
      <c r="BD23" s="419" t="s">
        <v>709</v>
      </c>
      <c r="BE23" s="421">
        <v>5</v>
      </c>
      <c r="BF23" s="421">
        <v>10</v>
      </c>
      <c r="BG23" s="421">
        <v>2</v>
      </c>
      <c r="BH23" s="421">
        <v>12</v>
      </c>
      <c r="BI23" s="419" t="s">
        <v>751</v>
      </c>
      <c r="BJ23" s="419" t="s">
        <v>751</v>
      </c>
      <c r="BK23" s="419" t="s">
        <v>724</v>
      </c>
      <c r="BL23" s="420">
        <v>0</v>
      </c>
      <c r="BM23" s="419" t="s">
        <v>709</v>
      </c>
      <c r="BN23" s="420">
        <v>0</v>
      </c>
      <c r="BO23" s="420">
        <v>0</v>
      </c>
      <c r="BP23" s="420">
        <v>0</v>
      </c>
      <c r="BQ23" s="420">
        <v>0</v>
      </c>
      <c r="BR23" s="420">
        <v>0</v>
      </c>
      <c r="BS23" s="424">
        <v>0</v>
      </c>
      <c r="BT23" s="419" t="s">
        <v>709</v>
      </c>
      <c r="BU23" s="419" t="s">
        <v>709</v>
      </c>
      <c r="BV23" s="419" t="s">
        <v>709</v>
      </c>
      <c r="BW23" s="420">
        <v>0</v>
      </c>
      <c r="BX23" s="420">
        <v>0</v>
      </c>
      <c r="BY23" s="420">
        <v>0</v>
      </c>
      <c r="BZ23" s="420">
        <v>0</v>
      </c>
      <c r="CA23" s="421">
        <v>0</v>
      </c>
      <c r="CB23" s="421">
        <v>0</v>
      </c>
      <c r="CC23" s="420">
        <v>0</v>
      </c>
      <c r="CD23" s="419" t="s">
        <v>709</v>
      </c>
      <c r="CE23" s="419" t="s">
        <v>709</v>
      </c>
      <c r="CF23" s="421">
        <v>0</v>
      </c>
      <c r="CG23" s="421">
        <v>0</v>
      </c>
      <c r="CH23" s="421">
        <v>1</v>
      </c>
      <c r="CI23" s="421">
        <v>5</v>
      </c>
      <c r="CJ23" s="419" t="s">
        <v>751</v>
      </c>
      <c r="CK23" s="419" t="s">
        <v>709</v>
      </c>
      <c r="CL23" s="419" t="s">
        <v>751</v>
      </c>
      <c r="CM23" s="419" t="s">
        <v>760</v>
      </c>
      <c r="CN23" s="419" t="s">
        <v>709</v>
      </c>
      <c r="CO23" s="419" t="s">
        <v>736</v>
      </c>
      <c r="CP23" s="421">
        <v>0</v>
      </c>
      <c r="CQ23" s="419" t="s">
        <v>709</v>
      </c>
      <c r="CR23" s="421">
        <v>0</v>
      </c>
      <c r="CS23" s="419" t="s">
        <v>709</v>
      </c>
      <c r="CT23" s="421">
        <v>0</v>
      </c>
      <c r="CU23" s="419" t="s">
        <v>709</v>
      </c>
      <c r="CV23" s="419" t="s">
        <v>709</v>
      </c>
      <c r="CW23" s="421">
        <v>0</v>
      </c>
      <c r="CX23" s="419" t="s">
        <v>709</v>
      </c>
      <c r="CY23" s="421">
        <v>0</v>
      </c>
      <c r="CZ23" s="419" t="s">
        <v>709</v>
      </c>
      <c r="DA23" s="421">
        <v>0</v>
      </c>
      <c r="DB23" s="419" t="s">
        <v>709</v>
      </c>
      <c r="DC23" s="419" t="s">
        <v>709</v>
      </c>
      <c r="DD23" s="419" t="s">
        <v>709</v>
      </c>
      <c r="DE23" s="419" t="s">
        <v>709</v>
      </c>
      <c r="DF23" s="419"/>
    </row>
    <row customHeight="true" ht="16.296296296296294" r="24">
      <c r="A24" s="419" t="s">
        <v>761</v>
      </c>
      <c r="B24" s="419" t="s">
        <v>706</v>
      </c>
      <c r="C24" s="419" t="s">
        <v>707</v>
      </c>
      <c r="D24" s="419" t="s">
        <v>707</v>
      </c>
      <c r="E24" s="419" t="s">
        <v>706</v>
      </c>
      <c r="F24" s="419" t="s">
        <v>708</v>
      </c>
      <c r="G24" s="420">
        <v>54.99</v>
      </c>
      <c r="H24" s="420">
        <v>54.99</v>
      </c>
      <c r="I24" s="421">
        <v>193</v>
      </c>
      <c r="J24" s="421">
        <v>0</v>
      </c>
      <c r="K24" s="421">
        <v>0</v>
      </c>
      <c r="L24" s="421">
        <v>0</v>
      </c>
      <c r="M24" s="421">
        <v>0</v>
      </c>
      <c r="N24" s="421">
        <v>0</v>
      </c>
      <c r="O24" s="421">
        <v>193</v>
      </c>
      <c r="P24" s="421">
        <v>0</v>
      </c>
      <c r="Q24" s="420">
        <v>0</v>
      </c>
      <c r="R24" s="421">
        <v>0</v>
      </c>
      <c r="S24" s="420">
        <v>0</v>
      </c>
      <c r="T24" s="419" t="s">
        <v>709</v>
      </c>
      <c r="U24" s="419" t="s">
        <v>709</v>
      </c>
      <c r="V24" s="419" t="s">
        <v>709</v>
      </c>
      <c r="W24" s="419" t="s">
        <v>709</v>
      </c>
      <c r="X24" s="419" t="s">
        <v>709</v>
      </c>
      <c r="Y24" s="419" t="s">
        <v>709</v>
      </c>
      <c r="Z24" s="421">
        <v>0</v>
      </c>
      <c r="AA24" s="420">
        <v>0</v>
      </c>
      <c r="AB24" s="421">
        <v>0</v>
      </c>
      <c r="AC24" s="420">
        <v>0</v>
      </c>
      <c r="AD24" s="421">
        <v>0</v>
      </c>
      <c r="AE24" s="420">
        <v>0</v>
      </c>
      <c r="AF24" s="421">
        <v>0</v>
      </c>
      <c r="AG24" s="420">
        <v>0</v>
      </c>
      <c r="AH24" s="422">
        <v>0</v>
      </c>
      <c r="AI24" s="420">
        <v>0</v>
      </c>
      <c r="AJ24" s="422">
        <v>0</v>
      </c>
      <c r="AK24" s="420">
        <v>0</v>
      </c>
      <c r="AL24" s="419" t="s">
        <v>762</v>
      </c>
      <c r="AM24" s="419" t="s">
        <v>763</v>
      </c>
      <c r="AN24" s="421">
        <v>0</v>
      </c>
      <c r="AO24" s="420">
        <v>0</v>
      </c>
      <c r="AP24" s="419" t="s">
        <v>709</v>
      </c>
      <c r="AQ24" s="423">
        <v>0</v>
      </c>
      <c r="AR24" s="421">
        <v>0</v>
      </c>
      <c r="AS24" s="419" t="s">
        <v>709</v>
      </c>
      <c r="AT24" s="419" t="s">
        <v>710</v>
      </c>
      <c r="AU24" s="419" t="s">
        <v>710</v>
      </c>
      <c r="AV24" s="419" t="s">
        <v>710</v>
      </c>
      <c r="AW24" s="419" t="s">
        <v>710</v>
      </c>
      <c r="AX24" s="419" t="s">
        <v>710</v>
      </c>
      <c r="AY24" s="421">
        <v>0</v>
      </c>
      <c r="AZ24" s="419" t="s">
        <v>709</v>
      </c>
      <c r="BA24" s="421">
        <v>0</v>
      </c>
      <c r="BB24" s="419" t="s">
        <v>709</v>
      </c>
      <c r="BC24" s="421">
        <v>0</v>
      </c>
      <c r="BD24" s="419" t="s">
        <v>709</v>
      </c>
      <c r="BE24" s="421">
        <v>0</v>
      </c>
      <c r="BF24" s="421">
        <v>0</v>
      </c>
      <c r="BG24" s="421">
        <v>0</v>
      </c>
      <c r="BH24" s="421">
        <v>0</v>
      </c>
      <c r="BI24" s="419" t="s">
        <v>709</v>
      </c>
      <c r="BJ24" s="419" t="s">
        <v>709</v>
      </c>
      <c r="BK24" s="419" t="s">
        <v>709</v>
      </c>
      <c r="BL24" s="420">
        <v>0</v>
      </c>
      <c r="BM24" s="419" t="s">
        <v>709</v>
      </c>
      <c r="BN24" s="420">
        <v>0</v>
      </c>
      <c r="BO24" s="420">
        <v>0</v>
      </c>
      <c r="BP24" s="420">
        <v>0</v>
      </c>
      <c r="BQ24" s="420">
        <v>0</v>
      </c>
      <c r="BR24" s="420">
        <v>0</v>
      </c>
      <c r="BS24" s="424">
        <v>0</v>
      </c>
      <c r="BT24" s="419" t="s">
        <v>709</v>
      </c>
      <c r="BU24" s="419" t="s">
        <v>709</v>
      </c>
      <c r="BV24" s="419" t="s">
        <v>709</v>
      </c>
      <c r="BW24" s="420">
        <v>0</v>
      </c>
      <c r="BX24" s="420">
        <v>0</v>
      </c>
      <c r="BY24" s="420">
        <v>0</v>
      </c>
      <c r="BZ24" s="420">
        <v>0</v>
      </c>
      <c r="CA24" s="421">
        <v>0</v>
      </c>
      <c r="CB24" s="421">
        <v>0</v>
      </c>
      <c r="CC24" s="420">
        <v>0</v>
      </c>
      <c r="CD24" s="419" t="s">
        <v>709</v>
      </c>
      <c r="CE24" s="419" t="s">
        <v>709</v>
      </c>
      <c r="CF24" s="421">
        <v>0</v>
      </c>
      <c r="CG24" s="421">
        <v>0</v>
      </c>
      <c r="CH24" s="421">
        <v>0</v>
      </c>
      <c r="CI24" s="421">
        <v>0</v>
      </c>
      <c r="CJ24" s="419" t="s">
        <v>709</v>
      </c>
      <c r="CK24" s="419" t="s">
        <v>709</v>
      </c>
      <c r="CL24" s="419" t="s">
        <v>709</v>
      </c>
      <c r="CM24" s="419" t="s">
        <v>709</v>
      </c>
      <c r="CN24" s="419" t="s">
        <v>709</v>
      </c>
      <c r="CO24" s="419" t="s">
        <v>709</v>
      </c>
      <c r="CP24" s="421">
        <v>0</v>
      </c>
      <c r="CQ24" s="419" t="s">
        <v>709</v>
      </c>
      <c r="CR24" s="421">
        <v>0</v>
      </c>
      <c r="CS24" s="419" t="s">
        <v>709</v>
      </c>
      <c r="CT24" s="421">
        <v>0</v>
      </c>
      <c r="CU24" s="419" t="s">
        <v>709</v>
      </c>
      <c r="CV24" s="419" t="s">
        <v>709</v>
      </c>
      <c r="CW24" s="421">
        <v>0</v>
      </c>
      <c r="CX24" s="419" t="s">
        <v>709</v>
      </c>
      <c r="CY24" s="421">
        <v>0</v>
      </c>
      <c r="CZ24" s="419" t="s">
        <v>709</v>
      </c>
      <c r="DA24" s="421">
        <v>0</v>
      </c>
      <c r="DB24" s="419" t="s">
        <v>709</v>
      </c>
      <c r="DC24" s="419" t="s">
        <v>709</v>
      </c>
      <c r="DD24" s="419" t="s">
        <v>709</v>
      </c>
      <c r="DE24" s="419" t="s">
        <v>709</v>
      </c>
      <c r="DF24" s="419"/>
    </row>
    <row customHeight="true" ht="19.25925925925926" r="25">
      <c r="A25" s="419" t="s">
        <v>764</v>
      </c>
      <c r="B25" s="419" t="s">
        <v>706</v>
      </c>
      <c r="C25" s="419" t="s">
        <v>707</v>
      </c>
      <c r="D25" s="419" t="s">
        <v>707</v>
      </c>
      <c r="E25" s="419" t="s">
        <v>706</v>
      </c>
      <c r="F25" s="419" t="s">
        <v>708</v>
      </c>
      <c r="G25" s="420">
        <v>54.99</v>
      </c>
      <c r="H25" s="420">
        <v>54.99</v>
      </c>
      <c r="I25" s="421">
        <v>193</v>
      </c>
      <c r="J25" s="421">
        <v>0</v>
      </c>
      <c r="K25" s="421">
        <v>0</v>
      </c>
      <c r="L25" s="421">
        <v>0</v>
      </c>
      <c r="M25" s="421">
        <v>0</v>
      </c>
      <c r="N25" s="421">
        <v>0</v>
      </c>
      <c r="O25" s="421">
        <v>193</v>
      </c>
      <c r="P25" s="421">
        <v>0</v>
      </c>
      <c r="Q25" s="420">
        <v>0</v>
      </c>
      <c r="R25" s="421">
        <v>0</v>
      </c>
      <c r="S25" s="420">
        <v>0</v>
      </c>
      <c r="T25" s="419" t="s">
        <v>709</v>
      </c>
      <c r="U25" s="419" t="s">
        <v>709</v>
      </c>
      <c r="V25" s="419" t="s">
        <v>709</v>
      </c>
      <c r="W25" s="419" t="s">
        <v>709</v>
      </c>
      <c r="X25" s="419" t="s">
        <v>709</v>
      </c>
      <c r="Y25" s="419" t="s">
        <v>709</v>
      </c>
      <c r="Z25" s="421">
        <v>0</v>
      </c>
      <c r="AA25" s="420">
        <v>0</v>
      </c>
      <c r="AB25" s="421">
        <v>0</v>
      </c>
      <c r="AC25" s="420">
        <v>0</v>
      </c>
      <c r="AD25" s="421">
        <v>0</v>
      </c>
      <c r="AE25" s="420">
        <v>0</v>
      </c>
      <c r="AF25" s="421">
        <v>0</v>
      </c>
      <c r="AG25" s="420">
        <v>0</v>
      </c>
      <c r="AH25" s="422">
        <v>0</v>
      </c>
      <c r="AI25" s="420">
        <v>0</v>
      </c>
      <c r="AJ25" s="422">
        <v>0</v>
      </c>
      <c r="AK25" s="420">
        <v>0</v>
      </c>
      <c r="AL25" s="419" t="s">
        <v>762</v>
      </c>
      <c r="AM25" s="419" t="s">
        <v>763</v>
      </c>
      <c r="AN25" s="421">
        <v>0</v>
      </c>
      <c r="AO25" s="420">
        <v>0</v>
      </c>
      <c r="AP25" s="419" t="s">
        <v>709</v>
      </c>
      <c r="AQ25" s="423">
        <v>0</v>
      </c>
      <c r="AR25" s="421">
        <v>0</v>
      </c>
      <c r="AS25" s="419" t="s">
        <v>709</v>
      </c>
      <c r="AT25" s="419" t="s">
        <v>710</v>
      </c>
      <c r="AU25" s="419" t="s">
        <v>710</v>
      </c>
      <c r="AV25" s="419" t="s">
        <v>710</v>
      </c>
      <c r="AW25" s="419" t="s">
        <v>710</v>
      </c>
      <c r="AX25" s="419" t="s">
        <v>710</v>
      </c>
      <c r="AY25" s="421">
        <v>0</v>
      </c>
      <c r="AZ25" s="419" t="s">
        <v>709</v>
      </c>
      <c r="BA25" s="421">
        <v>0</v>
      </c>
      <c r="BB25" s="419" t="s">
        <v>709</v>
      </c>
      <c r="BC25" s="421">
        <v>0</v>
      </c>
      <c r="BD25" s="419" t="s">
        <v>709</v>
      </c>
      <c r="BE25" s="421">
        <v>0</v>
      </c>
      <c r="BF25" s="421">
        <v>0</v>
      </c>
      <c r="BG25" s="421">
        <v>0</v>
      </c>
      <c r="BH25" s="421">
        <v>0</v>
      </c>
      <c r="BI25" s="419" t="s">
        <v>709</v>
      </c>
      <c r="BJ25" s="419" t="s">
        <v>709</v>
      </c>
      <c r="BK25" s="419" t="s">
        <v>709</v>
      </c>
      <c r="BL25" s="420">
        <v>0</v>
      </c>
      <c r="BM25" s="419" t="s">
        <v>709</v>
      </c>
      <c r="BN25" s="420">
        <v>0</v>
      </c>
      <c r="BO25" s="420">
        <v>0</v>
      </c>
      <c r="BP25" s="420">
        <v>0</v>
      </c>
      <c r="BQ25" s="420">
        <v>0</v>
      </c>
      <c r="BR25" s="420">
        <v>0</v>
      </c>
      <c r="BS25" s="424">
        <v>0</v>
      </c>
      <c r="BT25" s="419" t="s">
        <v>709</v>
      </c>
      <c r="BU25" s="419" t="s">
        <v>709</v>
      </c>
      <c r="BV25" s="419" t="s">
        <v>709</v>
      </c>
      <c r="BW25" s="420">
        <v>0</v>
      </c>
      <c r="BX25" s="420">
        <v>0</v>
      </c>
      <c r="BY25" s="420">
        <v>0</v>
      </c>
      <c r="BZ25" s="420">
        <v>0</v>
      </c>
      <c r="CA25" s="421">
        <v>0</v>
      </c>
      <c r="CB25" s="421">
        <v>0</v>
      </c>
      <c r="CC25" s="420">
        <v>0</v>
      </c>
      <c r="CD25" s="419" t="s">
        <v>709</v>
      </c>
      <c r="CE25" s="419" t="s">
        <v>709</v>
      </c>
      <c r="CF25" s="421">
        <v>0</v>
      </c>
      <c r="CG25" s="421">
        <v>0</v>
      </c>
      <c r="CH25" s="421">
        <v>0</v>
      </c>
      <c r="CI25" s="421">
        <v>0</v>
      </c>
      <c r="CJ25" s="419" t="s">
        <v>709</v>
      </c>
      <c r="CK25" s="419" t="s">
        <v>709</v>
      </c>
      <c r="CL25" s="419" t="s">
        <v>709</v>
      </c>
      <c r="CM25" s="419" t="s">
        <v>709</v>
      </c>
      <c r="CN25" s="419" t="s">
        <v>709</v>
      </c>
      <c r="CO25" s="419" t="s">
        <v>709</v>
      </c>
      <c r="CP25" s="421">
        <v>0</v>
      </c>
      <c r="CQ25" s="419" t="s">
        <v>709</v>
      </c>
      <c r="CR25" s="421">
        <v>0</v>
      </c>
      <c r="CS25" s="419" t="s">
        <v>709</v>
      </c>
      <c r="CT25" s="421">
        <v>0</v>
      </c>
      <c r="CU25" s="419" t="s">
        <v>709</v>
      </c>
      <c r="CV25" s="419" t="s">
        <v>709</v>
      </c>
      <c r="CW25" s="421">
        <v>0</v>
      </c>
      <c r="CX25" s="419" t="s">
        <v>709</v>
      </c>
      <c r="CY25" s="421">
        <v>0</v>
      </c>
      <c r="CZ25" s="419" t="s">
        <v>709</v>
      </c>
      <c r="DA25" s="421">
        <v>0</v>
      </c>
      <c r="DB25" s="419" t="s">
        <v>709</v>
      </c>
      <c r="DC25" s="419" t="s">
        <v>709</v>
      </c>
      <c r="DD25" s="419" t="s">
        <v>709</v>
      </c>
      <c r="DE25" s="419" t="s">
        <v>709</v>
      </c>
      <c r="DF25" s="419"/>
    </row>
    <row r="26">
      <c r="A26" s="425"/>
      <c r="B26" s="425"/>
      <c r="C26" s="425"/>
      <c r="D26" s="425"/>
      <c r="E26" s="425"/>
      <c r="F26" s="425"/>
      <c r="G26" s="426"/>
      <c r="H26" s="426"/>
      <c r="I26" s="427"/>
      <c r="J26" s="427"/>
      <c r="K26" s="427"/>
      <c r="L26" s="427"/>
      <c r="M26" s="427"/>
      <c r="N26" s="427"/>
      <c r="O26" s="427"/>
      <c r="P26" s="427"/>
      <c r="Q26" s="426"/>
      <c r="R26" s="427"/>
      <c r="S26" s="426"/>
      <c r="T26" s="425"/>
      <c r="U26" s="425"/>
      <c r="V26" s="425"/>
      <c r="W26" s="425"/>
      <c r="X26" s="425"/>
      <c r="Y26" s="425"/>
      <c r="Z26" s="427"/>
      <c r="AA26" s="426"/>
      <c r="AB26" s="427"/>
      <c r="AC26" s="426"/>
      <c r="AD26" s="427"/>
      <c r="AE26" s="426"/>
      <c r="AF26" s="427"/>
      <c r="AG26" s="426"/>
      <c r="AH26" s="428"/>
      <c r="AI26" s="426"/>
      <c r="AJ26" s="428"/>
      <c r="AK26" s="426"/>
      <c r="AL26" s="425"/>
      <c r="AM26" s="425"/>
      <c r="AN26" s="427"/>
      <c r="AO26" s="426"/>
      <c r="AP26" s="425"/>
      <c r="AQ26" s="429"/>
      <c r="AR26" s="427"/>
      <c r="AS26" s="425"/>
      <c r="AT26" s="425"/>
      <c r="AU26" s="425"/>
      <c r="AV26" s="425"/>
      <c r="AW26" s="425"/>
      <c r="AX26" s="425"/>
      <c r="AY26" s="427"/>
      <c r="AZ26" s="425"/>
      <c r="BA26" s="427"/>
      <c r="BB26" s="425"/>
      <c r="BC26" s="427"/>
      <c r="BD26" s="425"/>
      <c r="BE26" s="427"/>
      <c r="BF26" s="427"/>
      <c r="BG26" s="427"/>
      <c r="BH26" s="427"/>
      <c r="BI26" s="425"/>
      <c r="BJ26" s="425"/>
      <c r="BK26" s="425"/>
      <c r="BL26" s="426"/>
      <c r="BM26" s="425"/>
      <c r="BN26" s="426"/>
      <c r="BO26" s="426"/>
      <c r="BP26" s="426"/>
      <c r="BQ26" s="426"/>
      <c r="BR26" s="426"/>
      <c r="BS26" s="430"/>
      <c r="BT26" s="425"/>
      <c r="BU26" s="425"/>
      <c r="BV26" s="425"/>
      <c r="BW26" s="426"/>
      <c r="BX26" s="426"/>
      <c r="BY26" s="426"/>
      <c r="BZ26" s="426"/>
      <c r="CA26" s="427"/>
      <c r="CB26" s="427"/>
      <c r="CC26" s="426"/>
      <c r="CD26" s="425"/>
      <c r="CE26" s="425"/>
      <c r="CF26" s="427"/>
      <c r="CG26" s="427"/>
      <c r="CH26" s="427"/>
      <c r="CI26" s="427"/>
      <c r="CJ26" s="425"/>
      <c r="CK26" s="425"/>
      <c r="CL26" s="425"/>
      <c r="CM26" s="425"/>
      <c r="CN26" s="425"/>
      <c r="CO26" s="425"/>
      <c r="CP26" s="427"/>
      <c r="CQ26" s="425"/>
      <c r="CR26" s="427"/>
      <c r="CS26" s="425"/>
      <c r="CT26" s="427"/>
      <c r="CU26" s="425"/>
      <c r="CV26" s="425"/>
      <c r="CW26" s="427"/>
      <c r="CX26" s="425"/>
      <c r="CY26" s="427"/>
      <c r="CZ26" s="425"/>
      <c r="DA26" s="427"/>
      <c r="DB26" s="425"/>
      <c r="DC26" s="425"/>
      <c r="DD26" s="425"/>
      <c r="DE26" s="425"/>
      <c r="DF26" s="425"/>
    </row>
    <row r="27">
      <c r="A27" s="425"/>
      <c r="B27" s="425"/>
      <c r="C27" s="425"/>
      <c r="D27" s="425"/>
      <c r="E27" s="425"/>
      <c r="F27" s="425"/>
      <c r="G27" s="426"/>
      <c r="H27" s="426"/>
      <c r="I27" s="427"/>
      <c r="J27" s="427"/>
      <c r="K27" s="427"/>
      <c r="L27" s="427"/>
      <c r="M27" s="427"/>
      <c r="N27" s="427"/>
      <c r="O27" s="427"/>
      <c r="P27" s="427"/>
      <c r="Q27" s="426"/>
      <c r="R27" s="427"/>
      <c r="S27" s="426"/>
      <c r="T27" s="425"/>
      <c r="U27" s="425"/>
      <c r="V27" s="425"/>
      <c r="W27" s="425"/>
      <c r="X27" s="425"/>
      <c r="Y27" s="425"/>
      <c r="Z27" s="427"/>
      <c r="AA27" s="426"/>
      <c r="AB27" s="427"/>
      <c r="AC27" s="426"/>
      <c r="AD27" s="427"/>
      <c r="AE27" s="426"/>
      <c r="AF27" s="427"/>
      <c r="AG27" s="426"/>
      <c r="AH27" s="428"/>
      <c r="AI27" s="426"/>
      <c r="AJ27" s="428"/>
      <c r="AK27" s="426"/>
      <c r="AL27" s="425"/>
      <c r="AM27" s="425"/>
      <c r="AN27" s="427"/>
      <c r="AO27" s="426"/>
      <c r="AP27" s="425"/>
      <c r="AQ27" s="429"/>
      <c r="AR27" s="427"/>
      <c r="AS27" s="425"/>
      <c r="AT27" s="425"/>
      <c r="AU27" s="425"/>
      <c r="AV27" s="425"/>
      <c r="AW27" s="425"/>
      <c r="AX27" s="425"/>
      <c r="AY27" s="427"/>
      <c r="AZ27" s="425"/>
      <c r="BA27" s="427"/>
      <c r="BB27" s="425"/>
      <c r="BC27" s="427"/>
      <c r="BD27" s="425"/>
      <c r="BE27" s="427"/>
      <c r="BF27" s="427"/>
      <c r="BG27" s="427"/>
      <c r="BH27" s="427"/>
      <c r="BI27" s="425"/>
      <c r="BJ27" s="425"/>
      <c r="BK27" s="425"/>
      <c r="BL27" s="426"/>
      <c r="BM27" s="425"/>
      <c r="BN27" s="426"/>
      <c r="BO27" s="426"/>
      <c r="BP27" s="426"/>
      <c r="BQ27" s="426"/>
      <c r="BR27" s="426"/>
      <c r="BS27" s="430"/>
      <c r="BT27" s="425"/>
      <c r="BU27" s="425"/>
      <c r="BV27" s="425"/>
      <c r="BW27" s="426"/>
      <c r="BX27" s="426"/>
      <c r="BY27" s="426"/>
      <c r="BZ27" s="426"/>
      <c r="CA27" s="427"/>
      <c r="CB27" s="427"/>
      <c r="CC27" s="426"/>
      <c r="CD27" s="425"/>
      <c r="CE27" s="425"/>
      <c r="CF27" s="427"/>
      <c r="CG27" s="427"/>
      <c r="CH27" s="427"/>
      <c r="CI27" s="427"/>
      <c r="CJ27" s="425"/>
      <c r="CK27" s="425"/>
      <c r="CL27" s="425"/>
      <c r="CM27" s="425"/>
      <c r="CN27" s="425"/>
      <c r="CO27" s="425"/>
      <c r="CP27" s="427"/>
      <c r="CQ27" s="425"/>
      <c r="CR27" s="427"/>
      <c r="CS27" s="425"/>
      <c r="CT27" s="427"/>
      <c r="CU27" s="425"/>
      <c r="CV27" s="425"/>
      <c r="CW27" s="427"/>
      <c r="CX27" s="425"/>
      <c r="CY27" s="427"/>
      <c r="CZ27" s="425"/>
      <c r="DA27" s="427"/>
      <c r="DB27" s="425"/>
      <c r="DC27" s="425"/>
      <c r="DD27" s="425"/>
      <c r="DE27" s="425"/>
      <c r="DF27" s="425"/>
    </row>
    <row r="28">
      <c r="A28" s="425"/>
      <c r="B28" s="425"/>
      <c r="C28" s="425"/>
      <c r="D28" s="425"/>
      <c r="E28" s="425"/>
      <c r="F28" s="425"/>
      <c r="G28" s="426"/>
      <c r="H28" s="426"/>
      <c r="I28" s="427"/>
      <c r="J28" s="427"/>
      <c r="K28" s="427"/>
      <c r="L28" s="427"/>
      <c r="M28" s="427"/>
      <c r="N28" s="427"/>
      <c r="O28" s="427"/>
      <c r="P28" s="427"/>
      <c r="Q28" s="426"/>
      <c r="R28" s="427"/>
      <c r="S28" s="426"/>
      <c r="T28" s="425"/>
      <c r="U28" s="425"/>
      <c r="V28" s="425"/>
      <c r="W28" s="425"/>
      <c r="X28" s="425"/>
      <c r="Y28" s="425"/>
      <c r="Z28" s="427"/>
      <c r="AA28" s="426"/>
      <c r="AB28" s="427"/>
      <c r="AC28" s="426"/>
      <c r="AD28" s="427"/>
      <c r="AE28" s="426"/>
      <c r="AF28" s="427"/>
      <c r="AG28" s="426"/>
      <c r="AH28" s="428"/>
      <c r="AI28" s="426"/>
      <c r="AJ28" s="428"/>
      <c r="AK28" s="426"/>
      <c r="AL28" s="425"/>
      <c r="AM28" s="425"/>
      <c r="AN28" s="427"/>
      <c r="AO28" s="426"/>
      <c r="AP28" s="425"/>
      <c r="AQ28" s="429"/>
      <c r="AR28" s="427"/>
      <c r="AS28" s="425"/>
      <c r="AT28" s="425"/>
      <c r="AU28" s="425"/>
      <c r="AV28" s="425"/>
      <c r="AW28" s="425"/>
      <c r="AX28" s="425"/>
      <c r="AY28" s="427"/>
      <c r="AZ28" s="425"/>
      <c r="BA28" s="427"/>
      <c r="BB28" s="425"/>
      <c r="BC28" s="427"/>
      <c r="BD28" s="425"/>
      <c r="BE28" s="427"/>
      <c r="BF28" s="427"/>
      <c r="BG28" s="427"/>
      <c r="BH28" s="427"/>
      <c r="BI28" s="425"/>
      <c r="BJ28" s="425"/>
      <c r="BK28" s="425"/>
      <c r="BL28" s="426"/>
      <c r="BM28" s="425"/>
      <c r="BN28" s="426"/>
      <c r="BO28" s="426"/>
      <c r="BP28" s="426"/>
      <c r="BQ28" s="426"/>
      <c r="BR28" s="426"/>
      <c r="BS28" s="430"/>
      <c r="BT28" s="425"/>
      <c r="BU28" s="425"/>
      <c r="BV28" s="425"/>
      <c r="BW28" s="426"/>
      <c r="BX28" s="426"/>
      <c r="BY28" s="426"/>
      <c r="BZ28" s="426"/>
      <c r="CA28" s="427"/>
      <c r="CB28" s="427"/>
      <c r="CC28" s="426"/>
      <c r="CD28" s="425"/>
      <c r="CE28" s="425"/>
      <c r="CF28" s="427"/>
      <c r="CG28" s="427"/>
      <c r="CH28" s="427"/>
      <c r="CI28" s="427"/>
      <c r="CJ28" s="425"/>
      <c r="CK28" s="425"/>
      <c r="CL28" s="425"/>
      <c r="CM28" s="425"/>
      <c r="CN28" s="425"/>
      <c r="CO28" s="425"/>
      <c r="CP28" s="427"/>
      <c r="CQ28" s="425"/>
      <c r="CR28" s="427"/>
      <c r="CS28" s="425"/>
      <c r="CT28" s="427"/>
      <c r="CU28" s="425"/>
      <c r="CV28" s="425"/>
      <c r="CW28" s="427"/>
      <c r="CX28" s="425"/>
      <c r="CY28" s="427"/>
      <c r="CZ28" s="425"/>
      <c r="DA28" s="427"/>
      <c r="DB28" s="425"/>
      <c r="DC28" s="425"/>
      <c r="DD28" s="425"/>
      <c r="DE28" s="425"/>
      <c r="DF28" s="425"/>
    </row>
    <row r="29">
      <c r="A29" s="425"/>
      <c r="B29" s="425"/>
      <c r="C29" s="425"/>
      <c r="D29" s="425"/>
      <c r="E29" s="425"/>
      <c r="F29" s="425"/>
      <c r="G29" s="426"/>
      <c r="H29" s="426"/>
      <c r="I29" s="427"/>
      <c r="J29" s="427"/>
      <c r="K29" s="427"/>
      <c r="L29" s="427"/>
      <c r="M29" s="427"/>
      <c r="N29" s="427"/>
      <c r="O29" s="427"/>
      <c r="P29" s="427"/>
      <c r="Q29" s="426"/>
      <c r="R29" s="427"/>
      <c r="S29" s="426"/>
      <c r="T29" s="425"/>
      <c r="U29" s="425"/>
      <c r="V29" s="425"/>
      <c r="W29" s="425"/>
      <c r="X29" s="425"/>
      <c r="Y29" s="425"/>
      <c r="Z29" s="427"/>
      <c r="AA29" s="426"/>
      <c r="AB29" s="427"/>
      <c r="AC29" s="426"/>
      <c r="AD29" s="427"/>
      <c r="AE29" s="426"/>
      <c r="AF29" s="427"/>
      <c r="AG29" s="426"/>
      <c r="AH29" s="428"/>
      <c r="AI29" s="426"/>
      <c r="AJ29" s="428"/>
      <c r="AK29" s="426"/>
      <c r="AL29" s="425"/>
      <c r="AM29" s="425"/>
      <c r="AN29" s="427"/>
      <c r="AO29" s="426"/>
      <c r="AP29" s="425"/>
      <c r="AQ29" s="429"/>
      <c r="AR29" s="427"/>
      <c r="AS29" s="425"/>
      <c r="AT29" s="425"/>
      <c r="AU29" s="425"/>
      <c r="AV29" s="425"/>
      <c r="AW29" s="425"/>
      <c r="AX29" s="425"/>
      <c r="AY29" s="427"/>
      <c r="AZ29" s="425"/>
      <c r="BA29" s="427"/>
      <c r="BB29" s="425"/>
      <c r="BC29" s="427"/>
      <c r="BD29" s="425"/>
      <c r="BE29" s="427"/>
      <c r="BF29" s="427"/>
      <c r="BG29" s="427"/>
      <c r="BH29" s="427"/>
      <c r="BI29" s="425"/>
      <c r="BJ29" s="425"/>
      <c r="BK29" s="425"/>
      <c r="BL29" s="426"/>
      <c r="BM29" s="425"/>
      <c r="BN29" s="426"/>
      <c r="BO29" s="426"/>
      <c r="BP29" s="426"/>
      <c r="BQ29" s="426"/>
      <c r="BR29" s="426"/>
      <c r="BS29" s="430"/>
      <c r="BT29" s="425"/>
      <c r="BU29" s="425"/>
      <c r="BV29" s="425"/>
      <c r="BW29" s="426"/>
      <c r="BX29" s="426"/>
      <c r="BY29" s="426"/>
      <c r="BZ29" s="426"/>
      <c r="CA29" s="427"/>
      <c r="CB29" s="427"/>
      <c r="CC29" s="426"/>
      <c r="CD29" s="425"/>
      <c r="CE29" s="425"/>
      <c r="CF29" s="427"/>
      <c r="CG29" s="427"/>
      <c r="CH29" s="427"/>
      <c r="CI29" s="427"/>
      <c r="CJ29" s="425"/>
      <c r="CK29" s="425"/>
      <c r="CL29" s="425"/>
      <c r="CM29" s="425"/>
      <c r="CN29" s="425"/>
      <c r="CO29" s="425"/>
      <c r="CP29" s="427"/>
      <c r="CQ29" s="425"/>
      <c r="CR29" s="427"/>
      <c r="CS29" s="425"/>
      <c r="CT29" s="427"/>
      <c r="CU29" s="425"/>
      <c r="CV29" s="425"/>
      <c r="CW29" s="427"/>
      <c r="CX29" s="425"/>
      <c r="CY29" s="427"/>
      <c r="CZ29" s="425"/>
      <c r="DA29" s="427"/>
      <c r="DB29" s="425"/>
      <c r="DC29" s="425"/>
      <c r="DD29" s="425"/>
      <c r="DE29" s="425"/>
      <c r="DF29" s="425"/>
    </row>
    <row r="30">
      <c r="A30" s="425"/>
      <c r="B30" s="425"/>
      <c r="C30" s="425"/>
      <c r="D30" s="425"/>
      <c r="E30" s="425"/>
      <c r="F30" s="425"/>
      <c r="G30" s="426"/>
      <c r="H30" s="426"/>
      <c r="I30" s="427"/>
      <c r="J30" s="427"/>
      <c r="K30" s="427"/>
      <c r="L30" s="427"/>
      <c r="M30" s="427"/>
      <c r="N30" s="427"/>
      <c r="O30" s="427"/>
      <c r="P30" s="427"/>
      <c r="Q30" s="426"/>
      <c r="R30" s="427"/>
      <c r="S30" s="426"/>
      <c r="T30" s="425"/>
      <c r="U30" s="425"/>
      <c r="V30" s="425"/>
      <c r="W30" s="425"/>
      <c r="X30" s="425"/>
      <c r="Y30" s="425"/>
      <c r="Z30" s="427"/>
      <c r="AA30" s="426"/>
      <c r="AB30" s="427"/>
      <c r="AC30" s="426"/>
      <c r="AD30" s="427"/>
      <c r="AE30" s="426"/>
      <c r="AF30" s="427"/>
      <c r="AG30" s="426"/>
      <c r="AH30" s="428"/>
      <c r="AI30" s="426"/>
      <c r="AJ30" s="428"/>
      <c r="AK30" s="426"/>
      <c r="AL30" s="425"/>
      <c r="AM30" s="425"/>
      <c r="AN30" s="427"/>
      <c r="AO30" s="426"/>
      <c r="AP30" s="425"/>
      <c r="AQ30" s="429"/>
      <c r="AR30" s="427"/>
      <c r="AS30" s="425"/>
      <c r="AT30" s="425"/>
      <c r="AU30" s="425"/>
      <c r="AV30" s="425"/>
      <c r="AW30" s="425"/>
      <c r="AX30" s="425"/>
      <c r="AY30" s="427"/>
      <c r="AZ30" s="425"/>
      <c r="BA30" s="427"/>
      <c r="BB30" s="425"/>
      <c r="BC30" s="427"/>
      <c r="BD30" s="425"/>
      <c r="BE30" s="427"/>
      <c r="BF30" s="427"/>
      <c r="BG30" s="427"/>
      <c r="BH30" s="427"/>
      <c r="BI30" s="425"/>
      <c r="BJ30" s="425"/>
      <c r="BK30" s="425"/>
      <c r="BL30" s="426"/>
      <c r="BM30" s="425"/>
      <c r="BN30" s="426"/>
      <c r="BO30" s="426"/>
      <c r="BP30" s="426"/>
      <c r="BQ30" s="426"/>
      <c r="BR30" s="426"/>
      <c r="BS30" s="430"/>
      <c r="BT30" s="425"/>
      <c r="BU30" s="425"/>
      <c r="BV30" s="425"/>
      <c r="BW30" s="426"/>
      <c r="BX30" s="426"/>
      <c r="BY30" s="426"/>
      <c r="BZ30" s="426"/>
      <c r="CA30" s="427"/>
      <c r="CB30" s="427"/>
      <c r="CC30" s="426"/>
      <c r="CD30" s="425"/>
      <c r="CE30" s="425"/>
      <c r="CF30" s="427"/>
      <c r="CG30" s="427"/>
      <c r="CH30" s="427"/>
      <c r="CI30" s="427"/>
      <c r="CJ30" s="425"/>
      <c r="CK30" s="425"/>
      <c r="CL30" s="425"/>
      <c r="CM30" s="425"/>
      <c r="CN30" s="425"/>
      <c r="CO30" s="425"/>
      <c r="CP30" s="427"/>
      <c r="CQ30" s="425"/>
      <c r="CR30" s="427"/>
      <c r="CS30" s="425"/>
      <c r="CT30" s="427"/>
      <c r="CU30" s="425"/>
      <c r="CV30" s="425"/>
      <c r="CW30" s="427"/>
      <c r="CX30" s="425"/>
      <c r="CY30" s="427"/>
      <c r="CZ30" s="425"/>
      <c r="DA30" s="427"/>
      <c r="DB30" s="425"/>
      <c r="DC30" s="425"/>
      <c r="DD30" s="425"/>
      <c r="DE30" s="425"/>
      <c r="DF30" s="425"/>
    </row>
    <row r="31">
      <c r="A31" s="425"/>
      <c r="B31" s="425"/>
      <c r="C31" s="425"/>
      <c r="D31" s="425"/>
      <c r="E31" s="425"/>
      <c r="F31" s="425"/>
      <c r="G31" s="426"/>
      <c r="H31" s="426"/>
      <c r="I31" s="427"/>
      <c r="J31" s="427"/>
      <c r="K31" s="427"/>
      <c r="L31" s="427"/>
      <c r="M31" s="427"/>
      <c r="N31" s="427"/>
      <c r="O31" s="427"/>
      <c r="P31" s="427"/>
      <c r="Q31" s="426"/>
      <c r="R31" s="427"/>
      <c r="S31" s="426"/>
      <c r="T31" s="425"/>
      <c r="U31" s="425"/>
      <c r="V31" s="425"/>
      <c r="W31" s="425"/>
      <c r="X31" s="425"/>
      <c r="Y31" s="425"/>
      <c r="Z31" s="427"/>
      <c r="AA31" s="426"/>
      <c r="AB31" s="427"/>
      <c r="AC31" s="426"/>
      <c r="AD31" s="427"/>
      <c r="AE31" s="426"/>
      <c r="AF31" s="427"/>
      <c r="AG31" s="426"/>
      <c r="AH31" s="428"/>
      <c r="AI31" s="426"/>
      <c r="AJ31" s="428"/>
      <c r="AK31" s="426"/>
      <c r="AL31" s="425"/>
      <c r="AM31" s="425"/>
      <c r="AN31" s="427"/>
      <c r="AO31" s="426"/>
      <c r="AP31" s="425"/>
      <c r="AQ31" s="429"/>
      <c r="AR31" s="427"/>
      <c r="AS31" s="425"/>
      <c r="AT31" s="425"/>
      <c r="AU31" s="425"/>
      <c r="AV31" s="425"/>
      <c r="AW31" s="425"/>
      <c r="AX31" s="425"/>
      <c r="AY31" s="427"/>
      <c r="AZ31" s="425"/>
      <c r="BA31" s="427"/>
      <c r="BB31" s="425"/>
      <c r="BC31" s="427"/>
      <c r="BD31" s="425"/>
      <c r="BE31" s="427"/>
      <c r="BF31" s="427"/>
      <c r="BG31" s="427"/>
      <c r="BH31" s="427"/>
      <c r="BI31" s="425"/>
      <c r="BJ31" s="425"/>
      <c r="BK31" s="425"/>
      <c r="BL31" s="426"/>
      <c r="BM31" s="425"/>
      <c r="BN31" s="426"/>
      <c r="BO31" s="426"/>
      <c r="BP31" s="426"/>
      <c r="BQ31" s="426"/>
      <c r="BR31" s="426"/>
      <c r="BS31" s="430"/>
      <c r="BT31" s="425"/>
      <c r="BU31" s="425"/>
      <c r="BV31" s="425"/>
      <c r="BW31" s="426"/>
      <c r="BX31" s="426"/>
      <c r="BY31" s="426"/>
      <c r="BZ31" s="426"/>
      <c r="CA31" s="427"/>
      <c r="CB31" s="427"/>
      <c r="CC31" s="426"/>
      <c r="CD31" s="425"/>
      <c r="CE31" s="425"/>
      <c r="CF31" s="427"/>
      <c r="CG31" s="427"/>
      <c r="CH31" s="427"/>
      <c r="CI31" s="427"/>
      <c r="CJ31" s="425"/>
      <c r="CK31" s="425"/>
      <c r="CL31" s="425"/>
      <c r="CM31" s="425"/>
      <c r="CN31" s="425"/>
      <c r="CO31" s="425"/>
      <c r="CP31" s="427"/>
      <c r="CQ31" s="425"/>
      <c r="CR31" s="427"/>
      <c r="CS31" s="425"/>
      <c r="CT31" s="427"/>
      <c r="CU31" s="425"/>
      <c r="CV31" s="425"/>
      <c r="CW31" s="427"/>
      <c r="CX31" s="425"/>
      <c r="CY31" s="427"/>
      <c r="CZ31" s="425"/>
      <c r="DA31" s="427"/>
      <c r="DB31" s="425"/>
      <c r="DC31" s="425"/>
      <c r="DD31" s="425"/>
      <c r="DE31" s="425"/>
      <c r="DF31" s="425"/>
    </row>
    <row r="32">
      <c r="A32" s="425"/>
      <c r="B32" s="425"/>
      <c r="C32" s="425"/>
      <c r="D32" s="425"/>
      <c r="E32" s="425"/>
      <c r="F32" s="425"/>
      <c r="G32" s="426"/>
      <c r="H32" s="426"/>
      <c r="I32" s="427"/>
      <c r="J32" s="427"/>
      <c r="K32" s="427"/>
      <c r="L32" s="427"/>
      <c r="M32" s="427"/>
      <c r="N32" s="427"/>
      <c r="O32" s="427"/>
      <c r="P32" s="427"/>
      <c r="Q32" s="426"/>
      <c r="R32" s="427"/>
      <c r="S32" s="426"/>
      <c r="T32" s="425"/>
      <c r="U32" s="425"/>
      <c r="V32" s="425"/>
      <c r="W32" s="425"/>
      <c r="X32" s="425"/>
      <c r="Y32" s="425"/>
      <c r="Z32" s="427"/>
      <c r="AA32" s="426"/>
      <c r="AB32" s="427"/>
      <c r="AC32" s="426"/>
      <c r="AD32" s="427"/>
      <c r="AE32" s="426"/>
      <c r="AF32" s="427"/>
      <c r="AG32" s="426"/>
      <c r="AH32" s="428"/>
      <c r="AI32" s="426"/>
      <c r="AJ32" s="428"/>
      <c r="AK32" s="426"/>
      <c r="AL32" s="425"/>
      <c r="AM32" s="425"/>
      <c r="AN32" s="427"/>
      <c r="AO32" s="426"/>
      <c r="AP32" s="425"/>
      <c r="AQ32" s="429"/>
      <c r="AR32" s="427"/>
      <c r="AS32" s="425"/>
      <c r="AT32" s="425"/>
      <c r="AU32" s="425"/>
      <c r="AV32" s="425"/>
      <c r="AW32" s="425"/>
      <c r="AX32" s="425"/>
      <c r="AY32" s="427"/>
      <c r="AZ32" s="425"/>
      <c r="BA32" s="427"/>
      <c r="BB32" s="425"/>
      <c r="BC32" s="427"/>
      <c r="BD32" s="425"/>
      <c r="BE32" s="427"/>
      <c r="BF32" s="427"/>
      <c r="BG32" s="427"/>
      <c r="BH32" s="427"/>
      <c r="BI32" s="425"/>
      <c r="BJ32" s="425"/>
      <c r="BK32" s="425"/>
      <c r="BL32" s="426"/>
      <c r="BM32" s="425"/>
      <c r="BN32" s="426"/>
      <c r="BO32" s="426"/>
      <c r="BP32" s="426"/>
      <c r="BQ32" s="426"/>
      <c r="BR32" s="426"/>
      <c r="BS32" s="430"/>
      <c r="BT32" s="425"/>
      <c r="BU32" s="425"/>
      <c r="BV32" s="425"/>
      <c r="BW32" s="426"/>
      <c r="BX32" s="426"/>
      <c r="BY32" s="426"/>
      <c r="BZ32" s="426"/>
      <c r="CA32" s="427"/>
      <c r="CB32" s="427"/>
      <c r="CC32" s="426"/>
      <c r="CD32" s="425"/>
      <c r="CE32" s="425"/>
      <c r="CF32" s="427"/>
      <c r="CG32" s="427"/>
      <c r="CH32" s="427"/>
      <c r="CI32" s="427"/>
      <c r="CJ32" s="425"/>
      <c r="CK32" s="425"/>
      <c r="CL32" s="425"/>
      <c r="CM32" s="425"/>
      <c r="CN32" s="425"/>
      <c r="CO32" s="425"/>
      <c r="CP32" s="427"/>
      <c r="CQ32" s="425"/>
      <c r="CR32" s="427"/>
      <c r="CS32" s="425"/>
      <c r="CT32" s="427"/>
      <c r="CU32" s="425"/>
      <c r="CV32" s="425"/>
      <c r="CW32" s="427"/>
      <c r="CX32" s="425"/>
      <c r="CY32" s="427"/>
      <c r="CZ32" s="425"/>
      <c r="DA32" s="427"/>
      <c r="DB32" s="425"/>
      <c r="DC32" s="425"/>
      <c r="DD32" s="425"/>
      <c r="DE32" s="425"/>
      <c r="DF32" s="425"/>
    </row>
    <row r="33">
      <c r="A33" s="425"/>
      <c r="B33" s="425"/>
      <c r="C33" s="425"/>
      <c r="D33" s="425"/>
      <c r="E33" s="425"/>
      <c r="F33" s="425"/>
      <c r="G33" s="426"/>
      <c r="H33" s="426"/>
      <c r="I33" s="427"/>
      <c r="J33" s="427"/>
      <c r="K33" s="427"/>
      <c r="L33" s="427"/>
      <c r="M33" s="427"/>
      <c r="N33" s="427"/>
      <c r="O33" s="427"/>
      <c r="P33" s="427"/>
      <c r="Q33" s="426"/>
      <c r="R33" s="427"/>
      <c r="S33" s="426"/>
      <c r="T33" s="425"/>
      <c r="U33" s="425"/>
      <c r="V33" s="425"/>
      <c r="W33" s="425"/>
      <c r="X33" s="425"/>
      <c r="Y33" s="425"/>
      <c r="Z33" s="427"/>
      <c r="AA33" s="426"/>
      <c r="AB33" s="427"/>
      <c r="AC33" s="426"/>
      <c r="AD33" s="427"/>
      <c r="AE33" s="426"/>
      <c r="AF33" s="427"/>
      <c r="AG33" s="426"/>
      <c r="AH33" s="428"/>
      <c r="AI33" s="426"/>
      <c r="AJ33" s="428"/>
      <c r="AK33" s="426"/>
      <c r="AL33" s="425"/>
      <c r="AM33" s="425"/>
      <c r="AN33" s="427"/>
      <c r="AO33" s="426"/>
      <c r="AP33" s="425"/>
      <c r="AQ33" s="429"/>
      <c r="AR33" s="427"/>
      <c r="AS33" s="425"/>
      <c r="AT33" s="425"/>
      <c r="AU33" s="425"/>
      <c r="AV33" s="425"/>
      <c r="AW33" s="425"/>
      <c r="AX33" s="425"/>
      <c r="AY33" s="427"/>
      <c r="AZ33" s="425"/>
      <c r="BA33" s="427"/>
      <c r="BB33" s="425"/>
      <c r="BC33" s="427"/>
      <c r="BD33" s="425"/>
      <c r="BE33" s="427"/>
      <c r="BF33" s="427"/>
      <c r="BG33" s="427"/>
      <c r="BH33" s="427"/>
      <c r="BI33" s="425"/>
      <c r="BJ33" s="425"/>
      <c r="BK33" s="425"/>
      <c r="BL33" s="426"/>
      <c r="BM33" s="425"/>
      <c r="BN33" s="426"/>
      <c r="BO33" s="426"/>
      <c r="BP33" s="426"/>
      <c r="BQ33" s="426"/>
      <c r="BR33" s="426"/>
      <c r="BS33" s="430"/>
      <c r="BT33" s="425"/>
      <c r="BU33" s="425"/>
      <c r="BV33" s="425"/>
      <c r="BW33" s="426"/>
      <c r="BX33" s="426"/>
      <c r="BY33" s="426"/>
      <c r="BZ33" s="426"/>
      <c r="CA33" s="427"/>
      <c r="CB33" s="427"/>
      <c r="CC33" s="426"/>
      <c r="CD33" s="425"/>
      <c r="CE33" s="425"/>
      <c r="CF33" s="427"/>
      <c r="CG33" s="427"/>
      <c r="CH33" s="427"/>
      <c r="CI33" s="427"/>
      <c r="CJ33" s="425"/>
      <c r="CK33" s="425"/>
      <c r="CL33" s="425"/>
      <c r="CM33" s="425"/>
      <c r="CN33" s="425"/>
      <c r="CO33" s="425"/>
      <c r="CP33" s="427"/>
      <c r="CQ33" s="425"/>
      <c r="CR33" s="427"/>
      <c r="CS33" s="425"/>
      <c r="CT33" s="427"/>
      <c r="CU33" s="425"/>
      <c r="CV33" s="425"/>
      <c r="CW33" s="427"/>
      <c r="CX33" s="425"/>
      <c r="CY33" s="427"/>
      <c r="CZ33" s="425"/>
      <c r="DA33" s="427"/>
      <c r="DB33" s="425"/>
      <c r="DC33" s="425"/>
      <c r="DD33" s="425"/>
      <c r="DE33" s="425"/>
      <c r="DF33" s="425"/>
    </row>
    <row r="34">
      <c r="A34" s="425"/>
      <c r="B34" s="425"/>
      <c r="C34" s="425"/>
      <c r="D34" s="425"/>
      <c r="E34" s="425"/>
      <c r="F34" s="425"/>
      <c r="G34" s="426"/>
      <c r="H34" s="426"/>
      <c r="I34" s="427"/>
      <c r="J34" s="427"/>
      <c r="K34" s="427"/>
      <c r="L34" s="427"/>
      <c r="M34" s="427"/>
      <c r="N34" s="427"/>
      <c r="O34" s="427"/>
      <c r="P34" s="427"/>
      <c r="Q34" s="426"/>
      <c r="R34" s="427"/>
      <c r="S34" s="426"/>
      <c r="T34" s="425"/>
      <c r="U34" s="425"/>
      <c r="V34" s="425"/>
      <c r="W34" s="425"/>
      <c r="X34" s="425"/>
      <c r="Y34" s="425"/>
      <c r="Z34" s="427"/>
      <c r="AA34" s="426"/>
      <c r="AB34" s="427"/>
      <c r="AC34" s="426"/>
      <c r="AD34" s="427"/>
      <c r="AE34" s="426"/>
      <c r="AF34" s="427"/>
      <c r="AG34" s="426"/>
      <c r="AH34" s="428"/>
      <c r="AI34" s="426"/>
      <c r="AJ34" s="428"/>
      <c r="AK34" s="426"/>
      <c r="AL34" s="425"/>
      <c r="AM34" s="425"/>
      <c r="AN34" s="427"/>
      <c r="AO34" s="426"/>
      <c r="AP34" s="425"/>
      <c r="AQ34" s="429"/>
      <c r="AR34" s="427"/>
      <c r="AS34" s="425"/>
      <c r="AT34" s="425"/>
      <c r="AU34" s="425"/>
      <c r="AV34" s="425"/>
      <c r="AW34" s="425"/>
      <c r="AX34" s="425"/>
      <c r="AY34" s="427"/>
      <c r="AZ34" s="425"/>
      <c r="BA34" s="427"/>
      <c r="BB34" s="425"/>
      <c r="BC34" s="427"/>
      <c r="BD34" s="425"/>
      <c r="BE34" s="427"/>
      <c r="BF34" s="427"/>
      <c r="BG34" s="427"/>
      <c r="BH34" s="427"/>
      <c r="BI34" s="425"/>
      <c r="BJ34" s="425"/>
      <c r="BK34" s="425"/>
      <c r="BL34" s="426"/>
      <c r="BM34" s="425"/>
      <c r="BN34" s="426"/>
      <c r="BO34" s="426"/>
      <c r="BP34" s="426"/>
      <c r="BQ34" s="426"/>
      <c r="BR34" s="426"/>
      <c r="BS34" s="430"/>
      <c r="BT34" s="425"/>
      <c r="BU34" s="425"/>
      <c r="BV34" s="425"/>
      <c r="BW34" s="426"/>
      <c r="BX34" s="426"/>
      <c r="BY34" s="426"/>
      <c r="BZ34" s="426"/>
      <c r="CA34" s="427"/>
      <c r="CB34" s="427"/>
      <c r="CC34" s="426"/>
      <c r="CD34" s="425"/>
      <c r="CE34" s="425"/>
      <c r="CF34" s="427"/>
      <c r="CG34" s="427"/>
      <c r="CH34" s="427"/>
      <c r="CI34" s="427"/>
      <c r="CJ34" s="425"/>
      <c r="CK34" s="425"/>
      <c r="CL34" s="425"/>
      <c r="CM34" s="425"/>
      <c r="CN34" s="425"/>
      <c r="CO34" s="425"/>
      <c r="CP34" s="427"/>
      <c r="CQ34" s="425"/>
      <c r="CR34" s="427"/>
      <c r="CS34" s="425"/>
      <c r="CT34" s="427"/>
      <c r="CU34" s="425"/>
      <c r="CV34" s="425"/>
      <c r="CW34" s="427"/>
      <c r="CX34" s="425"/>
      <c r="CY34" s="427"/>
      <c r="CZ34" s="425"/>
      <c r="DA34" s="427"/>
      <c r="DB34" s="425"/>
      <c r="DC34" s="425"/>
      <c r="DD34" s="425"/>
      <c r="DE34" s="425"/>
      <c r="DF34" s="425"/>
    </row>
    <row r="35">
      <c r="A35" s="425"/>
      <c r="B35" s="425"/>
      <c r="C35" s="425"/>
      <c r="D35" s="425"/>
      <c r="E35" s="425"/>
      <c r="F35" s="425"/>
      <c r="G35" s="426"/>
      <c r="H35" s="426"/>
      <c r="I35" s="427"/>
      <c r="J35" s="427"/>
      <c r="K35" s="427"/>
      <c r="L35" s="427"/>
      <c r="M35" s="427"/>
      <c r="N35" s="427"/>
      <c r="O35" s="427"/>
      <c r="P35" s="427"/>
      <c r="Q35" s="426"/>
      <c r="R35" s="427"/>
      <c r="S35" s="426"/>
      <c r="T35" s="425"/>
      <c r="U35" s="425"/>
      <c r="V35" s="425"/>
      <c r="W35" s="425"/>
      <c r="X35" s="425"/>
      <c r="Y35" s="425"/>
      <c r="Z35" s="427"/>
      <c r="AA35" s="426"/>
      <c r="AB35" s="427"/>
      <c r="AC35" s="426"/>
      <c r="AD35" s="427"/>
      <c r="AE35" s="426"/>
      <c r="AF35" s="427"/>
      <c r="AG35" s="426"/>
      <c r="AH35" s="428"/>
      <c r="AI35" s="426"/>
      <c r="AJ35" s="428"/>
      <c r="AK35" s="426"/>
      <c r="AL35" s="425"/>
      <c r="AM35" s="425"/>
      <c r="AN35" s="427"/>
      <c r="AO35" s="426"/>
      <c r="AP35" s="425"/>
      <c r="AQ35" s="429"/>
      <c r="AR35" s="427"/>
      <c r="AS35" s="425"/>
      <c r="AT35" s="425"/>
      <c r="AU35" s="425"/>
      <c r="AV35" s="425"/>
      <c r="AW35" s="425"/>
      <c r="AX35" s="425"/>
      <c r="AY35" s="427"/>
      <c r="AZ35" s="425"/>
      <c r="BA35" s="427"/>
      <c r="BB35" s="425"/>
      <c r="BC35" s="427"/>
      <c r="BD35" s="425"/>
      <c r="BE35" s="427"/>
      <c r="BF35" s="427"/>
      <c r="BG35" s="427"/>
      <c r="BH35" s="427"/>
      <c r="BI35" s="425"/>
      <c r="BJ35" s="425"/>
      <c r="BK35" s="425"/>
      <c r="BL35" s="426"/>
      <c r="BM35" s="425"/>
      <c r="BN35" s="426"/>
      <c r="BO35" s="426"/>
      <c r="BP35" s="426"/>
      <c r="BQ35" s="426"/>
      <c r="BR35" s="426"/>
      <c r="BS35" s="430"/>
      <c r="BT35" s="425"/>
      <c r="BU35" s="425"/>
      <c r="BV35" s="425"/>
      <c r="BW35" s="426"/>
      <c r="BX35" s="426"/>
      <c r="BY35" s="426"/>
      <c r="BZ35" s="426"/>
      <c r="CA35" s="427"/>
      <c r="CB35" s="427"/>
      <c r="CC35" s="426"/>
      <c r="CD35" s="425"/>
      <c r="CE35" s="425"/>
      <c r="CF35" s="427"/>
      <c r="CG35" s="427"/>
      <c r="CH35" s="427"/>
      <c r="CI35" s="427"/>
      <c r="CJ35" s="425"/>
      <c r="CK35" s="425"/>
      <c r="CL35" s="425"/>
      <c r="CM35" s="425"/>
      <c r="CN35" s="425"/>
      <c r="CO35" s="425"/>
      <c r="CP35" s="427"/>
      <c r="CQ35" s="425"/>
      <c r="CR35" s="427"/>
      <c r="CS35" s="425"/>
      <c r="CT35" s="427"/>
      <c r="CU35" s="425"/>
      <c r="CV35" s="425"/>
      <c r="CW35" s="427"/>
      <c r="CX35" s="425"/>
      <c r="CY35" s="427"/>
      <c r="CZ35" s="425"/>
      <c r="DA35" s="427"/>
      <c r="DB35" s="425"/>
      <c r="DC35" s="425"/>
      <c r="DD35" s="425"/>
      <c r="DE35" s="425"/>
      <c r="DF35" s="425"/>
    </row>
    <row r="36">
      <c r="A36" s="425"/>
      <c r="B36" s="425"/>
      <c r="C36" s="425"/>
      <c r="D36" s="425"/>
      <c r="E36" s="425"/>
      <c r="F36" s="425"/>
      <c r="G36" s="426"/>
      <c r="H36" s="426"/>
      <c r="I36" s="427"/>
      <c r="J36" s="427"/>
      <c r="K36" s="427"/>
      <c r="L36" s="427"/>
      <c r="M36" s="427"/>
      <c r="N36" s="427"/>
      <c r="O36" s="427"/>
      <c r="P36" s="427"/>
      <c r="Q36" s="426"/>
      <c r="R36" s="427"/>
      <c r="S36" s="426"/>
      <c r="T36" s="425"/>
      <c r="U36" s="425"/>
      <c r="V36" s="425"/>
      <c r="W36" s="425"/>
      <c r="X36" s="425"/>
      <c r="Y36" s="425"/>
      <c r="Z36" s="427"/>
      <c r="AA36" s="426"/>
      <c r="AB36" s="427"/>
      <c r="AC36" s="426"/>
      <c r="AD36" s="427"/>
      <c r="AE36" s="426"/>
      <c r="AF36" s="427"/>
      <c r="AG36" s="426"/>
      <c r="AH36" s="428"/>
      <c r="AI36" s="426"/>
      <c r="AJ36" s="428"/>
      <c r="AK36" s="426"/>
      <c r="AL36" s="425"/>
      <c r="AM36" s="425"/>
      <c r="AN36" s="427"/>
      <c r="AO36" s="426"/>
      <c r="AP36" s="425"/>
      <c r="AQ36" s="429"/>
      <c r="AR36" s="427"/>
      <c r="AS36" s="425"/>
      <c r="AT36" s="425"/>
      <c r="AU36" s="425"/>
      <c r="AV36" s="425"/>
      <c r="AW36" s="425"/>
      <c r="AX36" s="425"/>
      <c r="AY36" s="427"/>
      <c r="AZ36" s="425"/>
      <c r="BA36" s="427"/>
      <c r="BB36" s="425"/>
      <c r="BC36" s="427"/>
      <c r="BD36" s="425"/>
      <c r="BE36" s="427"/>
      <c r="BF36" s="427"/>
      <c r="BG36" s="427"/>
      <c r="BH36" s="427"/>
      <c r="BI36" s="425"/>
      <c r="BJ36" s="425"/>
      <c r="BK36" s="425"/>
      <c r="BL36" s="426"/>
      <c r="BM36" s="425"/>
      <c r="BN36" s="426"/>
      <c r="BO36" s="426"/>
      <c r="BP36" s="426"/>
      <c r="BQ36" s="426"/>
      <c r="BR36" s="426"/>
      <c r="BS36" s="430"/>
      <c r="BT36" s="425"/>
      <c r="BU36" s="425"/>
      <c r="BV36" s="425"/>
      <c r="BW36" s="426"/>
      <c r="BX36" s="426"/>
      <c r="BY36" s="426"/>
      <c r="BZ36" s="426"/>
      <c r="CA36" s="427"/>
      <c r="CB36" s="427"/>
      <c r="CC36" s="426"/>
      <c r="CD36" s="425"/>
      <c r="CE36" s="425"/>
      <c r="CF36" s="427"/>
      <c r="CG36" s="427"/>
      <c r="CH36" s="427"/>
      <c r="CI36" s="427"/>
      <c r="CJ36" s="425"/>
      <c r="CK36" s="425"/>
      <c r="CL36" s="425"/>
      <c r="CM36" s="425"/>
      <c r="CN36" s="425"/>
      <c r="CO36" s="425"/>
      <c r="CP36" s="427"/>
      <c r="CQ36" s="425"/>
      <c r="CR36" s="427"/>
      <c r="CS36" s="425"/>
      <c r="CT36" s="427"/>
      <c r="CU36" s="425"/>
      <c r="CV36" s="425"/>
      <c r="CW36" s="427"/>
      <c r="CX36" s="425"/>
      <c r="CY36" s="427"/>
      <c r="CZ36" s="425"/>
      <c r="DA36" s="427"/>
      <c r="DB36" s="425"/>
      <c r="DC36" s="425"/>
      <c r="DD36" s="425"/>
      <c r="DE36" s="425"/>
      <c r="DF36" s="425"/>
    </row>
    <row r="37">
      <c r="A37" s="425"/>
      <c r="B37" s="425"/>
      <c r="C37" s="425"/>
      <c r="D37" s="425"/>
      <c r="E37" s="425"/>
      <c r="F37" s="425"/>
      <c r="G37" s="426"/>
      <c r="H37" s="426"/>
      <c r="I37" s="427"/>
      <c r="J37" s="427"/>
      <c r="K37" s="427"/>
      <c r="L37" s="427"/>
      <c r="M37" s="427"/>
      <c r="N37" s="427"/>
      <c r="O37" s="427"/>
      <c r="P37" s="427"/>
      <c r="Q37" s="426"/>
      <c r="R37" s="427"/>
      <c r="S37" s="426"/>
      <c r="T37" s="425"/>
      <c r="U37" s="425"/>
      <c r="V37" s="425"/>
      <c r="W37" s="425"/>
      <c r="X37" s="425"/>
      <c r="Y37" s="425"/>
      <c r="Z37" s="427"/>
      <c r="AA37" s="426"/>
      <c r="AB37" s="427"/>
      <c r="AC37" s="426"/>
      <c r="AD37" s="427"/>
      <c r="AE37" s="426"/>
      <c r="AF37" s="427"/>
      <c r="AG37" s="426"/>
      <c r="AH37" s="428"/>
      <c r="AI37" s="426"/>
      <c r="AJ37" s="428"/>
      <c r="AK37" s="426"/>
      <c r="AL37" s="425"/>
      <c r="AM37" s="425"/>
      <c r="AN37" s="427"/>
      <c r="AO37" s="426"/>
      <c r="AP37" s="425"/>
      <c r="AQ37" s="429"/>
      <c r="AR37" s="427"/>
      <c r="AS37" s="425"/>
      <c r="AT37" s="425"/>
      <c r="AU37" s="425"/>
      <c r="AV37" s="425"/>
      <c r="AW37" s="425"/>
      <c r="AX37" s="425"/>
      <c r="AY37" s="427"/>
      <c r="AZ37" s="425"/>
      <c r="BA37" s="427"/>
      <c r="BB37" s="425"/>
      <c r="BC37" s="427"/>
      <c r="BD37" s="425"/>
      <c r="BE37" s="427"/>
      <c r="BF37" s="427"/>
      <c r="BG37" s="427"/>
      <c r="BH37" s="427"/>
      <c r="BI37" s="425"/>
      <c r="BJ37" s="425"/>
      <c r="BK37" s="425"/>
      <c r="BL37" s="426"/>
      <c r="BM37" s="425"/>
      <c r="BN37" s="426"/>
      <c r="BO37" s="426"/>
      <c r="BP37" s="426"/>
      <c r="BQ37" s="426"/>
      <c r="BR37" s="426"/>
      <c r="BS37" s="430"/>
      <c r="BT37" s="425"/>
      <c r="BU37" s="425"/>
      <c r="BV37" s="425"/>
      <c r="BW37" s="426"/>
      <c r="BX37" s="426"/>
      <c r="BY37" s="426"/>
      <c r="BZ37" s="426"/>
      <c r="CA37" s="427"/>
      <c r="CB37" s="427"/>
      <c r="CC37" s="426"/>
      <c r="CD37" s="425"/>
      <c r="CE37" s="425"/>
      <c r="CF37" s="427"/>
      <c r="CG37" s="427"/>
      <c r="CH37" s="427"/>
      <c r="CI37" s="427"/>
      <c r="CJ37" s="425"/>
      <c r="CK37" s="425"/>
      <c r="CL37" s="425"/>
      <c r="CM37" s="425"/>
      <c r="CN37" s="425"/>
      <c r="CO37" s="425"/>
      <c r="CP37" s="427"/>
      <c r="CQ37" s="425"/>
      <c r="CR37" s="427"/>
      <c r="CS37" s="425"/>
      <c r="CT37" s="427"/>
      <c r="CU37" s="425"/>
      <c r="CV37" s="425"/>
      <c r="CW37" s="427"/>
      <c r="CX37" s="425"/>
      <c r="CY37" s="427"/>
      <c r="CZ37" s="425"/>
      <c r="DA37" s="427"/>
      <c r="DB37" s="425"/>
      <c r="DC37" s="425"/>
      <c r="DD37" s="425"/>
      <c r="DE37" s="425"/>
      <c r="DF37" s="425"/>
    </row>
    <row r="38">
      <c r="A38" s="425"/>
      <c r="B38" s="425"/>
      <c r="C38" s="425"/>
      <c r="D38" s="425"/>
      <c r="E38" s="425"/>
      <c r="F38" s="425"/>
      <c r="G38" s="426"/>
      <c r="H38" s="426"/>
      <c r="I38" s="427"/>
      <c r="J38" s="427"/>
      <c r="K38" s="427"/>
      <c r="L38" s="427"/>
      <c r="M38" s="427"/>
      <c r="N38" s="427"/>
      <c r="O38" s="427"/>
      <c r="P38" s="427"/>
      <c r="Q38" s="426"/>
      <c r="R38" s="427"/>
      <c r="S38" s="426"/>
      <c r="T38" s="425"/>
      <c r="U38" s="425"/>
      <c r="V38" s="425"/>
      <c r="W38" s="425"/>
      <c r="X38" s="425"/>
      <c r="Y38" s="425"/>
      <c r="Z38" s="427"/>
      <c r="AA38" s="426"/>
      <c r="AB38" s="427"/>
      <c r="AC38" s="426"/>
      <c r="AD38" s="427"/>
      <c r="AE38" s="426"/>
      <c r="AF38" s="427"/>
      <c r="AG38" s="426"/>
      <c r="AH38" s="428"/>
      <c r="AI38" s="426"/>
      <c r="AJ38" s="428"/>
      <c r="AK38" s="426"/>
      <c r="AL38" s="425"/>
      <c r="AM38" s="425"/>
      <c r="AN38" s="427"/>
      <c r="AO38" s="426"/>
      <c r="AP38" s="425"/>
      <c r="AQ38" s="429"/>
      <c r="AR38" s="427"/>
      <c r="AS38" s="425"/>
      <c r="AT38" s="425"/>
      <c r="AU38" s="425"/>
      <c r="AV38" s="425"/>
      <c r="AW38" s="425"/>
      <c r="AX38" s="425"/>
      <c r="AY38" s="427"/>
      <c r="AZ38" s="425"/>
      <c r="BA38" s="427"/>
      <c r="BB38" s="425"/>
      <c r="BC38" s="427"/>
      <c r="BD38" s="425"/>
      <c r="BE38" s="427"/>
      <c r="BF38" s="427"/>
      <c r="BG38" s="427"/>
      <c r="BH38" s="427"/>
      <c r="BI38" s="425"/>
      <c r="BJ38" s="425"/>
      <c r="BK38" s="425"/>
      <c r="BL38" s="426"/>
      <c r="BM38" s="425"/>
      <c r="BN38" s="426"/>
      <c r="BO38" s="426"/>
      <c r="BP38" s="426"/>
      <c r="BQ38" s="426"/>
      <c r="BR38" s="426"/>
      <c r="BS38" s="430"/>
      <c r="BT38" s="425"/>
      <c r="BU38" s="425"/>
      <c r="BV38" s="425"/>
      <c r="BW38" s="426"/>
      <c r="BX38" s="426"/>
      <c r="BY38" s="426"/>
      <c r="BZ38" s="426"/>
      <c r="CA38" s="427"/>
      <c r="CB38" s="427"/>
      <c r="CC38" s="426"/>
      <c r="CD38" s="425"/>
      <c r="CE38" s="425"/>
      <c r="CF38" s="427"/>
      <c r="CG38" s="427"/>
      <c r="CH38" s="427"/>
      <c r="CI38" s="427"/>
      <c r="CJ38" s="425"/>
      <c r="CK38" s="425"/>
      <c r="CL38" s="425"/>
      <c r="CM38" s="425"/>
      <c r="CN38" s="425"/>
      <c r="CO38" s="425"/>
      <c r="CP38" s="427"/>
      <c r="CQ38" s="425"/>
      <c r="CR38" s="427"/>
      <c r="CS38" s="425"/>
      <c r="CT38" s="427"/>
      <c r="CU38" s="425"/>
      <c r="CV38" s="425"/>
      <c r="CW38" s="427"/>
      <c r="CX38" s="425"/>
      <c r="CY38" s="427"/>
      <c r="CZ38" s="425"/>
      <c r="DA38" s="427"/>
      <c r="DB38" s="425"/>
      <c r="DC38" s="425"/>
      <c r="DD38" s="425"/>
      <c r="DE38" s="425"/>
      <c r="DF38" s="425"/>
    </row>
    <row r="39">
      <c r="A39" s="425"/>
      <c r="B39" s="425"/>
      <c r="C39" s="425"/>
      <c r="D39" s="425"/>
      <c r="E39" s="425"/>
      <c r="F39" s="425"/>
      <c r="G39" s="426"/>
      <c r="H39" s="426"/>
      <c r="I39" s="427"/>
      <c r="J39" s="427"/>
      <c r="K39" s="427"/>
      <c r="L39" s="427"/>
      <c r="M39" s="427"/>
      <c r="N39" s="427"/>
      <c r="O39" s="427"/>
      <c r="P39" s="427"/>
      <c r="Q39" s="426"/>
      <c r="R39" s="427"/>
      <c r="S39" s="426"/>
      <c r="T39" s="425"/>
      <c r="U39" s="425"/>
      <c r="V39" s="425"/>
      <c r="W39" s="425"/>
      <c r="X39" s="425"/>
      <c r="Y39" s="425"/>
      <c r="Z39" s="427"/>
      <c r="AA39" s="426"/>
      <c r="AB39" s="427"/>
      <c r="AC39" s="426"/>
      <c r="AD39" s="427"/>
      <c r="AE39" s="426"/>
      <c r="AF39" s="427"/>
      <c r="AG39" s="426"/>
      <c r="AH39" s="428"/>
      <c r="AI39" s="426"/>
      <c r="AJ39" s="428"/>
      <c r="AK39" s="426"/>
      <c r="AL39" s="425"/>
      <c r="AM39" s="425"/>
      <c r="AN39" s="427"/>
      <c r="AO39" s="426"/>
      <c r="AP39" s="425"/>
      <c r="AQ39" s="429"/>
      <c r="AR39" s="427"/>
      <c r="AS39" s="425"/>
      <c r="AT39" s="425"/>
      <c r="AU39" s="425"/>
      <c r="AV39" s="425"/>
      <c r="AW39" s="425"/>
      <c r="AX39" s="425"/>
      <c r="AY39" s="427"/>
      <c r="AZ39" s="425"/>
      <c r="BA39" s="427"/>
      <c r="BB39" s="425"/>
      <c r="BC39" s="427"/>
      <c r="BD39" s="425"/>
      <c r="BE39" s="427"/>
      <c r="BF39" s="427"/>
      <c r="BG39" s="427"/>
      <c r="BH39" s="427"/>
      <c r="BI39" s="425"/>
      <c r="BJ39" s="425"/>
      <c r="BK39" s="425"/>
      <c r="BL39" s="426"/>
      <c r="BM39" s="425"/>
      <c r="BN39" s="426"/>
      <c r="BO39" s="426"/>
      <c r="BP39" s="426"/>
      <c r="BQ39" s="426"/>
      <c r="BR39" s="426"/>
      <c r="BS39" s="430"/>
      <c r="BT39" s="425"/>
      <c r="BU39" s="425"/>
      <c r="BV39" s="425"/>
      <c r="BW39" s="426"/>
      <c r="BX39" s="426"/>
      <c r="BY39" s="426"/>
      <c r="BZ39" s="426"/>
      <c r="CA39" s="427"/>
      <c r="CB39" s="427"/>
      <c r="CC39" s="426"/>
      <c r="CD39" s="425"/>
      <c r="CE39" s="425"/>
      <c r="CF39" s="427"/>
      <c r="CG39" s="427"/>
      <c r="CH39" s="427"/>
      <c r="CI39" s="427"/>
      <c r="CJ39" s="425"/>
      <c r="CK39" s="425"/>
      <c r="CL39" s="425"/>
      <c r="CM39" s="425"/>
      <c r="CN39" s="425"/>
      <c r="CO39" s="425"/>
      <c r="CP39" s="427"/>
      <c r="CQ39" s="425"/>
      <c r="CR39" s="427"/>
      <c r="CS39" s="425"/>
      <c r="CT39" s="427"/>
      <c r="CU39" s="425"/>
      <c r="CV39" s="425"/>
      <c r="CW39" s="427"/>
      <c r="CX39" s="425"/>
      <c r="CY39" s="427"/>
      <c r="CZ39" s="425"/>
      <c r="DA39" s="427"/>
      <c r="DB39" s="425"/>
      <c r="DC39" s="425"/>
      <c r="DD39" s="425"/>
      <c r="DE39" s="425"/>
      <c r="DF39" s="425"/>
    </row>
    <row r="40">
      <c r="A40" s="425"/>
      <c r="B40" s="425"/>
      <c r="C40" s="425"/>
      <c r="D40" s="425"/>
      <c r="E40" s="425"/>
      <c r="F40" s="425"/>
      <c r="G40" s="426"/>
      <c r="H40" s="426"/>
      <c r="I40" s="427"/>
      <c r="J40" s="427"/>
      <c r="K40" s="427"/>
      <c r="L40" s="427"/>
      <c r="M40" s="427"/>
      <c r="N40" s="427"/>
      <c r="O40" s="427"/>
      <c r="P40" s="427"/>
      <c r="Q40" s="426"/>
      <c r="R40" s="427"/>
      <c r="S40" s="426"/>
      <c r="T40" s="425"/>
      <c r="U40" s="425"/>
      <c r="V40" s="425"/>
      <c r="W40" s="425"/>
      <c r="X40" s="425"/>
      <c r="Y40" s="425"/>
      <c r="Z40" s="427"/>
      <c r="AA40" s="426"/>
      <c r="AB40" s="427"/>
      <c r="AC40" s="426"/>
      <c r="AD40" s="427"/>
      <c r="AE40" s="426"/>
      <c r="AF40" s="427"/>
      <c r="AG40" s="426"/>
      <c r="AH40" s="428"/>
      <c r="AI40" s="426"/>
      <c r="AJ40" s="428"/>
      <c r="AK40" s="426"/>
      <c r="AL40" s="425"/>
      <c r="AM40" s="425"/>
      <c r="AN40" s="427"/>
      <c r="AO40" s="426"/>
      <c r="AP40" s="425"/>
      <c r="AQ40" s="429"/>
      <c r="AR40" s="427"/>
      <c r="AS40" s="425"/>
      <c r="AT40" s="425"/>
      <c r="AU40" s="425"/>
      <c r="AV40" s="425"/>
      <c r="AW40" s="425"/>
      <c r="AX40" s="425"/>
      <c r="AY40" s="427"/>
      <c r="AZ40" s="425"/>
      <c r="BA40" s="427"/>
      <c r="BB40" s="425"/>
      <c r="BC40" s="427"/>
      <c r="BD40" s="425"/>
      <c r="BE40" s="427"/>
      <c r="BF40" s="427"/>
      <c r="BG40" s="427"/>
      <c r="BH40" s="427"/>
      <c r="BI40" s="425"/>
      <c r="BJ40" s="425"/>
      <c r="BK40" s="425"/>
      <c r="BL40" s="426"/>
      <c r="BM40" s="425"/>
      <c r="BN40" s="426"/>
      <c r="BO40" s="426"/>
      <c r="BP40" s="426"/>
      <c r="BQ40" s="426"/>
      <c r="BR40" s="426"/>
      <c r="BS40" s="430"/>
      <c r="BT40" s="425"/>
      <c r="BU40" s="425"/>
      <c r="BV40" s="425"/>
      <c r="BW40" s="426"/>
      <c r="BX40" s="426"/>
      <c r="BY40" s="426"/>
      <c r="BZ40" s="426"/>
      <c r="CA40" s="427"/>
      <c r="CB40" s="427"/>
      <c r="CC40" s="426"/>
      <c r="CD40" s="425"/>
      <c r="CE40" s="425"/>
      <c r="CF40" s="427"/>
      <c r="CG40" s="427"/>
      <c r="CH40" s="427"/>
      <c r="CI40" s="427"/>
      <c r="CJ40" s="425"/>
      <c r="CK40" s="425"/>
      <c r="CL40" s="425"/>
      <c r="CM40" s="425"/>
      <c r="CN40" s="425"/>
      <c r="CO40" s="425"/>
      <c r="CP40" s="427"/>
      <c r="CQ40" s="425"/>
      <c r="CR40" s="427"/>
      <c r="CS40" s="425"/>
      <c r="CT40" s="427"/>
      <c r="CU40" s="425"/>
      <c r="CV40" s="425"/>
      <c r="CW40" s="427"/>
      <c r="CX40" s="425"/>
      <c r="CY40" s="427"/>
      <c r="CZ40" s="425"/>
      <c r="DA40" s="427"/>
      <c r="DB40" s="425"/>
      <c r="DC40" s="425"/>
      <c r="DD40" s="425"/>
      <c r="DE40" s="425"/>
      <c r="DF40" s="425"/>
    </row>
    <row r="41">
      <c r="A41" s="425"/>
      <c r="B41" s="425"/>
      <c r="C41" s="425"/>
      <c r="D41" s="425"/>
      <c r="E41" s="425"/>
      <c r="F41" s="425"/>
      <c r="G41" s="426"/>
      <c r="H41" s="426"/>
      <c r="I41" s="427"/>
      <c r="J41" s="427"/>
      <c r="K41" s="427"/>
      <c r="L41" s="427"/>
      <c r="M41" s="427"/>
      <c r="N41" s="427"/>
      <c r="O41" s="427"/>
      <c r="P41" s="427"/>
      <c r="Q41" s="426"/>
      <c r="R41" s="427"/>
      <c r="S41" s="426"/>
      <c r="T41" s="425"/>
      <c r="U41" s="425"/>
      <c r="V41" s="425"/>
      <c r="W41" s="425"/>
      <c r="X41" s="425"/>
      <c r="Y41" s="425"/>
      <c r="Z41" s="427"/>
      <c r="AA41" s="426"/>
      <c r="AB41" s="427"/>
      <c r="AC41" s="426"/>
      <c r="AD41" s="427"/>
      <c r="AE41" s="426"/>
      <c r="AF41" s="427"/>
      <c r="AG41" s="426"/>
      <c r="AH41" s="428"/>
      <c r="AI41" s="426"/>
      <c r="AJ41" s="428"/>
      <c r="AK41" s="426"/>
      <c r="AL41" s="425"/>
      <c r="AM41" s="425"/>
      <c r="AN41" s="427"/>
      <c r="AO41" s="426"/>
      <c r="AP41" s="425"/>
      <c r="AQ41" s="429"/>
      <c r="AR41" s="427"/>
      <c r="AS41" s="425"/>
      <c r="AT41" s="425"/>
      <c r="AU41" s="425"/>
      <c r="AV41" s="425"/>
      <c r="AW41" s="425"/>
      <c r="AX41" s="425"/>
      <c r="AY41" s="427"/>
      <c r="AZ41" s="425"/>
      <c r="BA41" s="427"/>
      <c r="BB41" s="425"/>
      <c r="BC41" s="427"/>
      <c r="BD41" s="425"/>
      <c r="BE41" s="427"/>
      <c r="BF41" s="427"/>
      <c r="BG41" s="427"/>
      <c r="BH41" s="427"/>
      <c r="BI41" s="425"/>
      <c r="BJ41" s="425"/>
      <c r="BK41" s="425"/>
      <c r="BL41" s="426"/>
      <c r="BM41" s="425"/>
      <c r="BN41" s="426"/>
      <c r="BO41" s="426"/>
      <c r="BP41" s="426"/>
      <c r="BQ41" s="426"/>
      <c r="BR41" s="426"/>
      <c r="BS41" s="430"/>
      <c r="BT41" s="425"/>
      <c r="BU41" s="425"/>
      <c r="BV41" s="425"/>
      <c r="BW41" s="426"/>
      <c r="BX41" s="426"/>
      <c r="BY41" s="426"/>
      <c r="BZ41" s="426"/>
      <c r="CA41" s="427"/>
      <c r="CB41" s="427"/>
      <c r="CC41" s="426"/>
      <c r="CD41" s="425"/>
      <c r="CE41" s="425"/>
      <c r="CF41" s="427"/>
      <c r="CG41" s="427"/>
      <c r="CH41" s="427"/>
      <c r="CI41" s="427"/>
      <c r="CJ41" s="425"/>
      <c r="CK41" s="425"/>
      <c r="CL41" s="425"/>
      <c r="CM41" s="425"/>
      <c r="CN41" s="425"/>
      <c r="CO41" s="425"/>
      <c r="CP41" s="427"/>
      <c r="CQ41" s="425"/>
      <c r="CR41" s="427"/>
      <c r="CS41" s="425"/>
      <c r="CT41" s="427"/>
      <c r="CU41" s="425"/>
      <c r="CV41" s="425"/>
      <c r="CW41" s="427"/>
      <c r="CX41" s="425"/>
      <c r="CY41" s="427"/>
      <c r="CZ41" s="425"/>
      <c r="DA41" s="427"/>
      <c r="DB41" s="425"/>
      <c r="DC41" s="425"/>
      <c r="DD41" s="425"/>
      <c r="DE41" s="425"/>
      <c r="DF41" s="425"/>
    </row>
    <row r="42">
      <c r="A42" s="425"/>
      <c r="B42" s="425"/>
      <c r="C42" s="425"/>
      <c r="D42" s="425"/>
      <c r="E42" s="425"/>
      <c r="F42" s="425"/>
      <c r="G42" s="426"/>
      <c r="H42" s="426"/>
      <c r="I42" s="427"/>
      <c r="J42" s="427"/>
      <c r="K42" s="427"/>
      <c r="L42" s="427"/>
      <c r="M42" s="427"/>
      <c r="N42" s="427"/>
      <c r="O42" s="427"/>
      <c r="P42" s="427"/>
      <c r="Q42" s="426"/>
      <c r="R42" s="427"/>
      <c r="S42" s="426"/>
      <c r="T42" s="425"/>
      <c r="U42" s="425"/>
      <c r="V42" s="425"/>
      <c r="W42" s="425"/>
      <c r="X42" s="425"/>
      <c r="Y42" s="425"/>
      <c r="Z42" s="427"/>
      <c r="AA42" s="426"/>
      <c r="AB42" s="427"/>
      <c r="AC42" s="426"/>
      <c r="AD42" s="427"/>
      <c r="AE42" s="426"/>
      <c r="AF42" s="427"/>
      <c r="AG42" s="426"/>
      <c r="AH42" s="428"/>
      <c r="AI42" s="426"/>
      <c r="AJ42" s="428"/>
      <c r="AK42" s="426"/>
      <c r="AL42" s="425"/>
      <c r="AM42" s="425"/>
      <c r="AN42" s="427"/>
      <c r="AO42" s="426"/>
      <c r="AP42" s="425"/>
      <c r="AQ42" s="429"/>
      <c r="AR42" s="427"/>
      <c r="AS42" s="425"/>
      <c r="AT42" s="425"/>
      <c r="AU42" s="425"/>
      <c r="AV42" s="425"/>
      <c r="AW42" s="425"/>
      <c r="AX42" s="425"/>
      <c r="AY42" s="427"/>
      <c r="AZ42" s="425"/>
      <c r="BA42" s="427"/>
      <c r="BB42" s="425"/>
      <c r="BC42" s="427"/>
      <c r="BD42" s="425"/>
      <c r="BE42" s="427"/>
      <c r="BF42" s="427"/>
      <c r="BG42" s="427"/>
      <c r="BH42" s="427"/>
      <c r="BI42" s="425"/>
      <c r="BJ42" s="425"/>
      <c r="BK42" s="425"/>
      <c r="BL42" s="426"/>
      <c r="BM42" s="425"/>
      <c r="BN42" s="426"/>
      <c r="BO42" s="426"/>
      <c r="BP42" s="426"/>
      <c r="BQ42" s="426"/>
      <c r="BR42" s="426"/>
      <c r="BS42" s="430"/>
      <c r="BT42" s="425"/>
      <c r="BU42" s="425"/>
      <c r="BV42" s="425"/>
      <c r="BW42" s="426"/>
      <c r="BX42" s="426"/>
      <c r="BY42" s="426"/>
      <c r="BZ42" s="426"/>
      <c r="CA42" s="427"/>
      <c r="CB42" s="427"/>
      <c r="CC42" s="426"/>
      <c r="CD42" s="425"/>
      <c r="CE42" s="425"/>
      <c r="CF42" s="427"/>
      <c r="CG42" s="427"/>
      <c r="CH42" s="427"/>
      <c r="CI42" s="427"/>
      <c r="CJ42" s="425"/>
      <c r="CK42" s="425"/>
      <c r="CL42" s="425"/>
      <c r="CM42" s="425"/>
      <c r="CN42" s="425"/>
      <c r="CO42" s="425"/>
      <c r="CP42" s="427"/>
      <c r="CQ42" s="425"/>
      <c r="CR42" s="427"/>
      <c r="CS42" s="425"/>
      <c r="CT42" s="427"/>
      <c r="CU42" s="425"/>
      <c r="CV42" s="425"/>
      <c r="CW42" s="427"/>
      <c r="CX42" s="425"/>
      <c r="CY42" s="427"/>
      <c r="CZ42" s="425"/>
      <c r="DA42" s="427"/>
      <c r="DB42" s="425"/>
      <c r="DC42" s="425"/>
      <c r="DD42" s="425"/>
      <c r="DE42" s="425"/>
      <c r="DF42" s="425"/>
    </row>
    <row r="43">
      <c r="A43" s="425"/>
      <c r="B43" s="425"/>
      <c r="C43" s="425"/>
      <c r="D43" s="425"/>
      <c r="E43" s="425"/>
      <c r="F43" s="425"/>
      <c r="G43" s="426"/>
      <c r="H43" s="426"/>
      <c r="I43" s="427"/>
      <c r="J43" s="427"/>
      <c r="K43" s="427"/>
      <c r="L43" s="427"/>
      <c r="M43" s="427"/>
      <c r="N43" s="427"/>
      <c r="O43" s="427"/>
      <c r="P43" s="427"/>
      <c r="Q43" s="426"/>
      <c r="R43" s="427"/>
      <c r="S43" s="426"/>
      <c r="T43" s="425"/>
      <c r="U43" s="425"/>
      <c r="V43" s="425"/>
      <c r="W43" s="425"/>
      <c r="X43" s="425"/>
      <c r="Y43" s="425"/>
      <c r="Z43" s="427"/>
      <c r="AA43" s="426"/>
      <c r="AB43" s="427"/>
      <c r="AC43" s="426"/>
      <c r="AD43" s="427"/>
      <c r="AE43" s="426"/>
      <c r="AF43" s="427"/>
      <c r="AG43" s="426"/>
      <c r="AH43" s="428"/>
      <c r="AI43" s="426"/>
      <c r="AJ43" s="428"/>
      <c r="AK43" s="426"/>
      <c r="AL43" s="425"/>
      <c r="AM43" s="425"/>
      <c r="AN43" s="427"/>
      <c r="AO43" s="426"/>
      <c r="AP43" s="425"/>
      <c r="AQ43" s="429"/>
      <c r="AR43" s="427"/>
      <c r="AS43" s="425"/>
      <c r="AT43" s="425"/>
      <c r="AU43" s="425"/>
      <c r="AV43" s="425"/>
      <c r="AW43" s="425"/>
      <c r="AX43" s="425"/>
      <c r="AY43" s="427"/>
      <c r="AZ43" s="425"/>
      <c r="BA43" s="427"/>
      <c r="BB43" s="425"/>
      <c r="BC43" s="427"/>
      <c r="BD43" s="425"/>
      <c r="BE43" s="427"/>
      <c r="BF43" s="427"/>
      <c r="BG43" s="427"/>
      <c r="BH43" s="427"/>
      <c r="BI43" s="425"/>
      <c r="BJ43" s="425"/>
      <c r="BK43" s="425"/>
      <c r="BL43" s="426"/>
      <c r="BM43" s="425"/>
      <c r="BN43" s="426"/>
      <c r="BO43" s="426"/>
      <c r="BP43" s="426"/>
      <c r="BQ43" s="426"/>
      <c r="BR43" s="426"/>
      <c r="BS43" s="430"/>
      <c r="BT43" s="425"/>
      <c r="BU43" s="425"/>
      <c r="BV43" s="425"/>
      <c r="BW43" s="426"/>
      <c r="BX43" s="426"/>
      <c r="BY43" s="426"/>
      <c r="BZ43" s="426"/>
      <c r="CA43" s="427"/>
      <c r="CB43" s="427"/>
      <c r="CC43" s="426"/>
      <c r="CD43" s="425"/>
      <c r="CE43" s="425"/>
      <c r="CF43" s="427"/>
      <c r="CG43" s="427"/>
      <c r="CH43" s="427"/>
      <c r="CI43" s="427"/>
      <c r="CJ43" s="425"/>
      <c r="CK43" s="425"/>
      <c r="CL43" s="425"/>
      <c r="CM43" s="425"/>
      <c r="CN43" s="425"/>
      <c r="CO43" s="425"/>
      <c r="CP43" s="427"/>
      <c r="CQ43" s="425"/>
      <c r="CR43" s="427"/>
      <c r="CS43" s="425"/>
      <c r="CT43" s="427"/>
      <c r="CU43" s="425"/>
      <c r="CV43" s="425"/>
      <c r="CW43" s="427"/>
      <c r="CX43" s="425"/>
      <c r="CY43" s="427"/>
      <c r="CZ43" s="425"/>
      <c r="DA43" s="427"/>
      <c r="DB43" s="425"/>
      <c r="DC43" s="425"/>
      <c r="DD43" s="425"/>
      <c r="DE43" s="425"/>
      <c r="DF43" s="425"/>
    </row>
    <row r="44">
      <c r="A44" s="425"/>
      <c r="B44" s="425"/>
      <c r="C44" s="425"/>
      <c r="D44" s="425"/>
      <c r="E44" s="425"/>
      <c r="F44" s="425"/>
      <c r="G44" s="426"/>
      <c r="H44" s="426"/>
      <c r="I44" s="427"/>
      <c r="J44" s="427"/>
      <c r="K44" s="427"/>
      <c r="L44" s="427"/>
      <c r="M44" s="427"/>
      <c r="N44" s="427"/>
      <c r="O44" s="427"/>
      <c r="P44" s="427"/>
      <c r="Q44" s="426"/>
      <c r="R44" s="427"/>
      <c r="S44" s="426"/>
      <c r="T44" s="425"/>
      <c r="U44" s="425"/>
      <c r="V44" s="425"/>
      <c r="W44" s="425"/>
      <c r="X44" s="425"/>
      <c r="Y44" s="425"/>
      <c r="Z44" s="427"/>
      <c r="AA44" s="426"/>
      <c r="AB44" s="427"/>
      <c r="AC44" s="426"/>
      <c r="AD44" s="427"/>
      <c r="AE44" s="426"/>
      <c r="AF44" s="427"/>
      <c r="AG44" s="426"/>
      <c r="AH44" s="428"/>
      <c r="AI44" s="426"/>
      <c r="AJ44" s="428"/>
      <c r="AK44" s="426"/>
      <c r="AL44" s="425"/>
      <c r="AM44" s="425"/>
      <c r="AN44" s="427"/>
      <c r="AO44" s="426"/>
      <c r="AP44" s="425"/>
      <c r="AQ44" s="429"/>
      <c r="AR44" s="427"/>
      <c r="AS44" s="425"/>
      <c r="AT44" s="425"/>
      <c r="AU44" s="425"/>
      <c r="AV44" s="425"/>
      <c r="AW44" s="425"/>
      <c r="AX44" s="425"/>
      <c r="AY44" s="427"/>
      <c r="AZ44" s="425"/>
      <c r="BA44" s="427"/>
      <c r="BB44" s="425"/>
      <c r="BC44" s="427"/>
      <c r="BD44" s="425"/>
      <c r="BE44" s="427"/>
      <c r="BF44" s="427"/>
      <c r="BG44" s="427"/>
      <c r="BH44" s="427"/>
      <c r="BI44" s="425"/>
      <c r="BJ44" s="425"/>
      <c r="BK44" s="425"/>
      <c r="BL44" s="426"/>
      <c r="BM44" s="425"/>
      <c r="BN44" s="426"/>
      <c r="BO44" s="426"/>
      <c r="BP44" s="426"/>
      <c r="BQ44" s="426"/>
      <c r="BR44" s="426"/>
      <c r="BS44" s="430"/>
      <c r="BT44" s="425"/>
      <c r="BU44" s="425"/>
      <c r="BV44" s="425"/>
      <c r="BW44" s="426"/>
      <c r="BX44" s="426"/>
      <c r="BY44" s="426"/>
      <c r="BZ44" s="426"/>
      <c r="CA44" s="427"/>
      <c r="CB44" s="427"/>
      <c r="CC44" s="426"/>
      <c r="CD44" s="425"/>
      <c r="CE44" s="425"/>
      <c r="CF44" s="427"/>
      <c r="CG44" s="427"/>
      <c r="CH44" s="427"/>
      <c r="CI44" s="427"/>
      <c r="CJ44" s="425"/>
      <c r="CK44" s="425"/>
      <c r="CL44" s="425"/>
      <c r="CM44" s="425"/>
      <c r="CN44" s="425"/>
      <c r="CO44" s="425"/>
      <c r="CP44" s="427"/>
      <c r="CQ44" s="425"/>
      <c r="CR44" s="427"/>
      <c r="CS44" s="425"/>
      <c r="CT44" s="427"/>
      <c r="CU44" s="425"/>
      <c r="CV44" s="425"/>
      <c r="CW44" s="427"/>
      <c r="CX44" s="425"/>
      <c r="CY44" s="427"/>
      <c r="CZ44" s="425"/>
      <c r="DA44" s="427"/>
      <c r="DB44" s="425"/>
      <c r="DC44" s="425"/>
      <c r="DD44" s="425"/>
      <c r="DE44" s="425"/>
      <c r="DF44" s="425"/>
    </row>
    <row r="45">
      <c r="A45" s="425"/>
      <c r="B45" s="425"/>
      <c r="C45" s="425"/>
      <c r="D45" s="425"/>
      <c r="E45" s="425"/>
      <c r="F45" s="425"/>
      <c r="G45" s="426"/>
      <c r="H45" s="426"/>
      <c r="I45" s="427"/>
      <c r="J45" s="427"/>
      <c r="K45" s="427"/>
      <c r="L45" s="427"/>
      <c r="M45" s="427"/>
      <c r="N45" s="427"/>
      <c r="O45" s="427"/>
      <c r="P45" s="427"/>
      <c r="Q45" s="426"/>
      <c r="R45" s="427"/>
      <c r="S45" s="426"/>
      <c r="T45" s="425"/>
      <c r="U45" s="425"/>
      <c r="V45" s="425"/>
      <c r="W45" s="425"/>
      <c r="X45" s="425"/>
      <c r="Y45" s="425"/>
      <c r="Z45" s="427"/>
      <c r="AA45" s="426"/>
      <c r="AB45" s="427"/>
      <c r="AC45" s="426"/>
      <c r="AD45" s="427"/>
      <c r="AE45" s="426"/>
      <c r="AF45" s="427"/>
      <c r="AG45" s="426"/>
      <c r="AH45" s="428"/>
      <c r="AI45" s="426"/>
      <c r="AJ45" s="428"/>
      <c r="AK45" s="426"/>
      <c r="AL45" s="425"/>
      <c r="AM45" s="425"/>
      <c r="AN45" s="427"/>
      <c r="AO45" s="426"/>
      <c r="AP45" s="425"/>
      <c r="AQ45" s="429"/>
      <c r="AR45" s="427"/>
      <c r="AS45" s="425"/>
      <c r="AT45" s="425"/>
      <c r="AU45" s="425"/>
      <c r="AV45" s="425"/>
      <c r="AW45" s="425"/>
      <c r="AX45" s="425"/>
      <c r="AY45" s="427"/>
      <c r="AZ45" s="425"/>
      <c r="BA45" s="427"/>
      <c r="BB45" s="425"/>
      <c r="BC45" s="427"/>
      <c r="BD45" s="425"/>
      <c r="BE45" s="427"/>
      <c r="BF45" s="427"/>
      <c r="BG45" s="427"/>
      <c r="BH45" s="427"/>
      <c r="BI45" s="425"/>
      <c r="BJ45" s="425"/>
      <c r="BK45" s="425"/>
      <c r="BL45" s="426"/>
      <c r="BM45" s="425"/>
      <c r="BN45" s="426"/>
      <c r="BO45" s="426"/>
      <c r="BP45" s="426"/>
      <c r="BQ45" s="426"/>
      <c r="BR45" s="426"/>
      <c r="BS45" s="430"/>
      <c r="BT45" s="425"/>
      <c r="BU45" s="425"/>
      <c r="BV45" s="425"/>
      <c r="BW45" s="426"/>
      <c r="BX45" s="426"/>
      <c r="BY45" s="426"/>
      <c r="BZ45" s="426"/>
      <c r="CA45" s="427"/>
      <c r="CB45" s="427"/>
      <c r="CC45" s="426"/>
      <c r="CD45" s="425"/>
      <c r="CE45" s="425"/>
      <c r="CF45" s="427"/>
      <c r="CG45" s="427"/>
      <c r="CH45" s="427"/>
      <c r="CI45" s="427"/>
      <c r="CJ45" s="425"/>
      <c r="CK45" s="425"/>
      <c r="CL45" s="425"/>
      <c r="CM45" s="425"/>
      <c r="CN45" s="425"/>
      <c r="CO45" s="425"/>
      <c r="CP45" s="427"/>
      <c r="CQ45" s="425"/>
      <c r="CR45" s="427"/>
      <c r="CS45" s="425"/>
      <c r="CT45" s="427"/>
      <c r="CU45" s="425"/>
      <c r="CV45" s="425"/>
      <c r="CW45" s="427"/>
      <c r="CX45" s="425"/>
      <c r="CY45" s="427"/>
      <c r="CZ45" s="425"/>
      <c r="DA45" s="427"/>
      <c r="DB45" s="425"/>
      <c r="DC45" s="425"/>
      <c r="DD45" s="425"/>
      <c r="DE45" s="425"/>
      <c r="DF45" s="425"/>
    </row>
    <row r="46">
      <c r="A46" s="425"/>
      <c r="B46" s="425"/>
      <c r="C46" s="425"/>
      <c r="D46" s="425"/>
      <c r="E46" s="425"/>
      <c r="F46" s="425"/>
      <c r="G46" s="426"/>
      <c r="H46" s="426"/>
      <c r="I46" s="427"/>
      <c r="J46" s="427"/>
      <c r="K46" s="427"/>
      <c r="L46" s="427"/>
      <c r="M46" s="427"/>
      <c r="N46" s="427"/>
      <c r="O46" s="427"/>
      <c r="P46" s="427"/>
      <c r="Q46" s="426"/>
      <c r="R46" s="427"/>
      <c r="S46" s="426"/>
      <c r="T46" s="425"/>
      <c r="U46" s="425"/>
      <c r="V46" s="425"/>
      <c r="W46" s="425"/>
      <c r="X46" s="425"/>
      <c r="Y46" s="425"/>
      <c r="Z46" s="427"/>
      <c r="AA46" s="426"/>
      <c r="AB46" s="427"/>
      <c r="AC46" s="426"/>
      <c r="AD46" s="427"/>
      <c r="AE46" s="426"/>
      <c r="AF46" s="427"/>
      <c r="AG46" s="426"/>
      <c r="AH46" s="428"/>
      <c r="AI46" s="426"/>
      <c r="AJ46" s="428"/>
      <c r="AK46" s="426"/>
      <c r="AL46" s="425"/>
      <c r="AM46" s="425"/>
      <c r="AN46" s="427"/>
      <c r="AO46" s="426"/>
      <c r="AP46" s="425"/>
      <c r="AQ46" s="429"/>
      <c r="AR46" s="427"/>
      <c r="AS46" s="425"/>
      <c r="AT46" s="425"/>
      <c r="AU46" s="425"/>
      <c r="AV46" s="425"/>
      <c r="AW46" s="425"/>
      <c r="AX46" s="425"/>
      <c r="AY46" s="427"/>
      <c r="AZ46" s="425"/>
      <c r="BA46" s="427"/>
      <c r="BB46" s="425"/>
      <c r="BC46" s="427"/>
      <c r="BD46" s="425"/>
      <c r="BE46" s="427"/>
      <c r="BF46" s="427"/>
      <c r="BG46" s="427"/>
      <c r="BH46" s="427"/>
      <c r="BI46" s="425"/>
      <c r="BJ46" s="425"/>
      <c r="BK46" s="425"/>
      <c r="BL46" s="426"/>
      <c r="BM46" s="425"/>
      <c r="BN46" s="426"/>
      <c r="BO46" s="426"/>
      <c r="BP46" s="426"/>
      <c r="BQ46" s="426"/>
      <c r="BR46" s="426"/>
      <c r="BS46" s="430"/>
      <c r="BT46" s="425"/>
      <c r="BU46" s="425"/>
      <c r="BV46" s="425"/>
      <c r="BW46" s="426"/>
      <c r="BX46" s="426"/>
      <c r="BY46" s="426"/>
      <c r="BZ46" s="426"/>
      <c r="CA46" s="427"/>
      <c r="CB46" s="427"/>
      <c r="CC46" s="426"/>
      <c r="CD46" s="425"/>
      <c r="CE46" s="425"/>
      <c r="CF46" s="427"/>
      <c r="CG46" s="427"/>
      <c r="CH46" s="427"/>
      <c r="CI46" s="427"/>
      <c r="CJ46" s="425"/>
      <c r="CK46" s="425"/>
      <c r="CL46" s="425"/>
      <c r="CM46" s="425"/>
      <c r="CN46" s="425"/>
      <c r="CO46" s="425"/>
      <c r="CP46" s="427"/>
      <c r="CQ46" s="425"/>
      <c r="CR46" s="427"/>
      <c r="CS46" s="425"/>
      <c r="CT46" s="427"/>
      <c r="CU46" s="425"/>
      <c r="CV46" s="425"/>
      <c r="CW46" s="427"/>
      <c r="CX46" s="425"/>
      <c r="CY46" s="427"/>
      <c r="CZ46" s="425"/>
      <c r="DA46" s="427"/>
      <c r="DB46" s="425"/>
      <c r="DC46" s="425"/>
      <c r="DD46" s="425"/>
      <c r="DE46" s="425"/>
      <c r="DF46" s="425"/>
    </row>
    <row r="47">
      <c r="A47" s="425"/>
      <c r="B47" s="425"/>
      <c r="C47" s="425"/>
      <c r="D47" s="425"/>
      <c r="E47" s="425"/>
      <c r="F47" s="425"/>
      <c r="G47" s="426"/>
      <c r="H47" s="426"/>
      <c r="I47" s="427"/>
      <c r="J47" s="427"/>
      <c r="K47" s="427"/>
      <c r="L47" s="427"/>
      <c r="M47" s="427"/>
      <c r="N47" s="427"/>
      <c r="O47" s="427"/>
      <c r="P47" s="427"/>
      <c r="Q47" s="426"/>
      <c r="R47" s="427"/>
      <c r="S47" s="426"/>
      <c r="T47" s="425"/>
      <c r="U47" s="425"/>
      <c r="V47" s="425"/>
      <c r="W47" s="425"/>
      <c r="X47" s="425"/>
      <c r="Y47" s="425"/>
      <c r="Z47" s="427"/>
      <c r="AA47" s="426"/>
      <c r="AB47" s="427"/>
      <c r="AC47" s="426"/>
      <c r="AD47" s="427"/>
      <c r="AE47" s="426"/>
      <c r="AF47" s="427"/>
      <c r="AG47" s="426"/>
      <c r="AH47" s="428"/>
      <c r="AI47" s="426"/>
      <c r="AJ47" s="428"/>
      <c r="AK47" s="426"/>
      <c r="AL47" s="425"/>
      <c r="AM47" s="425"/>
      <c r="AN47" s="427"/>
      <c r="AO47" s="426"/>
      <c r="AP47" s="425"/>
      <c r="AQ47" s="429"/>
      <c r="AR47" s="427"/>
      <c r="AS47" s="425"/>
      <c r="AT47" s="425"/>
      <c r="AU47" s="425"/>
      <c r="AV47" s="425"/>
      <c r="AW47" s="425"/>
      <c r="AX47" s="425"/>
      <c r="AY47" s="427"/>
      <c r="AZ47" s="425"/>
      <c r="BA47" s="427"/>
      <c r="BB47" s="425"/>
      <c r="BC47" s="427"/>
      <c r="BD47" s="425"/>
      <c r="BE47" s="427"/>
      <c r="BF47" s="427"/>
      <c r="BG47" s="427"/>
      <c r="BH47" s="427"/>
      <c r="BI47" s="425"/>
      <c r="BJ47" s="425"/>
      <c r="BK47" s="425"/>
      <c r="BL47" s="426"/>
      <c r="BM47" s="425"/>
      <c r="BN47" s="426"/>
      <c r="BO47" s="426"/>
      <c r="BP47" s="426"/>
      <c r="BQ47" s="426"/>
      <c r="BR47" s="426"/>
      <c r="BS47" s="430"/>
      <c r="BT47" s="425"/>
      <c r="BU47" s="425"/>
      <c r="BV47" s="425"/>
      <c r="BW47" s="426"/>
      <c r="BX47" s="426"/>
      <c r="BY47" s="426"/>
      <c r="BZ47" s="426"/>
      <c r="CA47" s="427"/>
      <c r="CB47" s="427"/>
      <c r="CC47" s="426"/>
      <c r="CD47" s="425"/>
      <c r="CE47" s="425"/>
      <c r="CF47" s="427"/>
      <c r="CG47" s="427"/>
      <c r="CH47" s="427"/>
      <c r="CI47" s="427"/>
      <c r="CJ47" s="425"/>
      <c r="CK47" s="425"/>
      <c r="CL47" s="425"/>
      <c r="CM47" s="425"/>
      <c r="CN47" s="425"/>
      <c r="CO47" s="425"/>
      <c r="CP47" s="427"/>
      <c r="CQ47" s="425"/>
      <c r="CR47" s="427"/>
      <c r="CS47" s="425"/>
      <c r="CT47" s="427"/>
      <c r="CU47" s="425"/>
      <c r="CV47" s="425"/>
      <c r="CW47" s="427"/>
      <c r="CX47" s="425"/>
      <c r="CY47" s="427"/>
      <c r="CZ47" s="425"/>
      <c r="DA47" s="427"/>
      <c r="DB47" s="425"/>
      <c r="DC47" s="425"/>
      <c r="DD47" s="425"/>
      <c r="DE47" s="425"/>
      <c r="DF47" s="425"/>
    </row>
    <row r="48">
      <c r="A48" s="425"/>
      <c r="B48" s="425"/>
      <c r="C48" s="425"/>
      <c r="D48" s="425"/>
      <c r="E48" s="425"/>
      <c r="F48" s="425"/>
      <c r="G48" s="426"/>
      <c r="H48" s="426"/>
      <c r="I48" s="427"/>
      <c r="J48" s="427"/>
      <c r="K48" s="427"/>
      <c r="L48" s="427"/>
      <c r="M48" s="427"/>
      <c r="N48" s="427"/>
      <c r="O48" s="427"/>
      <c r="P48" s="427"/>
      <c r="Q48" s="426"/>
      <c r="R48" s="427"/>
      <c r="S48" s="426"/>
      <c r="T48" s="425"/>
      <c r="U48" s="425"/>
      <c r="V48" s="425"/>
      <c r="W48" s="425"/>
      <c r="X48" s="425"/>
      <c r="Y48" s="425"/>
      <c r="Z48" s="427"/>
      <c r="AA48" s="426"/>
      <c r="AB48" s="427"/>
      <c r="AC48" s="426"/>
      <c r="AD48" s="427"/>
      <c r="AE48" s="426"/>
      <c r="AF48" s="427"/>
      <c r="AG48" s="426"/>
      <c r="AH48" s="428"/>
      <c r="AI48" s="426"/>
      <c r="AJ48" s="428"/>
      <c r="AK48" s="426"/>
      <c r="AL48" s="425"/>
      <c r="AM48" s="425"/>
      <c r="AN48" s="427"/>
      <c r="AO48" s="426"/>
      <c r="AP48" s="425"/>
      <c r="AQ48" s="429"/>
      <c r="AR48" s="427"/>
      <c r="AS48" s="425"/>
      <c r="AT48" s="425"/>
      <c r="AU48" s="425"/>
      <c r="AV48" s="425"/>
      <c r="AW48" s="425"/>
      <c r="AX48" s="425"/>
      <c r="AY48" s="427"/>
      <c r="AZ48" s="425"/>
      <c r="BA48" s="427"/>
      <c r="BB48" s="425"/>
      <c r="BC48" s="427"/>
      <c r="BD48" s="425"/>
      <c r="BE48" s="427"/>
      <c r="BF48" s="427"/>
      <c r="BG48" s="427"/>
      <c r="BH48" s="427"/>
      <c r="BI48" s="425"/>
      <c r="BJ48" s="425"/>
      <c r="BK48" s="425"/>
      <c r="BL48" s="426"/>
      <c r="BM48" s="425"/>
      <c r="BN48" s="426"/>
      <c r="BO48" s="426"/>
      <c r="BP48" s="426"/>
      <c r="BQ48" s="426"/>
      <c r="BR48" s="426"/>
      <c r="BS48" s="430"/>
      <c r="BT48" s="425"/>
      <c r="BU48" s="425"/>
      <c r="BV48" s="425"/>
      <c r="BW48" s="426"/>
      <c r="BX48" s="426"/>
      <c r="BY48" s="426"/>
      <c r="BZ48" s="426"/>
      <c r="CA48" s="427"/>
      <c r="CB48" s="427"/>
      <c r="CC48" s="426"/>
      <c r="CD48" s="425"/>
      <c r="CE48" s="425"/>
      <c r="CF48" s="427"/>
      <c r="CG48" s="427"/>
      <c r="CH48" s="427"/>
      <c r="CI48" s="427"/>
      <c r="CJ48" s="425"/>
      <c r="CK48" s="425"/>
      <c r="CL48" s="425"/>
      <c r="CM48" s="425"/>
      <c r="CN48" s="425"/>
      <c r="CO48" s="425"/>
      <c r="CP48" s="427"/>
      <c r="CQ48" s="425"/>
      <c r="CR48" s="427"/>
      <c r="CS48" s="425"/>
      <c r="CT48" s="427"/>
      <c r="CU48" s="425"/>
      <c r="CV48" s="425"/>
      <c r="CW48" s="427"/>
      <c r="CX48" s="425"/>
      <c r="CY48" s="427"/>
      <c r="CZ48" s="425"/>
      <c r="DA48" s="427"/>
      <c r="DB48" s="425"/>
      <c r="DC48" s="425"/>
      <c r="DD48" s="425"/>
      <c r="DE48" s="425"/>
      <c r="DF48" s="425"/>
    </row>
    <row r="49">
      <c r="A49" s="425"/>
      <c r="B49" s="425"/>
      <c r="C49" s="425"/>
      <c r="D49" s="425"/>
      <c r="E49" s="425"/>
      <c r="F49" s="425"/>
      <c r="G49" s="426"/>
      <c r="H49" s="426"/>
      <c r="I49" s="427"/>
      <c r="J49" s="427"/>
      <c r="K49" s="427"/>
      <c r="L49" s="427"/>
      <c r="M49" s="427"/>
      <c r="N49" s="427"/>
      <c r="O49" s="427"/>
      <c r="P49" s="427"/>
      <c r="Q49" s="426"/>
      <c r="R49" s="427"/>
      <c r="S49" s="426"/>
      <c r="T49" s="425"/>
      <c r="U49" s="425"/>
      <c r="V49" s="425"/>
      <c r="W49" s="425"/>
      <c r="X49" s="425"/>
      <c r="Y49" s="425"/>
      <c r="Z49" s="427"/>
      <c r="AA49" s="426"/>
      <c r="AB49" s="427"/>
      <c r="AC49" s="426"/>
      <c r="AD49" s="427"/>
      <c r="AE49" s="426"/>
      <c r="AF49" s="427"/>
      <c r="AG49" s="426"/>
      <c r="AH49" s="428"/>
      <c r="AI49" s="426"/>
      <c r="AJ49" s="428"/>
      <c r="AK49" s="426"/>
      <c r="AL49" s="425"/>
      <c r="AM49" s="425"/>
      <c r="AN49" s="427"/>
      <c r="AO49" s="426"/>
      <c r="AP49" s="425"/>
      <c r="AQ49" s="429"/>
      <c r="AR49" s="427"/>
      <c r="AS49" s="425"/>
      <c r="AT49" s="425"/>
      <c r="AU49" s="425"/>
      <c r="AV49" s="425"/>
      <c r="AW49" s="425"/>
      <c r="AX49" s="425"/>
      <c r="AY49" s="427"/>
      <c r="AZ49" s="425"/>
      <c r="BA49" s="427"/>
      <c r="BB49" s="425"/>
      <c r="BC49" s="427"/>
      <c r="BD49" s="425"/>
      <c r="BE49" s="427"/>
      <c r="BF49" s="427"/>
      <c r="BG49" s="427"/>
      <c r="BH49" s="427"/>
      <c r="BI49" s="425"/>
      <c r="BJ49" s="425"/>
      <c r="BK49" s="425"/>
      <c r="BL49" s="426"/>
      <c r="BM49" s="425"/>
      <c r="BN49" s="426"/>
      <c r="BO49" s="426"/>
      <c r="BP49" s="426"/>
      <c r="BQ49" s="426"/>
      <c r="BR49" s="426"/>
      <c r="BS49" s="430"/>
      <c r="BT49" s="425"/>
      <c r="BU49" s="425"/>
      <c r="BV49" s="425"/>
      <c r="BW49" s="426"/>
      <c r="BX49" s="426"/>
      <c r="BY49" s="426"/>
      <c r="BZ49" s="426"/>
      <c r="CA49" s="427"/>
      <c r="CB49" s="427"/>
      <c r="CC49" s="426"/>
      <c r="CD49" s="425"/>
      <c r="CE49" s="425"/>
      <c r="CF49" s="427"/>
      <c r="CG49" s="427"/>
      <c r="CH49" s="427"/>
      <c r="CI49" s="427"/>
      <c r="CJ49" s="425"/>
      <c r="CK49" s="425"/>
      <c r="CL49" s="425"/>
      <c r="CM49" s="425"/>
      <c r="CN49" s="425"/>
      <c r="CO49" s="425"/>
      <c r="CP49" s="427"/>
      <c r="CQ49" s="425"/>
      <c r="CR49" s="427"/>
      <c r="CS49" s="425"/>
      <c r="CT49" s="427"/>
      <c r="CU49" s="425"/>
      <c r="CV49" s="425"/>
      <c r="CW49" s="427"/>
      <c r="CX49" s="425"/>
      <c r="CY49" s="427"/>
      <c r="CZ49" s="425"/>
      <c r="DA49" s="427"/>
      <c r="DB49" s="425"/>
      <c r="DC49" s="425"/>
      <c r="DD49" s="425"/>
      <c r="DE49" s="425"/>
      <c r="DF49" s="425"/>
    </row>
    <row r="50">
      <c r="A50" s="425"/>
      <c r="B50" s="425"/>
      <c r="C50" s="425"/>
      <c r="D50" s="425"/>
      <c r="E50" s="425"/>
      <c r="F50" s="425"/>
      <c r="G50" s="426"/>
      <c r="H50" s="426"/>
      <c r="I50" s="427"/>
      <c r="J50" s="427"/>
      <c r="K50" s="427"/>
      <c r="L50" s="427"/>
      <c r="M50" s="427"/>
      <c r="N50" s="427"/>
      <c r="O50" s="427"/>
      <c r="P50" s="427"/>
      <c r="Q50" s="426"/>
      <c r="R50" s="427"/>
      <c r="S50" s="426"/>
      <c r="T50" s="425"/>
      <c r="U50" s="425"/>
      <c r="V50" s="425"/>
      <c r="W50" s="425"/>
      <c r="X50" s="425"/>
      <c r="Y50" s="425"/>
      <c r="Z50" s="427"/>
      <c r="AA50" s="426"/>
      <c r="AB50" s="427"/>
      <c r="AC50" s="426"/>
      <c r="AD50" s="427"/>
      <c r="AE50" s="426"/>
      <c r="AF50" s="427"/>
      <c r="AG50" s="426"/>
      <c r="AH50" s="428"/>
      <c r="AI50" s="426"/>
      <c r="AJ50" s="428"/>
      <c r="AK50" s="426"/>
      <c r="AL50" s="425"/>
      <c r="AM50" s="425"/>
      <c r="AN50" s="427"/>
      <c r="AO50" s="426"/>
      <c r="AP50" s="425"/>
      <c r="AQ50" s="429"/>
      <c r="AR50" s="427"/>
      <c r="AS50" s="425"/>
      <c r="AT50" s="425"/>
      <c r="AU50" s="425"/>
      <c r="AV50" s="425"/>
      <c r="AW50" s="425"/>
      <c r="AX50" s="425"/>
      <c r="AY50" s="427"/>
      <c r="AZ50" s="425"/>
      <c r="BA50" s="427"/>
      <c r="BB50" s="425"/>
      <c r="BC50" s="427"/>
      <c r="BD50" s="425"/>
      <c r="BE50" s="427"/>
      <c r="BF50" s="427"/>
      <c r="BG50" s="427"/>
      <c r="BH50" s="427"/>
      <c r="BI50" s="425"/>
      <c r="BJ50" s="425"/>
      <c r="BK50" s="425"/>
      <c r="BL50" s="426"/>
      <c r="BM50" s="425"/>
      <c r="BN50" s="426"/>
      <c r="BO50" s="426"/>
      <c r="BP50" s="426"/>
      <c r="BQ50" s="426"/>
      <c r="BR50" s="426"/>
      <c r="BS50" s="430"/>
      <c r="BT50" s="425"/>
      <c r="BU50" s="425"/>
      <c r="BV50" s="425"/>
      <c r="BW50" s="426"/>
      <c r="BX50" s="426"/>
      <c r="BY50" s="426"/>
      <c r="BZ50" s="426"/>
      <c r="CA50" s="427"/>
      <c r="CB50" s="427"/>
      <c r="CC50" s="426"/>
      <c r="CD50" s="425"/>
      <c r="CE50" s="425"/>
      <c r="CF50" s="427"/>
      <c r="CG50" s="427"/>
      <c r="CH50" s="427"/>
      <c r="CI50" s="427"/>
      <c r="CJ50" s="425"/>
      <c r="CK50" s="425"/>
      <c r="CL50" s="425"/>
      <c r="CM50" s="425"/>
      <c r="CN50" s="425"/>
      <c r="CO50" s="425"/>
      <c r="CP50" s="427"/>
      <c r="CQ50" s="425"/>
      <c r="CR50" s="427"/>
      <c r="CS50" s="425"/>
      <c r="CT50" s="427"/>
      <c r="CU50" s="425"/>
      <c r="CV50" s="425"/>
      <c r="CW50" s="427"/>
      <c r="CX50" s="425"/>
      <c r="CY50" s="427"/>
      <c r="CZ50" s="425"/>
      <c r="DA50" s="427"/>
      <c r="DB50" s="425"/>
      <c r="DC50" s="425"/>
      <c r="DD50" s="425"/>
      <c r="DE50" s="425"/>
      <c r="DF50" s="425"/>
    </row>
    <row r="51">
      <c r="A51" s="425"/>
      <c r="B51" s="425"/>
      <c r="C51" s="425"/>
      <c r="D51" s="425"/>
      <c r="E51" s="425"/>
      <c r="F51" s="425"/>
      <c r="G51" s="426"/>
      <c r="H51" s="426"/>
      <c r="I51" s="427"/>
      <c r="J51" s="427"/>
      <c r="K51" s="427"/>
      <c r="L51" s="427"/>
      <c r="M51" s="427"/>
      <c r="N51" s="427"/>
      <c r="O51" s="427"/>
      <c r="P51" s="427"/>
      <c r="Q51" s="426"/>
      <c r="R51" s="427"/>
      <c r="S51" s="426"/>
      <c r="T51" s="425"/>
      <c r="U51" s="425"/>
      <c r="V51" s="425"/>
      <c r="W51" s="425"/>
      <c r="X51" s="425"/>
      <c r="Y51" s="425"/>
      <c r="Z51" s="427"/>
      <c r="AA51" s="426"/>
      <c r="AB51" s="427"/>
      <c r="AC51" s="426"/>
      <c r="AD51" s="427"/>
      <c r="AE51" s="426"/>
      <c r="AF51" s="427"/>
      <c r="AG51" s="426"/>
      <c r="AH51" s="428"/>
      <c r="AI51" s="426"/>
      <c r="AJ51" s="428"/>
      <c r="AK51" s="426"/>
      <c r="AL51" s="425"/>
      <c r="AM51" s="425"/>
      <c r="AN51" s="427"/>
      <c r="AO51" s="426"/>
      <c r="AP51" s="425"/>
      <c r="AQ51" s="429"/>
      <c r="AR51" s="427"/>
      <c r="AS51" s="425"/>
      <c r="AT51" s="425"/>
      <c r="AU51" s="425"/>
      <c r="AV51" s="425"/>
      <c r="AW51" s="425"/>
      <c r="AX51" s="425"/>
      <c r="AY51" s="427"/>
      <c r="AZ51" s="425"/>
      <c r="BA51" s="427"/>
      <c r="BB51" s="425"/>
      <c r="BC51" s="427"/>
      <c r="BD51" s="425"/>
      <c r="BE51" s="427"/>
      <c r="BF51" s="427"/>
      <c r="BG51" s="427"/>
      <c r="BH51" s="427"/>
      <c r="BI51" s="425"/>
      <c r="BJ51" s="425"/>
      <c r="BK51" s="425"/>
      <c r="BL51" s="426"/>
      <c r="BM51" s="425"/>
      <c r="BN51" s="426"/>
      <c r="BO51" s="426"/>
      <c r="BP51" s="426"/>
      <c r="BQ51" s="426"/>
      <c r="BR51" s="426"/>
      <c r="BS51" s="430"/>
      <c r="BT51" s="425"/>
      <c r="BU51" s="425"/>
      <c r="BV51" s="425"/>
      <c r="BW51" s="426"/>
      <c r="BX51" s="426"/>
      <c r="BY51" s="426"/>
      <c r="BZ51" s="426"/>
      <c r="CA51" s="427"/>
      <c r="CB51" s="427"/>
      <c r="CC51" s="426"/>
      <c r="CD51" s="425"/>
      <c r="CE51" s="425"/>
      <c r="CF51" s="427"/>
      <c r="CG51" s="427"/>
      <c r="CH51" s="427"/>
      <c r="CI51" s="427"/>
      <c r="CJ51" s="425"/>
      <c r="CK51" s="425"/>
      <c r="CL51" s="425"/>
      <c r="CM51" s="425"/>
      <c r="CN51" s="425"/>
      <c r="CO51" s="425"/>
      <c r="CP51" s="427"/>
      <c r="CQ51" s="425"/>
      <c r="CR51" s="427"/>
      <c r="CS51" s="425"/>
      <c r="CT51" s="427"/>
      <c r="CU51" s="425"/>
      <c r="CV51" s="425"/>
      <c r="CW51" s="427"/>
      <c r="CX51" s="425"/>
      <c r="CY51" s="427"/>
      <c r="CZ51" s="425"/>
      <c r="DA51" s="427"/>
      <c r="DB51" s="425"/>
      <c r="DC51" s="425"/>
      <c r="DD51" s="425"/>
      <c r="DE51" s="425"/>
      <c r="DF51" s="425"/>
    </row>
    <row r="52">
      <c r="A52" s="425"/>
      <c r="B52" s="425"/>
      <c r="C52" s="425"/>
      <c r="D52" s="425"/>
      <c r="E52" s="425"/>
      <c r="F52" s="425"/>
      <c r="G52" s="426"/>
      <c r="H52" s="426"/>
      <c r="I52" s="427"/>
      <c r="J52" s="427"/>
      <c r="K52" s="427"/>
      <c r="L52" s="427"/>
      <c r="M52" s="427"/>
      <c r="N52" s="427"/>
      <c r="O52" s="427"/>
      <c r="P52" s="427"/>
      <c r="Q52" s="426"/>
      <c r="R52" s="427"/>
      <c r="S52" s="426"/>
      <c r="T52" s="425"/>
      <c r="U52" s="425"/>
      <c r="V52" s="425"/>
      <c r="W52" s="425"/>
      <c r="X52" s="425"/>
      <c r="Y52" s="425"/>
      <c r="Z52" s="427"/>
      <c r="AA52" s="426"/>
      <c r="AB52" s="427"/>
      <c r="AC52" s="426"/>
      <c r="AD52" s="427"/>
      <c r="AE52" s="426"/>
      <c r="AF52" s="427"/>
      <c r="AG52" s="426"/>
      <c r="AH52" s="428"/>
      <c r="AI52" s="426"/>
      <c r="AJ52" s="428"/>
      <c r="AK52" s="426"/>
      <c r="AL52" s="425"/>
      <c r="AM52" s="425"/>
      <c r="AN52" s="427"/>
      <c r="AO52" s="426"/>
      <c r="AP52" s="425"/>
      <c r="AQ52" s="429"/>
      <c r="AR52" s="427"/>
      <c r="AS52" s="425"/>
      <c r="AT52" s="425"/>
      <c r="AU52" s="425"/>
      <c r="AV52" s="425"/>
      <c r="AW52" s="425"/>
      <c r="AX52" s="425"/>
      <c r="AY52" s="427"/>
      <c r="AZ52" s="425"/>
      <c r="BA52" s="427"/>
      <c r="BB52" s="425"/>
      <c r="BC52" s="427"/>
      <c r="BD52" s="425"/>
      <c r="BE52" s="427"/>
      <c r="BF52" s="427"/>
      <c r="BG52" s="427"/>
      <c r="BH52" s="427"/>
      <c r="BI52" s="425"/>
      <c r="BJ52" s="425"/>
      <c r="BK52" s="425"/>
      <c r="BL52" s="426"/>
      <c r="BM52" s="425"/>
      <c r="BN52" s="426"/>
      <c r="BO52" s="426"/>
      <c r="BP52" s="426"/>
      <c r="BQ52" s="426"/>
      <c r="BR52" s="426"/>
      <c r="BS52" s="430"/>
      <c r="BT52" s="425"/>
      <c r="BU52" s="425"/>
      <c r="BV52" s="425"/>
      <c r="BW52" s="426"/>
      <c r="BX52" s="426"/>
      <c r="BY52" s="426"/>
      <c r="BZ52" s="426"/>
      <c r="CA52" s="427"/>
      <c r="CB52" s="427"/>
      <c r="CC52" s="426"/>
      <c r="CD52" s="425"/>
      <c r="CE52" s="425"/>
      <c r="CF52" s="427"/>
      <c r="CG52" s="427"/>
      <c r="CH52" s="427"/>
      <c r="CI52" s="427"/>
      <c r="CJ52" s="425"/>
      <c r="CK52" s="425"/>
      <c r="CL52" s="425"/>
      <c r="CM52" s="425"/>
      <c r="CN52" s="425"/>
      <c r="CO52" s="425"/>
      <c r="CP52" s="427"/>
      <c r="CQ52" s="425"/>
      <c r="CR52" s="427"/>
      <c r="CS52" s="425"/>
      <c r="CT52" s="427"/>
      <c r="CU52" s="425"/>
      <c r="CV52" s="425"/>
      <c r="CW52" s="427"/>
      <c r="CX52" s="425"/>
      <c r="CY52" s="427"/>
      <c r="CZ52" s="425"/>
      <c r="DA52" s="427"/>
      <c r="DB52" s="425"/>
      <c r="DC52" s="425"/>
      <c r="DD52" s="425"/>
      <c r="DE52" s="425"/>
      <c r="DF52" s="425"/>
    </row>
    <row r="53">
      <c r="A53" s="425"/>
      <c r="B53" s="425"/>
      <c r="C53" s="425"/>
      <c r="D53" s="425"/>
      <c r="E53" s="425"/>
      <c r="F53" s="425"/>
      <c r="G53" s="426"/>
      <c r="H53" s="426"/>
      <c r="I53" s="427"/>
      <c r="J53" s="427"/>
      <c r="K53" s="427"/>
      <c r="L53" s="427"/>
      <c r="M53" s="427"/>
      <c r="N53" s="427"/>
      <c r="O53" s="427"/>
      <c r="P53" s="427"/>
      <c r="Q53" s="426"/>
      <c r="R53" s="427"/>
      <c r="S53" s="426"/>
      <c r="T53" s="425"/>
      <c r="U53" s="425"/>
      <c r="V53" s="425"/>
      <c r="W53" s="425"/>
      <c r="X53" s="425"/>
      <c r="Y53" s="425"/>
      <c r="Z53" s="427"/>
      <c r="AA53" s="426"/>
      <c r="AB53" s="427"/>
      <c r="AC53" s="426"/>
      <c r="AD53" s="427"/>
      <c r="AE53" s="426"/>
      <c r="AF53" s="427"/>
      <c r="AG53" s="426"/>
      <c r="AH53" s="428"/>
      <c r="AI53" s="426"/>
      <c r="AJ53" s="428"/>
      <c r="AK53" s="426"/>
      <c r="AL53" s="425"/>
      <c r="AM53" s="425"/>
      <c r="AN53" s="427"/>
      <c r="AO53" s="426"/>
      <c r="AP53" s="425"/>
      <c r="AQ53" s="429"/>
      <c r="AR53" s="427"/>
      <c r="AS53" s="425"/>
      <c r="AT53" s="425"/>
      <c r="AU53" s="425"/>
      <c r="AV53" s="425"/>
      <c r="AW53" s="425"/>
      <c r="AX53" s="425"/>
      <c r="AY53" s="427"/>
      <c r="AZ53" s="425"/>
      <c r="BA53" s="427"/>
      <c r="BB53" s="425"/>
      <c r="BC53" s="427"/>
      <c r="BD53" s="425"/>
      <c r="BE53" s="427"/>
      <c r="BF53" s="427"/>
      <c r="BG53" s="427"/>
      <c r="BH53" s="427"/>
      <c r="BI53" s="425"/>
      <c r="BJ53" s="425"/>
      <c r="BK53" s="425"/>
      <c r="BL53" s="426"/>
      <c r="BM53" s="425"/>
      <c r="BN53" s="426"/>
      <c r="BO53" s="426"/>
      <c r="BP53" s="426"/>
      <c r="BQ53" s="426"/>
      <c r="BR53" s="426"/>
      <c r="BS53" s="430"/>
      <c r="BT53" s="425"/>
      <c r="BU53" s="425"/>
      <c r="BV53" s="425"/>
      <c r="BW53" s="426"/>
      <c r="BX53" s="426"/>
      <c r="BY53" s="426"/>
      <c r="BZ53" s="426"/>
      <c r="CA53" s="427"/>
      <c r="CB53" s="427"/>
      <c r="CC53" s="426"/>
      <c r="CD53" s="425"/>
      <c r="CE53" s="425"/>
      <c r="CF53" s="427"/>
      <c r="CG53" s="427"/>
      <c r="CH53" s="427"/>
      <c r="CI53" s="427"/>
      <c r="CJ53" s="425"/>
      <c r="CK53" s="425"/>
      <c r="CL53" s="425"/>
      <c r="CM53" s="425"/>
      <c r="CN53" s="425"/>
      <c r="CO53" s="425"/>
      <c r="CP53" s="427"/>
      <c r="CQ53" s="425"/>
      <c r="CR53" s="427"/>
      <c r="CS53" s="425"/>
      <c r="CT53" s="427"/>
      <c r="CU53" s="425"/>
      <c r="CV53" s="425"/>
      <c r="CW53" s="427"/>
      <c r="CX53" s="425"/>
      <c r="CY53" s="427"/>
      <c r="CZ53" s="425"/>
      <c r="DA53" s="427"/>
      <c r="DB53" s="425"/>
      <c r="DC53" s="425"/>
      <c r="DD53" s="425"/>
      <c r="DE53" s="425"/>
      <c r="DF53" s="425"/>
    </row>
    <row r="54">
      <c r="A54" s="425"/>
      <c r="B54" s="425"/>
      <c r="C54" s="425"/>
      <c r="D54" s="425"/>
      <c r="E54" s="425"/>
      <c r="F54" s="425"/>
      <c r="G54" s="426"/>
      <c r="H54" s="426"/>
      <c r="I54" s="427"/>
      <c r="J54" s="427"/>
      <c r="K54" s="427"/>
      <c r="L54" s="427"/>
      <c r="M54" s="427"/>
      <c r="N54" s="427"/>
      <c r="O54" s="427"/>
      <c r="P54" s="427"/>
      <c r="Q54" s="426"/>
      <c r="R54" s="427"/>
      <c r="S54" s="426"/>
      <c r="T54" s="425"/>
      <c r="U54" s="425"/>
      <c r="V54" s="425"/>
      <c r="W54" s="425"/>
      <c r="X54" s="425"/>
      <c r="Y54" s="425"/>
      <c r="Z54" s="427"/>
      <c r="AA54" s="426"/>
      <c r="AB54" s="427"/>
      <c r="AC54" s="426"/>
      <c r="AD54" s="427"/>
      <c r="AE54" s="426"/>
      <c r="AF54" s="427"/>
      <c r="AG54" s="426"/>
      <c r="AH54" s="428"/>
      <c r="AI54" s="426"/>
      <c r="AJ54" s="428"/>
      <c r="AK54" s="426"/>
      <c r="AL54" s="425"/>
      <c r="AM54" s="425"/>
      <c r="AN54" s="427"/>
      <c r="AO54" s="426"/>
      <c r="AP54" s="425"/>
      <c r="AQ54" s="429"/>
      <c r="AR54" s="427"/>
      <c r="AS54" s="425"/>
      <c r="AT54" s="425"/>
      <c r="AU54" s="425"/>
      <c r="AV54" s="425"/>
      <c r="AW54" s="425"/>
      <c r="AX54" s="425"/>
      <c r="AY54" s="427"/>
      <c r="AZ54" s="425"/>
      <c r="BA54" s="427"/>
      <c r="BB54" s="425"/>
      <c r="BC54" s="427"/>
      <c r="BD54" s="425"/>
      <c r="BE54" s="427"/>
      <c r="BF54" s="427"/>
      <c r="BG54" s="427"/>
      <c r="BH54" s="427"/>
      <c r="BI54" s="425"/>
      <c r="BJ54" s="425"/>
      <c r="BK54" s="425"/>
      <c r="BL54" s="426"/>
      <c r="BM54" s="425"/>
      <c r="BN54" s="426"/>
      <c r="BO54" s="426"/>
      <c r="BP54" s="426"/>
      <c r="BQ54" s="426"/>
      <c r="BR54" s="426"/>
      <c r="BS54" s="430"/>
      <c r="BT54" s="425"/>
      <c r="BU54" s="425"/>
      <c r="BV54" s="425"/>
      <c r="BW54" s="426"/>
      <c r="BX54" s="426"/>
      <c r="BY54" s="426"/>
      <c r="BZ54" s="426"/>
      <c r="CA54" s="427"/>
      <c r="CB54" s="427"/>
      <c r="CC54" s="426"/>
      <c r="CD54" s="425"/>
      <c r="CE54" s="425"/>
      <c r="CF54" s="427"/>
      <c r="CG54" s="427"/>
      <c r="CH54" s="427"/>
      <c r="CI54" s="427"/>
      <c r="CJ54" s="425"/>
      <c r="CK54" s="425"/>
      <c r="CL54" s="425"/>
      <c r="CM54" s="425"/>
      <c r="CN54" s="425"/>
      <c r="CO54" s="425"/>
      <c r="CP54" s="427"/>
      <c r="CQ54" s="425"/>
      <c r="CR54" s="427"/>
      <c r="CS54" s="425"/>
      <c r="CT54" s="427"/>
      <c r="CU54" s="425"/>
      <c r="CV54" s="425"/>
      <c r="CW54" s="427"/>
      <c r="CX54" s="425"/>
      <c r="CY54" s="427"/>
      <c r="CZ54" s="425"/>
      <c r="DA54" s="427"/>
      <c r="DB54" s="425"/>
      <c r="DC54" s="425"/>
      <c r="DD54" s="425"/>
      <c r="DE54" s="425"/>
      <c r="DF54" s="425"/>
    </row>
    <row r="55">
      <c r="A55" s="425"/>
      <c r="B55" s="425"/>
      <c r="C55" s="425"/>
      <c r="D55" s="425"/>
      <c r="E55" s="425"/>
      <c r="F55" s="425"/>
      <c r="G55" s="426"/>
      <c r="H55" s="426"/>
      <c r="I55" s="427"/>
      <c r="J55" s="427"/>
      <c r="K55" s="427"/>
      <c r="L55" s="427"/>
      <c r="M55" s="427"/>
      <c r="N55" s="427"/>
      <c r="O55" s="427"/>
      <c r="P55" s="427"/>
      <c r="Q55" s="426"/>
      <c r="R55" s="427"/>
      <c r="S55" s="426"/>
      <c r="T55" s="425"/>
      <c r="U55" s="425"/>
      <c r="V55" s="425"/>
      <c r="W55" s="425"/>
      <c r="X55" s="425"/>
      <c r="Y55" s="425"/>
      <c r="Z55" s="427"/>
      <c r="AA55" s="426"/>
      <c r="AB55" s="427"/>
      <c r="AC55" s="426"/>
      <c r="AD55" s="427"/>
      <c r="AE55" s="426"/>
      <c r="AF55" s="427"/>
      <c r="AG55" s="426"/>
      <c r="AH55" s="428"/>
      <c r="AI55" s="426"/>
      <c r="AJ55" s="428"/>
      <c r="AK55" s="426"/>
      <c r="AL55" s="425"/>
      <c r="AM55" s="425"/>
      <c r="AN55" s="427"/>
      <c r="AO55" s="426"/>
      <c r="AP55" s="425"/>
      <c r="AQ55" s="429"/>
      <c r="AR55" s="427"/>
      <c r="AS55" s="425"/>
      <c r="AT55" s="425"/>
      <c r="AU55" s="425"/>
      <c r="AV55" s="425"/>
      <c r="AW55" s="425"/>
      <c r="AX55" s="425"/>
      <c r="AY55" s="427"/>
      <c r="AZ55" s="425"/>
      <c r="BA55" s="427"/>
      <c r="BB55" s="425"/>
      <c r="BC55" s="427"/>
      <c r="BD55" s="425"/>
      <c r="BE55" s="427"/>
      <c r="BF55" s="427"/>
      <c r="BG55" s="427"/>
      <c r="BH55" s="427"/>
      <c r="BI55" s="425"/>
      <c r="BJ55" s="425"/>
      <c r="BK55" s="425"/>
      <c r="BL55" s="426"/>
      <c r="BM55" s="425"/>
      <c r="BN55" s="426"/>
      <c r="BO55" s="426"/>
      <c r="BP55" s="426"/>
      <c r="BQ55" s="426"/>
      <c r="BR55" s="426"/>
      <c r="BS55" s="430"/>
      <c r="BT55" s="425"/>
      <c r="BU55" s="425"/>
      <c r="BV55" s="425"/>
      <c r="BW55" s="426"/>
      <c r="BX55" s="426"/>
      <c r="BY55" s="426"/>
      <c r="BZ55" s="426"/>
      <c r="CA55" s="427"/>
      <c r="CB55" s="427"/>
      <c r="CC55" s="426"/>
      <c r="CD55" s="425"/>
      <c r="CE55" s="425"/>
      <c r="CF55" s="427"/>
      <c r="CG55" s="427"/>
      <c r="CH55" s="427"/>
      <c r="CI55" s="427"/>
      <c r="CJ55" s="425"/>
      <c r="CK55" s="425"/>
      <c r="CL55" s="425"/>
      <c r="CM55" s="425"/>
      <c r="CN55" s="425"/>
      <c r="CO55" s="425"/>
      <c r="CP55" s="427"/>
      <c r="CQ55" s="425"/>
      <c r="CR55" s="427"/>
      <c r="CS55" s="425"/>
      <c r="CT55" s="427"/>
      <c r="CU55" s="425"/>
      <c r="CV55" s="425"/>
      <c r="CW55" s="427"/>
      <c r="CX55" s="425"/>
      <c r="CY55" s="427"/>
      <c r="CZ55" s="425"/>
      <c r="DA55" s="427"/>
      <c r="DB55" s="425"/>
      <c r="DC55" s="425"/>
      <c r="DD55" s="425"/>
      <c r="DE55" s="425"/>
      <c r="DF55" s="425"/>
    </row>
    <row r="56">
      <c r="A56" s="425"/>
      <c r="B56" s="425"/>
      <c r="C56" s="425"/>
      <c r="D56" s="425"/>
      <c r="E56" s="425"/>
      <c r="F56" s="425"/>
      <c r="G56" s="426"/>
      <c r="H56" s="426"/>
      <c r="I56" s="427"/>
      <c r="J56" s="427"/>
      <c r="K56" s="427"/>
      <c r="L56" s="427"/>
      <c r="M56" s="427"/>
      <c r="N56" s="427"/>
      <c r="O56" s="427"/>
      <c r="P56" s="427"/>
      <c r="Q56" s="426"/>
      <c r="R56" s="427"/>
      <c r="S56" s="426"/>
      <c r="T56" s="425"/>
      <c r="U56" s="425"/>
      <c r="V56" s="425"/>
      <c r="W56" s="425"/>
      <c r="X56" s="425"/>
      <c r="Y56" s="425"/>
      <c r="Z56" s="427"/>
      <c r="AA56" s="426"/>
      <c r="AB56" s="427"/>
      <c r="AC56" s="426"/>
      <c r="AD56" s="427"/>
      <c r="AE56" s="426"/>
      <c r="AF56" s="427"/>
      <c r="AG56" s="426"/>
      <c r="AH56" s="428"/>
      <c r="AI56" s="426"/>
      <c r="AJ56" s="428"/>
      <c r="AK56" s="426"/>
      <c r="AL56" s="425"/>
      <c r="AM56" s="425"/>
      <c r="AN56" s="427"/>
      <c r="AO56" s="426"/>
      <c r="AP56" s="425"/>
      <c r="AQ56" s="429"/>
      <c r="AR56" s="427"/>
      <c r="AS56" s="425"/>
      <c r="AT56" s="425"/>
      <c r="AU56" s="425"/>
      <c r="AV56" s="425"/>
      <c r="AW56" s="425"/>
      <c r="AX56" s="425"/>
      <c r="AY56" s="427"/>
      <c r="AZ56" s="425"/>
      <c r="BA56" s="427"/>
      <c r="BB56" s="425"/>
      <c r="BC56" s="427"/>
      <c r="BD56" s="425"/>
      <c r="BE56" s="427"/>
      <c r="BF56" s="427"/>
      <c r="BG56" s="427"/>
      <c r="BH56" s="427"/>
      <c r="BI56" s="425"/>
      <c r="BJ56" s="425"/>
      <c r="BK56" s="425"/>
      <c r="BL56" s="426"/>
      <c r="BM56" s="425"/>
      <c r="BN56" s="426"/>
      <c r="BO56" s="426"/>
      <c r="BP56" s="426"/>
      <c r="BQ56" s="426"/>
      <c r="BR56" s="426"/>
      <c r="BS56" s="430"/>
      <c r="BT56" s="425"/>
      <c r="BU56" s="425"/>
      <c r="BV56" s="425"/>
      <c r="BW56" s="426"/>
      <c r="BX56" s="426"/>
      <c r="BY56" s="426"/>
      <c r="BZ56" s="426"/>
      <c r="CA56" s="427"/>
      <c r="CB56" s="427"/>
      <c r="CC56" s="426"/>
      <c r="CD56" s="425"/>
      <c r="CE56" s="425"/>
      <c r="CF56" s="427"/>
      <c r="CG56" s="427"/>
      <c r="CH56" s="427"/>
      <c r="CI56" s="427"/>
      <c r="CJ56" s="425"/>
      <c r="CK56" s="425"/>
      <c r="CL56" s="425"/>
      <c r="CM56" s="425"/>
      <c r="CN56" s="425"/>
      <c r="CO56" s="425"/>
      <c r="CP56" s="427"/>
      <c r="CQ56" s="425"/>
      <c r="CR56" s="427"/>
      <c r="CS56" s="425"/>
      <c r="CT56" s="427"/>
      <c r="CU56" s="425"/>
      <c r="CV56" s="425"/>
      <c r="CW56" s="427"/>
      <c r="CX56" s="425"/>
      <c r="CY56" s="427"/>
      <c r="CZ56" s="425"/>
      <c r="DA56" s="427"/>
      <c r="DB56" s="425"/>
      <c r="DC56" s="425"/>
      <c r="DD56" s="425"/>
      <c r="DE56" s="425"/>
      <c r="DF56" s="425"/>
    </row>
    <row r="57">
      <c r="A57" s="425"/>
      <c r="B57" s="425"/>
      <c r="C57" s="425"/>
      <c r="D57" s="425"/>
      <c r="E57" s="425"/>
      <c r="F57" s="425"/>
      <c r="G57" s="426"/>
      <c r="H57" s="426"/>
      <c r="I57" s="427"/>
      <c r="J57" s="427"/>
      <c r="K57" s="427"/>
      <c r="L57" s="427"/>
      <c r="M57" s="427"/>
      <c r="N57" s="427"/>
      <c r="O57" s="427"/>
      <c r="P57" s="427"/>
      <c r="Q57" s="426"/>
      <c r="R57" s="427"/>
      <c r="S57" s="426"/>
      <c r="T57" s="425"/>
      <c r="U57" s="425"/>
      <c r="V57" s="425"/>
      <c r="W57" s="425"/>
      <c r="X57" s="425"/>
      <c r="Y57" s="425"/>
      <c r="Z57" s="427"/>
      <c r="AA57" s="426"/>
      <c r="AB57" s="427"/>
      <c r="AC57" s="426"/>
      <c r="AD57" s="427"/>
      <c r="AE57" s="426"/>
      <c r="AF57" s="427"/>
      <c r="AG57" s="426"/>
      <c r="AH57" s="428"/>
      <c r="AI57" s="426"/>
      <c r="AJ57" s="428"/>
      <c r="AK57" s="426"/>
      <c r="AL57" s="425"/>
      <c r="AM57" s="425"/>
      <c r="AN57" s="427"/>
      <c r="AO57" s="426"/>
      <c r="AP57" s="425"/>
      <c r="AQ57" s="429"/>
      <c r="AR57" s="427"/>
      <c r="AS57" s="425"/>
      <c r="AT57" s="425"/>
      <c r="AU57" s="425"/>
      <c r="AV57" s="425"/>
      <c r="AW57" s="425"/>
      <c r="AX57" s="425"/>
      <c r="AY57" s="427"/>
      <c r="AZ57" s="425"/>
      <c r="BA57" s="427"/>
      <c r="BB57" s="425"/>
      <c r="BC57" s="427"/>
      <c r="BD57" s="425"/>
      <c r="BE57" s="427"/>
      <c r="BF57" s="427"/>
      <c r="BG57" s="427"/>
      <c r="BH57" s="427"/>
      <c r="BI57" s="425"/>
      <c r="BJ57" s="425"/>
      <c r="BK57" s="425"/>
      <c r="BL57" s="426"/>
      <c r="BM57" s="425"/>
      <c r="BN57" s="426"/>
      <c r="BO57" s="426"/>
      <c r="BP57" s="426"/>
      <c r="BQ57" s="426"/>
      <c r="BR57" s="426"/>
      <c r="BS57" s="430"/>
      <c r="BT57" s="425"/>
      <c r="BU57" s="425"/>
      <c r="BV57" s="425"/>
      <c r="BW57" s="426"/>
      <c r="BX57" s="426"/>
      <c r="BY57" s="426"/>
      <c r="BZ57" s="426"/>
      <c r="CA57" s="427"/>
      <c r="CB57" s="427"/>
      <c r="CC57" s="426"/>
      <c r="CD57" s="425"/>
      <c r="CE57" s="425"/>
      <c r="CF57" s="427"/>
      <c r="CG57" s="427"/>
      <c r="CH57" s="427"/>
      <c r="CI57" s="427"/>
      <c r="CJ57" s="425"/>
      <c r="CK57" s="425"/>
      <c r="CL57" s="425"/>
      <c r="CM57" s="425"/>
      <c r="CN57" s="425"/>
      <c r="CO57" s="425"/>
      <c r="CP57" s="427"/>
      <c r="CQ57" s="425"/>
      <c r="CR57" s="427"/>
      <c r="CS57" s="425"/>
      <c r="CT57" s="427"/>
      <c r="CU57" s="425"/>
      <c r="CV57" s="425"/>
      <c r="CW57" s="427"/>
      <c r="CX57" s="425"/>
      <c r="CY57" s="427"/>
      <c r="CZ57" s="425"/>
      <c r="DA57" s="427"/>
      <c r="DB57" s="425"/>
      <c r="DC57" s="425"/>
      <c r="DD57" s="425"/>
      <c r="DE57" s="425"/>
      <c r="DF57" s="425"/>
    </row>
    <row r="58">
      <c r="A58" s="425"/>
      <c r="B58" s="425"/>
      <c r="C58" s="425"/>
      <c r="D58" s="425"/>
      <c r="E58" s="425"/>
      <c r="F58" s="425"/>
      <c r="G58" s="426"/>
      <c r="H58" s="426"/>
      <c r="I58" s="427"/>
      <c r="J58" s="427"/>
      <c r="K58" s="427"/>
      <c r="L58" s="427"/>
      <c r="M58" s="427"/>
      <c r="N58" s="427"/>
      <c r="O58" s="427"/>
      <c r="P58" s="427"/>
      <c r="Q58" s="426"/>
      <c r="R58" s="427"/>
      <c r="S58" s="426"/>
      <c r="T58" s="425"/>
      <c r="U58" s="425"/>
      <c r="V58" s="425"/>
      <c r="W58" s="425"/>
      <c r="X58" s="425"/>
      <c r="Y58" s="425"/>
      <c r="Z58" s="427"/>
      <c r="AA58" s="426"/>
      <c r="AB58" s="427"/>
      <c r="AC58" s="426"/>
      <c r="AD58" s="427"/>
      <c r="AE58" s="426"/>
      <c r="AF58" s="427"/>
      <c r="AG58" s="426"/>
      <c r="AH58" s="428"/>
      <c r="AI58" s="426"/>
      <c r="AJ58" s="428"/>
      <c r="AK58" s="426"/>
      <c r="AL58" s="425"/>
      <c r="AM58" s="425"/>
      <c r="AN58" s="427"/>
      <c r="AO58" s="426"/>
      <c r="AP58" s="425"/>
      <c r="AQ58" s="429"/>
      <c r="AR58" s="427"/>
      <c r="AS58" s="425"/>
      <c r="AT58" s="425"/>
      <c r="AU58" s="425"/>
      <c r="AV58" s="425"/>
      <c r="AW58" s="425"/>
      <c r="AX58" s="425"/>
      <c r="AY58" s="427"/>
      <c r="AZ58" s="425"/>
      <c r="BA58" s="427"/>
      <c r="BB58" s="425"/>
      <c r="BC58" s="427"/>
      <c r="BD58" s="425"/>
      <c r="BE58" s="427"/>
      <c r="BF58" s="427"/>
      <c r="BG58" s="427"/>
      <c r="BH58" s="427"/>
      <c r="BI58" s="425"/>
      <c r="BJ58" s="425"/>
      <c r="BK58" s="425"/>
      <c r="BL58" s="426"/>
      <c r="BM58" s="425"/>
      <c r="BN58" s="426"/>
      <c r="BO58" s="426"/>
      <c r="BP58" s="426"/>
      <c r="BQ58" s="426"/>
      <c r="BR58" s="426"/>
      <c r="BS58" s="430"/>
      <c r="BT58" s="425"/>
      <c r="BU58" s="425"/>
      <c r="BV58" s="425"/>
      <c r="BW58" s="426"/>
      <c r="BX58" s="426"/>
      <c r="BY58" s="426"/>
      <c r="BZ58" s="426"/>
      <c r="CA58" s="427"/>
      <c r="CB58" s="427"/>
      <c r="CC58" s="426"/>
      <c r="CD58" s="425"/>
      <c r="CE58" s="425"/>
      <c r="CF58" s="427"/>
      <c r="CG58" s="427"/>
      <c r="CH58" s="427"/>
      <c r="CI58" s="427"/>
      <c r="CJ58" s="425"/>
      <c r="CK58" s="425"/>
      <c r="CL58" s="425"/>
      <c r="CM58" s="425"/>
      <c r="CN58" s="425"/>
      <c r="CO58" s="425"/>
      <c r="CP58" s="427"/>
      <c r="CQ58" s="425"/>
      <c r="CR58" s="427"/>
      <c r="CS58" s="425"/>
      <c r="CT58" s="427"/>
      <c r="CU58" s="425"/>
      <c r="CV58" s="425"/>
      <c r="CW58" s="427"/>
      <c r="CX58" s="425"/>
      <c r="CY58" s="427"/>
      <c r="CZ58" s="425"/>
      <c r="DA58" s="427"/>
      <c r="DB58" s="425"/>
      <c r="DC58" s="425"/>
      <c r="DD58" s="425"/>
      <c r="DE58" s="425"/>
      <c r="DF58" s="425"/>
    </row>
    <row r="59">
      <c r="A59" s="425"/>
      <c r="B59" s="425"/>
      <c r="C59" s="425"/>
      <c r="D59" s="425"/>
      <c r="E59" s="425"/>
      <c r="F59" s="425"/>
      <c r="G59" s="426"/>
      <c r="H59" s="426"/>
      <c r="I59" s="427"/>
      <c r="J59" s="427"/>
      <c r="K59" s="427"/>
      <c r="L59" s="427"/>
      <c r="M59" s="427"/>
      <c r="N59" s="427"/>
      <c r="O59" s="427"/>
      <c r="P59" s="427"/>
      <c r="Q59" s="426"/>
      <c r="R59" s="427"/>
      <c r="S59" s="426"/>
      <c r="T59" s="425"/>
      <c r="U59" s="425"/>
      <c r="V59" s="425"/>
      <c r="W59" s="425"/>
      <c r="X59" s="425"/>
      <c r="Y59" s="425"/>
      <c r="Z59" s="427"/>
      <c r="AA59" s="426"/>
      <c r="AB59" s="427"/>
      <c r="AC59" s="426"/>
      <c r="AD59" s="427"/>
      <c r="AE59" s="426"/>
      <c r="AF59" s="427"/>
      <c r="AG59" s="426"/>
      <c r="AH59" s="428"/>
      <c r="AI59" s="426"/>
      <c r="AJ59" s="428"/>
      <c r="AK59" s="426"/>
      <c r="AL59" s="425"/>
      <c r="AM59" s="425"/>
      <c r="AN59" s="427"/>
      <c r="AO59" s="426"/>
      <c r="AP59" s="425"/>
      <c r="AQ59" s="429"/>
      <c r="AR59" s="427"/>
      <c r="AS59" s="425"/>
      <c r="AT59" s="425"/>
      <c r="AU59" s="425"/>
      <c r="AV59" s="425"/>
      <c r="AW59" s="425"/>
      <c r="AX59" s="425"/>
      <c r="AY59" s="427"/>
      <c r="AZ59" s="425"/>
      <c r="BA59" s="427"/>
      <c r="BB59" s="425"/>
      <c r="BC59" s="427"/>
      <c r="BD59" s="425"/>
      <c r="BE59" s="427"/>
      <c r="BF59" s="427"/>
      <c r="BG59" s="427"/>
      <c r="BH59" s="427"/>
      <c r="BI59" s="425"/>
      <c r="BJ59" s="425"/>
      <c r="BK59" s="425"/>
      <c r="BL59" s="426"/>
      <c r="BM59" s="425"/>
      <c r="BN59" s="426"/>
      <c r="BO59" s="426"/>
      <c r="BP59" s="426"/>
      <c r="BQ59" s="426"/>
      <c r="BR59" s="426"/>
      <c r="BS59" s="430"/>
      <c r="BT59" s="425"/>
      <c r="BU59" s="425"/>
      <c r="BV59" s="425"/>
      <c r="BW59" s="426"/>
      <c r="BX59" s="426"/>
      <c r="BY59" s="426"/>
      <c r="BZ59" s="426"/>
      <c r="CA59" s="427"/>
      <c r="CB59" s="427"/>
      <c r="CC59" s="426"/>
      <c r="CD59" s="425"/>
      <c r="CE59" s="425"/>
      <c r="CF59" s="427"/>
      <c r="CG59" s="427"/>
      <c r="CH59" s="427"/>
      <c r="CI59" s="427"/>
      <c r="CJ59" s="425"/>
      <c r="CK59" s="425"/>
      <c r="CL59" s="425"/>
      <c r="CM59" s="425"/>
      <c r="CN59" s="425"/>
      <c r="CO59" s="425"/>
      <c r="CP59" s="427"/>
      <c r="CQ59" s="425"/>
      <c r="CR59" s="427"/>
      <c r="CS59" s="425"/>
      <c r="CT59" s="427"/>
      <c r="CU59" s="425"/>
      <c r="CV59" s="425"/>
      <c r="CW59" s="427"/>
      <c r="CX59" s="425"/>
      <c r="CY59" s="427"/>
      <c r="CZ59" s="425"/>
      <c r="DA59" s="427"/>
      <c r="DB59" s="425"/>
      <c r="DC59" s="425"/>
      <c r="DD59" s="425"/>
      <c r="DE59" s="425"/>
      <c r="DF59" s="425"/>
    </row>
    <row r="60">
      <c r="A60" s="425"/>
      <c r="B60" s="425"/>
      <c r="C60" s="425"/>
      <c r="D60" s="425"/>
      <c r="E60" s="425"/>
      <c r="F60" s="425"/>
      <c r="G60" s="426"/>
      <c r="H60" s="426"/>
      <c r="I60" s="427"/>
      <c r="J60" s="427"/>
      <c r="K60" s="427"/>
      <c r="L60" s="427"/>
      <c r="M60" s="427"/>
      <c r="N60" s="427"/>
      <c r="O60" s="427"/>
      <c r="P60" s="427"/>
      <c r="Q60" s="426"/>
      <c r="R60" s="427"/>
      <c r="S60" s="426"/>
      <c r="T60" s="425"/>
      <c r="U60" s="425"/>
      <c r="V60" s="425"/>
      <c r="W60" s="425"/>
      <c r="X60" s="425"/>
      <c r="Y60" s="425"/>
      <c r="Z60" s="427"/>
      <c r="AA60" s="426"/>
      <c r="AB60" s="427"/>
      <c r="AC60" s="426"/>
      <c r="AD60" s="427"/>
      <c r="AE60" s="426"/>
      <c r="AF60" s="427"/>
      <c r="AG60" s="426"/>
      <c r="AH60" s="428"/>
      <c r="AI60" s="426"/>
      <c r="AJ60" s="428"/>
      <c r="AK60" s="426"/>
      <c r="AL60" s="425"/>
      <c r="AM60" s="425"/>
      <c r="AN60" s="427"/>
      <c r="AO60" s="426"/>
      <c r="AP60" s="425"/>
      <c r="AQ60" s="429"/>
      <c r="AR60" s="427"/>
      <c r="AS60" s="425"/>
      <c r="AT60" s="425"/>
      <c r="AU60" s="425"/>
      <c r="AV60" s="425"/>
      <c r="AW60" s="425"/>
      <c r="AX60" s="425"/>
      <c r="AY60" s="427"/>
      <c r="AZ60" s="425"/>
      <c r="BA60" s="427"/>
      <c r="BB60" s="425"/>
      <c r="BC60" s="427"/>
      <c r="BD60" s="425"/>
      <c r="BE60" s="427"/>
      <c r="BF60" s="427"/>
      <c r="BG60" s="427"/>
      <c r="BH60" s="427"/>
      <c r="BI60" s="425"/>
      <c r="BJ60" s="425"/>
      <c r="BK60" s="425"/>
      <c r="BL60" s="426"/>
      <c r="BM60" s="425"/>
      <c r="BN60" s="426"/>
      <c r="BO60" s="426"/>
      <c r="BP60" s="426"/>
      <c r="BQ60" s="426"/>
      <c r="BR60" s="426"/>
      <c r="BS60" s="430"/>
      <c r="BT60" s="425"/>
      <c r="BU60" s="425"/>
      <c r="BV60" s="425"/>
      <c r="BW60" s="426"/>
      <c r="BX60" s="426"/>
      <c r="BY60" s="426"/>
      <c r="BZ60" s="426"/>
      <c r="CA60" s="427"/>
      <c r="CB60" s="427"/>
      <c r="CC60" s="426"/>
      <c r="CD60" s="425"/>
      <c r="CE60" s="425"/>
      <c r="CF60" s="427"/>
      <c r="CG60" s="427"/>
      <c r="CH60" s="427"/>
      <c r="CI60" s="427"/>
      <c r="CJ60" s="425"/>
      <c r="CK60" s="425"/>
      <c r="CL60" s="425"/>
      <c r="CM60" s="425"/>
      <c r="CN60" s="425"/>
      <c r="CO60" s="425"/>
      <c r="CP60" s="427"/>
      <c r="CQ60" s="425"/>
      <c r="CR60" s="427"/>
      <c r="CS60" s="425"/>
      <c r="CT60" s="427"/>
      <c r="CU60" s="425"/>
      <c r="CV60" s="425"/>
      <c r="CW60" s="427"/>
      <c r="CX60" s="425"/>
      <c r="CY60" s="427"/>
      <c r="CZ60" s="425"/>
      <c r="DA60" s="427"/>
      <c r="DB60" s="425"/>
      <c r="DC60" s="425"/>
      <c r="DD60" s="425"/>
      <c r="DE60" s="425"/>
      <c r="DF60" s="425"/>
    </row>
    <row r="61">
      <c r="A61" s="425"/>
      <c r="B61" s="425"/>
      <c r="C61" s="425"/>
      <c r="D61" s="425"/>
      <c r="E61" s="425"/>
      <c r="F61" s="425"/>
      <c r="G61" s="426"/>
      <c r="H61" s="426"/>
      <c r="I61" s="427"/>
      <c r="J61" s="427"/>
      <c r="K61" s="427"/>
      <c r="L61" s="427"/>
      <c r="M61" s="427"/>
      <c r="N61" s="427"/>
      <c r="O61" s="427"/>
      <c r="P61" s="427"/>
      <c r="Q61" s="426"/>
      <c r="R61" s="427"/>
      <c r="S61" s="426"/>
      <c r="T61" s="425"/>
      <c r="U61" s="425"/>
      <c r="V61" s="425"/>
      <c r="W61" s="425"/>
      <c r="X61" s="425"/>
      <c r="Y61" s="425"/>
      <c r="Z61" s="427"/>
      <c r="AA61" s="426"/>
      <c r="AB61" s="427"/>
      <c r="AC61" s="426"/>
      <c r="AD61" s="427"/>
      <c r="AE61" s="426"/>
      <c r="AF61" s="427"/>
      <c r="AG61" s="426"/>
      <c r="AH61" s="428"/>
      <c r="AI61" s="426"/>
      <c r="AJ61" s="428"/>
      <c r="AK61" s="426"/>
      <c r="AL61" s="425"/>
      <c r="AM61" s="425"/>
      <c r="AN61" s="427"/>
      <c r="AO61" s="426"/>
      <c r="AP61" s="425"/>
      <c r="AQ61" s="429"/>
      <c r="AR61" s="427"/>
      <c r="AS61" s="425"/>
      <c r="AT61" s="425"/>
      <c r="AU61" s="425"/>
      <c r="AV61" s="425"/>
      <c r="AW61" s="425"/>
      <c r="AX61" s="425"/>
      <c r="AY61" s="427"/>
      <c r="AZ61" s="425"/>
      <c r="BA61" s="427"/>
      <c r="BB61" s="425"/>
      <c r="BC61" s="427"/>
      <c r="BD61" s="425"/>
      <c r="BE61" s="427"/>
      <c r="BF61" s="427"/>
      <c r="BG61" s="427"/>
      <c r="BH61" s="427"/>
      <c r="BI61" s="425"/>
      <c r="BJ61" s="425"/>
      <c r="BK61" s="425"/>
      <c r="BL61" s="426"/>
      <c r="BM61" s="425"/>
      <c r="BN61" s="426"/>
      <c r="BO61" s="426"/>
      <c r="BP61" s="426"/>
      <c r="BQ61" s="426"/>
      <c r="BR61" s="426"/>
      <c r="BS61" s="430"/>
      <c r="BT61" s="425"/>
      <c r="BU61" s="425"/>
      <c r="BV61" s="425"/>
      <c r="BW61" s="426"/>
      <c r="BX61" s="426"/>
      <c r="BY61" s="426"/>
      <c r="BZ61" s="426"/>
      <c r="CA61" s="427"/>
      <c r="CB61" s="427"/>
      <c r="CC61" s="426"/>
      <c r="CD61" s="425"/>
      <c r="CE61" s="425"/>
      <c r="CF61" s="427"/>
      <c r="CG61" s="427"/>
      <c r="CH61" s="427"/>
      <c r="CI61" s="427"/>
      <c r="CJ61" s="425"/>
      <c r="CK61" s="425"/>
      <c r="CL61" s="425"/>
      <c r="CM61" s="425"/>
      <c r="CN61" s="425"/>
      <c r="CO61" s="425"/>
      <c r="CP61" s="427"/>
      <c r="CQ61" s="425"/>
      <c r="CR61" s="427"/>
      <c r="CS61" s="425"/>
      <c r="CT61" s="427"/>
      <c r="CU61" s="425"/>
      <c r="CV61" s="425"/>
      <c r="CW61" s="427"/>
      <c r="CX61" s="425"/>
      <c r="CY61" s="427"/>
      <c r="CZ61" s="425"/>
      <c r="DA61" s="427"/>
      <c r="DB61" s="425"/>
      <c r="DC61" s="425"/>
      <c r="DD61" s="425"/>
      <c r="DE61" s="425"/>
      <c r="DF61" s="425"/>
    </row>
    <row r="62">
      <c r="A62" s="425"/>
      <c r="B62" s="425"/>
      <c r="C62" s="425"/>
      <c r="D62" s="425"/>
      <c r="E62" s="425"/>
      <c r="F62" s="425"/>
      <c r="G62" s="426"/>
      <c r="H62" s="426"/>
      <c r="I62" s="427"/>
      <c r="J62" s="427"/>
      <c r="K62" s="427"/>
      <c r="L62" s="427"/>
      <c r="M62" s="427"/>
      <c r="N62" s="427"/>
      <c r="O62" s="427"/>
      <c r="P62" s="427"/>
      <c r="Q62" s="426"/>
      <c r="R62" s="427"/>
      <c r="S62" s="426"/>
      <c r="T62" s="425"/>
      <c r="U62" s="425"/>
      <c r="V62" s="425"/>
      <c r="W62" s="425"/>
      <c r="X62" s="425"/>
      <c r="Y62" s="425"/>
      <c r="Z62" s="427"/>
      <c r="AA62" s="426"/>
      <c r="AB62" s="427"/>
      <c r="AC62" s="426"/>
      <c r="AD62" s="427"/>
      <c r="AE62" s="426"/>
      <c r="AF62" s="427"/>
      <c r="AG62" s="426"/>
      <c r="AH62" s="428"/>
      <c r="AI62" s="426"/>
      <c r="AJ62" s="428"/>
      <c r="AK62" s="426"/>
      <c r="AL62" s="425"/>
      <c r="AM62" s="425"/>
      <c r="AN62" s="427"/>
      <c r="AO62" s="426"/>
      <c r="AP62" s="425"/>
      <c r="AQ62" s="429"/>
      <c r="AR62" s="427"/>
      <c r="AS62" s="425"/>
      <c r="AT62" s="425"/>
      <c r="AU62" s="425"/>
      <c r="AV62" s="425"/>
      <c r="AW62" s="425"/>
      <c r="AX62" s="425"/>
      <c r="AY62" s="427"/>
      <c r="AZ62" s="425"/>
      <c r="BA62" s="427"/>
      <c r="BB62" s="425"/>
      <c r="BC62" s="427"/>
      <c r="BD62" s="425"/>
      <c r="BE62" s="427"/>
      <c r="BF62" s="427"/>
      <c r="BG62" s="427"/>
      <c r="BH62" s="427"/>
      <c r="BI62" s="425"/>
      <c r="BJ62" s="425"/>
      <c r="BK62" s="425"/>
      <c r="BL62" s="426"/>
      <c r="BM62" s="425"/>
      <c r="BN62" s="426"/>
      <c r="BO62" s="426"/>
      <c r="BP62" s="426"/>
      <c r="BQ62" s="426"/>
      <c r="BR62" s="426"/>
      <c r="BS62" s="430"/>
      <c r="BT62" s="425"/>
      <c r="BU62" s="425"/>
      <c r="BV62" s="425"/>
      <c r="BW62" s="426"/>
      <c r="BX62" s="426"/>
      <c r="BY62" s="426"/>
      <c r="BZ62" s="426"/>
      <c r="CA62" s="427"/>
      <c r="CB62" s="427"/>
      <c r="CC62" s="426"/>
      <c r="CD62" s="425"/>
      <c r="CE62" s="425"/>
      <c r="CF62" s="427"/>
      <c r="CG62" s="427"/>
      <c r="CH62" s="427"/>
      <c r="CI62" s="427"/>
      <c r="CJ62" s="425"/>
      <c r="CK62" s="425"/>
      <c r="CL62" s="425"/>
      <c r="CM62" s="425"/>
      <c r="CN62" s="425"/>
      <c r="CO62" s="425"/>
      <c r="CP62" s="427"/>
      <c r="CQ62" s="425"/>
      <c r="CR62" s="427"/>
      <c r="CS62" s="425"/>
      <c r="CT62" s="427"/>
      <c r="CU62" s="425"/>
      <c r="CV62" s="425"/>
      <c r="CW62" s="427"/>
      <c r="CX62" s="425"/>
      <c r="CY62" s="427"/>
      <c r="CZ62" s="425"/>
      <c r="DA62" s="427"/>
      <c r="DB62" s="425"/>
      <c r="DC62" s="425"/>
      <c r="DD62" s="425"/>
      <c r="DE62" s="425"/>
      <c r="DF62" s="425"/>
    </row>
    <row r="63">
      <c r="A63" s="425"/>
      <c r="B63" s="425"/>
      <c r="C63" s="425"/>
      <c r="D63" s="425"/>
      <c r="E63" s="425"/>
      <c r="F63" s="425"/>
      <c r="G63" s="426"/>
      <c r="H63" s="426"/>
      <c r="I63" s="427"/>
      <c r="J63" s="427"/>
      <c r="K63" s="427"/>
      <c r="L63" s="427"/>
      <c r="M63" s="427"/>
      <c r="N63" s="427"/>
      <c r="O63" s="427"/>
      <c r="P63" s="427"/>
      <c r="Q63" s="426"/>
      <c r="R63" s="427"/>
      <c r="S63" s="426"/>
      <c r="T63" s="425"/>
      <c r="U63" s="425"/>
      <c r="V63" s="425"/>
      <c r="W63" s="425"/>
      <c r="X63" s="425"/>
      <c r="Y63" s="425"/>
      <c r="Z63" s="427"/>
      <c r="AA63" s="426"/>
      <c r="AB63" s="427"/>
      <c r="AC63" s="426"/>
      <c r="AD63" s="427"/>
      <c r="AE63" s="426"/>
      <c r="AF63" s="427"/>
      <c r="AG63" s="426"/>
      <c r="AH63" s="428"/>
      <c r="AI63" s="426"/>
      <c r="AJ63" s="428"/>
      <c r="AK63" s="426"/>
      <c r="AL63" s="425"/>
      <c r="AM63" s="425"/>
      <c r="AN63" s="427"/>
      <c r="AO63" s="426"/>
      <c r="AP63" s="425"/>
      <c r="AQ63" s="429"/>
      <c r="AR63" s="427"/>
      <c r="AS63" s="425"/>
      <c r="AT63" s="425"/>
      <c r="AU63" s="425"/>
      <c r="AV63" s="425"/>
      <c r="AW63" s="425"/>
      <c r="AX63" s="425"/>
      <c r="AY63" s="427"/>
      <c r="AZ63" s="425"/>
      <c r="BA63" s="427"/>
      <c r="BB63" s="425"/>
      <c r="BC63" s="427"/>
      <c r="BD63" s="425"/>
      <c r="BE63" s="427"/>
      <c r="BF63" s="427"/>
      <c r="BG63" s="427"/>
      <c r="BH63" s="427"/>
      <c r="BI63" s="425"/>
      <c r="BJ63" s="425"/>
      <c r="BK63" s="425"/>
      <c r="BL63" s="426"/>
      <c r="BM63" s="425"/>
      <c r="BN63" s="426"/>
      <c r="BO63" s="426"/>
      <c r="BP63" s="426"/>
      <c r="BQ63" s="426"/>
      <c r="BR63" s="426"/>
      <c r="BS63" s="430"/>
      <c r="BT63" s="425"/>
      <c r="BU63" s="425"/>
      <c r="BV63" s="425"/>
      <c r="BW63" s="426"/>
      <c r="BX63" s="426"/>
      <c r="BY63" s="426"/>
      <c r="BZ63" s="426"/>
      <c r="CA63" s="427"/>
      <c r="CB63" s="427"/>
      <c r="CC63" s="426"/>
      <c r="CD63" s="425"/>
      <c r="CE63" s="425"/>
      <c r="CF63" s="427"/>
      <c r="CG63" s="427"/>
      <c r="CH63" s="427"/>
      <c r="CI63" s="427"/>
      <c r="CJ63" s="425"/>
      <c r="CK63" s="425"/>
      <c r="CL63" s="425"/>
      <c r="CM63" s="425"/>
      <c r="CN63" s="425"/>
      <c r="CO63" s="425"/>
      <c r="CP63" s="427"/>
      <c r="CQ63" s="425"/>
      <c r="CR63" s="427"/>
      <c r="CS63" s="425"/>
      <c r="CT63" s="427"/>
      <c r="CU63" s="425"/>
      <c r="CV63" s="425"/>
      <c r="CW63" s="427"/>
      <c r="CX63" s="425"/>
      <c r="CY63" s="427"/>
      <c r="CZ63" s="425"/>
      <c r="DA63" s="427"/>
      <c r="DB63" s="425"/>
      <c r="DC63" s="425"/>
      <c r="DD63" s="425"/>
      <c r="DE63" s="425"/>
      <c r="DF63" s="425"/>
    </row>
    <row r="64">
      <c r="A64" s="425"/>
      <c r="B64" s="425"/>
      <c r="C64" s="425"/>
      <c r="D64" s="425"/>
      <c r="E64" s="425"/>
      <c r="F64" s="425"/>
      <c r="G64" s="426"/>
      <c r="H64" s="426"/>
      <c r="I64" s="427"/>
      <c r="J64" s="427"/>
      <c r="K64" s="427"/>
      <c r="L64" s="427"/>
      <c r="M64" s="427"/>
      <c r="N64" s="427"/>
      <c r="O64" s="427"/>
      <c r="P64" s="427"/>
      <c r="Q64" s="426"/>
      <c r="R64" s="427"/>
      <c r="S64" s="426"/>
      <c r="T64" s="425"/>
      <c r="U64" s="425"/>
      <c r="V64" s="425"/>
      <c r="W64" s="425"/>
      <c r="X64" s="425"/>
      <c r="Y64" s="425"/>
      <c r="Z64" s="427"/>
      <c r="AA64" s="426"/>
      <c r="AB64" s="427"/>
      <c r="AC64" s="426"/>
      <c r="AD64" s="427"/>
      <c r="AE64" s="426"/>
      <c r="AF64" s="427"/>
      <c r="AG64" s="426"/>
      <c r="AH64" s="428"/>
      <c r="AI64" s="426"/>
      <c r="AJ64" s="428"/>
      <c r="AK64" s="426"/>
      <c r="AL64" s="425"/>
      <c r="AM64" s="425"/>
      <c r="AN64" s="427"/>
      <c r="AO64" s="426"/>
      <c r="AP64" s="425"/>
      <c r="AQ64" s="429"/>
      <c r="AR64" s="427"/>
      <c r="AS64" s="425"/>
      <c r="AT64" s="425"/>
      <c r="AU64" s="425"/>
      <c r="AV64" s="425"/>
      <c r="AW64" s="425"/>
      <c r="AX64" s="425"/>
      <c r="AY64" s="427"/>
      <c r="AZ64" s="425"/>
      <c r="BA64" s="427"/>
      <c r="BB64" s="425"/>
      <c r="BC64" s="427"/>
      <c r="BD64" s="425"/>
      <c r="BE64" s="427"/>
      <c r="BF64" s="427"/>
      <c r="BG64" s="427"/>
      <c r="BH64" s="427"/>
      <c r="BI64" s="425"/>
      <c r="BJ64" s="425"/>
      <c r="BK64" s="425"/>
      <c r="BL64" s="426"/>
      <c r="BM64" s="425"/>
      <c r="BN64" s="426"/>
      <c r="BO64" s="426"/>
      <c r="BP64" s="426"/>
      <c r="BQ64" s="426"/>
      <c r="BR64" s="426"/>
      <c r="BS64" s="430"/>
      <c r="BT64" s="425"/>
      <c r="BU64" s="425"/>
      <c r="BV64" s="425"/>
      <c r="BW64" s="426"/>
      <c r="BX64" s="426"/>
      <c r="BY64" s="426"/>
      <c r="BZ64" s="426"/>
      <c r="CA64" s="427"/>
      <c r="CB64" s="427"/>
      <c r="CC64" s="426"/>
      <c r="CD64" s="425"/>
      <c r="CE64" s="425"/>
      <c r="CF64" s="427"/>
      <c r="CG64" s="427"/>
      <c r="CH64" s="427"/>
      <c r="CI64" s="427"/>
      <c r="CJ64" s="425"/>
      <c r="CK64" s="425"/>
      <c r="CL64" s="425"/>
      <c r="CM64" s="425"/>
      <c r="CN64" s="425"/>
      <c r="CO64" s="425"/>
      <c r="CP64" s="427"/>
      <c r="CQ64" s="425"/>
      <c r="CR64" s="427"/>
      <c r="CS64" s="425"/>
      <c r="CT64" s="427"/>
      <c r="CU64" s="425"/>
      <c r="CV64" s="425"/>
      <c r="CW64" s="427"/>
      <c r="CX64" s="425"/>
      <c r="CY64" s="427"/>
      <c r="CZ64" s="425"/>
      <c r="DA64" s="427"/>
      <c r="DB64" s="425"/>
      <c r="DC64" s="425"/>
      <c r="DD64" s="425"/>
      <c r="DE64" s="425"/>
      <c r="DF64" s="425"/>
    </row>
    <row r="65">
      <c r="A65" s="425"/>
      <c r="B65" s="425"/>
      <c r="C65" s="425"/>
      <c r="D65" s="425"/>
      <c r="E65" s="425"/>
      <c r="F65" s="425"/>
      <c r="G65" s="426"/>
      <c r="H65" s="426"/>
      <c r="I65" s="427"/>
      <c r="J65" s="427"/>
      <c r="K65" s="427"/>
      <c r="L65" s="427"/>
      <c r="M65" s="427"/>
      <c r="N65" s="427"/>
      <c r="O65" s="427"/>
      <c r="P65" s="427"/>
      <c r="Q65" s="426"/>
      <c r="R65" s="427"/>
      <c r="S65" s="426"/>
      <c r="T65" s="425"/>
      <c r="U65" s="425"/>
      <c r="V65" s="425"/>
      <c r="W65" s="425"/>
      <c r="X65" s="425"/>
      <c r="Y65" s="425"/>
      <c r="Z65" s="427"/>
      <c r="AA65" s="426"/>
      <c r="AB65" s="427"/>
      <c r="AC65" s="426"/>
      <c r="AD65" s="427"/>
      <c r="AE65" s="426"/>
      <c r="AF65" s="427"/>
      <c r="AG65" s="426"/>
      <c r="AH65" s="428"/>
      <c r="AI65" s="426"/>
      <c r="AJ65" s="428"/>
      <c r="AK65" s="426"/>
      <c r="AL65" s="425"/>
      <c r="AM65" s="425"/>
      <c r="AN65" s="427"/>
      <c r="AO65" s="426"/>
      <c r="AP65" s="425"/>
      <c r="AQ65" s="429"/>
      <c r="AR65" s="427"/>
      <c r="AS65" s="425"/>
      <c r="AT65" s="425"/>
      <c r="AU65" s="425"/>
      <c r="AV65" s="425"/>
      <c r="AW65" s="425"/>
      <c r="AX65" s="425"/>
      <c r="AY65" s="427"/>
      <c r="AZ65" s="425"/>
      <c r="BA65" s="427"/>
      <c r="BB65" s="425"/>
      <c r="BC65" s="427"/>
      <c r="BD65" s="425"/>
      <c r="BE65" s="427"/>
      <c r="BF65" s="427"/>
      <c r="BG65" s="427"/>
      <c r="BH65" s="427"/>
      <c r="BI65" s="425"/>
      <c r="BJ65" s="425"/>
      <c r="BK65" s="425"/>
      <c r="BL65" s="426"/>
      <c r="BM65" s="425"/>
      <c r="BN65" s="426"/>
      <c r="BO65" s="426"/>
      <c r="BP65" s="426"/>
      <c r="BQ65" s="426"/>
      <c r="BR65" s="426"/>
      <c r="BS65" s="430"/>
      <c r="BT65" s="425"/>
      <c r="BU65" s="425"/>
      <c r="BV65" s="425"/>
      <c r="BW65" s="426"/>
      <c r="BX65" s="426"/>
      <c r="BY65" s="426"/>
      <c r="BZ65" s="426"/>
      <c r="CA65" s="427"/>
      <c r="CB65" s="427"/>
      <c r="CC65" s="426"/>
      <c r="CD65" s="425"/>
      <c r="CE65" s="425"/>
      <c r="CF65" s="427"/>
      <c r="CG65" s="427"/>
      <c r="CH65" s="427"/>
      <c r="CI65" s="427"/>
      <c r="CJ65" s="425"/>
      <c r="CK65" s="425"/>
      <c r="CL65" s="425"/>
      <c r="CM65" s="425"/>
      <c r="CN65" s="425"/>
      <c r="CO65" s="425"/>
      <c r="CP65" s="427"/>
      <c r="CQ65" s="425"/>
      <c r="CR65" s="427"/>
      <c r="CS65" s="425"/>
      <c r="CT65" s="427"/>
      <c r="CU65" s="425"/>
      <c r="CV65" s="425"/>
      <c r="CW65" s="427"/>
      <c r="CX65" s="425"/>
      <c r="CY65" s="427"/>
      <c r="CZ65" s="425"/>
      <c r="DA65" s="427"/>
      <c r="DB65" s="425"/>
      <c r="DC65" s="425"/>
      <c r="DD65" s="425"/>
      <c r="DE65" s="425"/>
      <c r="DF65" s="425"/>
    </row>
    <row r="66">
      <c r="A66" s="425"/>
      <c r="B66" s="425"/>
      <c r="C66" s="425"/>
      <c r="D66" s="425"/>
      <c r="E66" s="425"/>
      <c r="F66" s="425"/>
      <c r="G66" s="426"/>
      <c r="H66" s="426"/>
      <c r="I66" s="427"/>
      <c r="J66" s="427"/>
      <c r="K66" s="427"/>
      <c r="L66" s="427"/>
      <c r="M66" s="427"/>
      <c r="N66" s="427"/>
      <c r="O66" s="427"/>
      <c r="P66" s="427"/>
      <c r="Q66" s="426"/>
      <c r="R66" s="427"/>
      <c r="S66" s="426"/>
      <c r="T66" s="425"/>
      <c r="U66" s="425"/>
      <c r="V66" s="425"/>
      <c r="W66" s="425"/>
      <c r="X66" s="425"/>
      <c r="Y66" s="425"/>
      <c r="Z66" s="427"/>
      <c r="AA66" s="426"/>
      <c r="AB66" s="427"/>
      <c r="AC66" s="426"/>
      <c r="AD66" s="427"/>
      <c r="AE66" s="426"/>
      <c r="AF66" s="427"/>
      <c r="AG66" s="426"/>
      <c r="AH66" s="428"/>
      <c r="AI66" s="426"/>
      <c r="AJ66" s="428"/>
      <c r="AK66" s="426"/>
      <c r="AL66" s="425"/>
      <c r="AM66" s="425"/>
      <c r="AN66" s="427"/>
      <c r="AO66" s="426"/>
      <c r="AP66" s="425"/>
      <c r="AQ66" s="429"/>
      <c r="AR66" s="427"/>
      <c r="AS66" s="425"/>
      <c r="AT66" s="425"/>
      <c r="AU66" s="425"/>
      <c r="AV66" s="425"/>
      <c r="AW66" s="425"/>
      <c r="AX66" s="425"/>
      <c r="AY66" s="427"/>
      <c r="AZ66" s="425"/>
      <c r="BA66" s="427"/>
      <c r="BB66" s="425"/>
      <c r="BC66" s="427"/>
      <c r="BD66" s="425"/>
      <c r="BE66" s="427"/>
      <c r="BF66" s="427"/>
      <c r="BG66" s="427"/>
      <c r="BH66" s="427"/>
      <c r="BI66" s="425"/>
      <c r="BJ66" s="425"/>
      <c r="BK66" s="425"/>
      <c r="BL66" s="426"/>
      <c r="BM66" s="425"/>
      <c r="BN66" s="426"/>
      <c r="BO66" s="426"/>
      <c r="BP66" s="426"/>
      <c r="BQ66" s="426"/>
      <c r="BR66" s="426"/>
      <c r="BS66" s="430"/>
      <c r="BT66" s="425"/>
      <c r="BU66" s="425"/>
      <c r="BV66" s="425"/>
      <c r="BW66" s="426"/>
      <c r="BX66" s="426"/>
      <c r="BY66" s="426"/>
      <c r="BZ66" s="426"/>
      <c r="CA66" s="427"/>
      <c r="CB66" s="427"/>
      <c r="CC66" s="426"/>
      <c r="CD66" s="425"/>
      <c r="CE66" s="425"/>
      <c r="CF66" s="427"/>
      <c r="CG66" s="427"/>
      <c r="CH66" s="427"/>
      <c r="CI66" s="427"/>
      <c r="CJ66" s="425"/>
      <c r="CK66" s="425"/>
      <c r="CL66" s="425"/>
      <c r="CM66" s="425"/>
      <c r="CN66" s="425"/>
      <c r="CO66" s="425"/>
      <c r="CP66" s="427"/>
      <c r="CQ66" s="425"/>
      <c r="CR66" s="427"/>
      <c r="CS66" s="425"/>
      <c r="CT66" s="427"/>
      <c r="CU66" s="425"/>
      <c r="CV66" s="425"/>
      <c r="CW66" s="427"/>
      <c r="CX66" s="425"/>
      <c r="CY66" s="427"/>
      <c r="CZ66" s="425"/>
      <c r="DA66" s="427"/>
      <c r="DB66" s="425"/>
      <c r="DC66" s="425"/>
      <c r="DD66" s="425"/>
      <c r="DE66" s="425"/>
      <c r="DF66" s="425"/>
    </row>
    <row r="67">
      <c r="A67" s="425"/>
      <c r="B67" s="425"/>
      <c r="C67" s="425"/>
      <c r="D67" s="425"/>
      <c r="E67" s="425"/>
      <c r="F67" s="425"/>
      <c r="G67" s="426"/>
      <c r="H67" s="426"/>
      <c r="I67" s="427"/>
      <c r="J67" s="427"/>
      <c r="K67" s="427"/>
      <c r="L67" s="427"/>
      <c r="M67" s="427"/>
      <c r="N67" s="427"/>
      <c r="O67" s="427"/>
      <c r="P67" s="427"/>
      <c r="Q67" s="426"/>
      <c r="R67" s="427"/>
      <c r="S67" s="426"/>
      <c r="T67" s="425"/>
      <c r="U67" s="425"/>
      <c r="V67" s="425"/>
      <c r="W67" s="425"/>
      <c r="X67" s="425"/>
      <c r="Y67" s="425"/>
      <c r="Z67" s="427"/>
      <c r="AA67" s="426"/>
      <c r="AB67" s="427"/>
      <c r="AC67" s="426"/>
      <c r="AD67" s="427"/>
      <c r="AE67" s="426"/>
      <c r="AF67" s="427"/>
      <c r="AG67" s="426"/>
      <c r="AH67" s="428"/>
      <c r="AI67" s="426"/>
      <c r="AJ67" s="428"/>
      <c r="AK67" s="426"/>
      <c r="AL67" s="425"/>
      <c r="AM67" s="425"/>
      <c r="AN67" s="427"/>
      <c r="AO67" s="426"/>
      <c r="AP67" s="425"/>
      <c r="AQ67" s="429"/>
      <c r="AR67" s="427"/>
      <c r="AS67" s="425"/>
      <c r="AT67" s="425"/>
      <c r="AU67" s="425"/>
      <c r="AV67" s="425"/>
      <c r="AW67" s="425"/>
      <c r="AX67" s="425"/>
      <c r="AY67" s="427"/>
      <c r="AZ67" s="425"/>
      <c r="BA67" s="427"/>
      <c r="BB67" s="425"/>
      <c r="BC67" s="427"/>
      <c r="BD67" s="425"/>
      <c r="BE67" s="427"/>
      <c r="BF67" s="427"/>
      <c r="BG67" s="427"/>
      <c r="BH67" s="427"/>
      <c r="BI67" s="425"/>
      <c r="BJ67" s="425"/>
      <c r="BK67" s="425"/>
      <c r="BL67" s="426"/>
      <c r="BM67" s="425"/>
      <c r="BN67" s="426"/>
      <c r="BO67" s="426"/>
      <c r="BP67" s="426"/>
      <c r="BQ67" s="426"/>
      <c r="BR67" s="426"/>
      <c r="BS67" s="430"/>
      <c r="BT67" s="425"/>
      <c r="BU67" s="425"/>
      <c r="BV67" s="425"/>
      <c r="BW67" s="426"/>
      <c r="BX67" s="426"/>
      <c r="BY67" s="426"/>
      <c r="BZ67" s="426"/>
      <c r="CA67" s="427"/>
      <c r="CB67" s="427"/>
      <c r="CC67" s="426"/>
      <c r="CD67" s="425"/>
      <c r="CE67" s="425"/>
      <c r="CF67" s="427"/>
      <c r="CG67" s="427"/>
      <c r="CH67" s="427"/>
      <c r="CI67" s="427"/>
      <c r="CJ67" s="425"/>
      <c r="CK67" s="425"/>
      <c r="CL67" s="425"/>
      <c r="CM67" s="425"/>
      <c r="CN67" s="425"/>
      <c r="CO67" s="425"/>
      <c r="CP67" s="427"/>
      <c r="CQ67" s="425"/>
      <c r="CR67" s="427"/>
      <c r="CS67" s="425"/>
      <c r="CT67" s="427"/>
      <c r="CU67" s="425"/>
      <c r="CV67" s="425"/>
      <c r="CW67" s="427"/>
      <c r="CX67" s="425"/>
      <c r="CY67" s="427"/>
      <c r="CZ67" s="425"/>
      <c r="DA67" s="427"/>
      <c r="DB67" s="425"/>
      <c r="DC67" s="425"/>
      <c r="DD67" s="425"/>
      <c r="DE67" s="425"/>
      <c r="DF67" s="425"/>
    </row>
    <row r="68">
      <c r="A68" s="425"/>
      <c r="B68" s="425"/>
      <c r="C68" s="425"/>
      <c r="D68" s="425"/>
      <c r="E68" s="425"/>
      <c r="F68" s="425"/>
      <c r="G68" s="426"/>
      <c r="H68" s="426"/>
      <c r="I68" s="427"/>
      <c r="J68" s="427"/>
      <c r="K68" s="427"/>
      <c r="L68" s="427"/>
      <c r="M68" s="427"/>
      <c r="N68" s="427"/>
      <c r="O68" s="427"/>
      <c r="P68" s="427"/>
      <c r="Q68" s="426"/>
      <c r="R68" s="427"/>
      <c r="S68" s="426"/>
      <c r="T68" s="425"/>
      <c r="U68" s="425"/>
      <c r="V68" s="425"/>
      <c r="W68" s="425"/>
      <c r="X68" s="425"/>
      <c r="Y68" s="425"/>
      <c r="Z68" s="427"/>
      <c r="AA68" s="426"/>
      <c r="AB68" s="427"/>
      <c r="AC68" s="426"/>
      <c r="AD68" s="427"/>
      <c r="AE68" s="426"/>
      <c r="AF68" s="427"/>
      <c r="AG68" s="426"/>
      <c r="AH68" s="428"/>
      <c r="AI68" s="426"/>
      <c r="AJ68" s="428"/>
      <c r="AK68" s="426"/>
      <c r="AL68" s="425"/>
      <c r="AM68" s="425"/>
      <c r="AN68" s="427"/>
      <c r="AO68" s="426"/>
      <c r="AP68" s="425"/>
      <c r="AQ68" s="429"/>
      <c r="AR68" s="427"/>
      <c r="AS68" s="425"/>
      <c r="AT68" s="425"/>
      <c r="AU68" s="425"/>
      <c r="AV68" s="425"/>
      <c r="AW68" s="425"/>
      <c r="AX68" s="425"/>
      <c r="AY68" s="427"/>
      <c r="AZ68" s="425"/>
      <c r="BA68" s="427"/>
      <c r="BB68" s="425"/>
      <c r="BC68" s="427"/>
      <c r="BD68" s="425"/>
      <c r="BE68" s="427"/>
      <c r="BF68" s="427"/>
      <c r="BG68" s="427"/>
      <c r="BH68" s="427"/>
      <c r="BI68" s="425"/>
      <c r="BJ68" s="425"/>
      <c r="BK68" s="425"/>
      <c r="BL68" s="426"/>
      <c r="BM68" s="425"/>
      <c r="BN68" s="426"/>
      <c r="BO68" s="426"/>
      <c r="BP68" s="426"/>
      <c r="BQ68" s="426"/>
      <c r="BR68" s="426"/>
      <c r="BS68" s="430"/>
      <c r="BT68" s="425"/>
      <c r="BU68" s="425"/>
      <c r="BV68" s="425"/>
      <c r="BW68" s="426"/>
      <c r="BX68" s="426"/>
      <c r="BY68" s="426"/>
      <c r="BZ68" s="426"/>
      <c r="CA68" s="427"/>
      <c r="CB68" s="427"/>
      <c r="CC68" s="426"/>
      <c r="CD68" s="425"/>
      <c r="CE68" s="425"/>
      <c r="CF68" s="427"/>
      <c r="CG68" s="427"/>
      <c r="CH68" s="427"/>
      <c r="CI68" s="427"/>
      <c r="CJ68" s="425"/>
      <c r="CK68" s="425"/>
      <c r="CL68" s="425"/>
      <c r="CM68" s="425"/>
      <c r="CN68" s="425"/>
      <c r="CO68" s="425"/>
      <c r="CP68" s="427"/>
      <c r="CQ68" s="425"/>
      <c r="CR68" s="427"/>
      <c r="CS68" s="425"/>
      <c r="CT68" s="427"/>
      <c r="CU68" s="425"/>
      <c r="CV68" s="425"/>
      <c r="CW68" s="427"/>
      <c r="CX68" s="425"/>
      <c r="CY68" s="427"/>
      <c r="CZ68" s="425"/>
      <c r="DA68" s="427"/>
      <c r="DB68" s="425"/>
      <c r="DC68" s="425"/>
      <c r="DD68" s="425"/>
      <c r="DE68" s="425"/>
      <c r="DF68" s="425"/>
    </row>
    <row r="69">
      <c r="A69" s="425"/>
      <c r="B69" s="425"/>
      <c r="C69" s="425"/>
      <c r="D69" s="425"/>
      <c r="E69" s="425"/>
      <c r="F69" s="425"/>
      <c r="G69" s="426"/>
      <c r="H69" s="426"/>
      <c r="I69" s="427"/>
      <c r="J69" s="427"/>
      <c r="K69" s="427"/>
      <c r="L69" s="427"/>
      <c r="M69" s="427"/>
      <c r="N69" s="427"/>
      <c r="O69" s="427"/>
      <c r="P69" s="427"/>
      <c r="Q69" s="426"/>
      <c r="R69" s="427"/>
      <c r="S69" s="426"/>
      <c r="T69" s="425"/>
      <c r="U69" s="425"/>
      <c r="V69" s="425"/>
      <c r="W69" s="425"/>
      <c r="X69" s="425"/>
      <c r="Y69" s="425"/>
      <c r="Z69" s="427"/>
      <c r="AA69" s="426"/>
      <c r="AB69" s="427"/>
      <c r="AC69" s="426"/>
      <c r="AD69" s="427"/>
      <c r="AE69" s="426"/>
      <c r="AF69" s="427"/>
      <c r="AG69" s="426"/>
      <c r="AH69" s="428"/>
      <c r="AI69" s="426"/>
      <c r="AJ69" s="428"/>
      <c r="AK69" s="426"/>
      <c r="AL69" s="425"/>
      <c r="AM69" s="425"/>
      <c r="AN69" s="427"/>
      <c r="AO69" s="426"/>
      <c r="AP69" s="425"/>
      <c r="AQ69" s="429"/>
      <c r="AR69" s="427"/>
      <c r="AS69" s="425"/>
      <c r="AT69" s="425"/>
      <c r="AU69" s="425"/>
      <c r="AV69" s="425"/>
      <c r="AW69" s="425"/>
      <c r="AX69" s="425"/>
      <c r="AY69" s="427"/>
      <c r="AZ69" s="425"/>
      <c r="BA69" s="427"/>
      <c r="BB69" s="425"/>
      <c r="BC69" s="427"/>
      <c r="BD69" s="425"/>
      <c r="BE69" s="427"/>
      <c r="BF69" s="427"/>
      <c r="BG69" s="427"/>
      <c r="BH69" s="427"/>
      <c r="BI69" s="425"/>
      <c r="BJ69" s="425"/>
      <c r="BK69" s="425"/>
      <c r="BL69" s="426"/>
      <c r="BM69" s="425"/>
      <c r="BN69" s="426"/>
      <c r="BO69" s="426"/>
      <c r="BP69" s="426"/>
      <c r="BQ69" s="426"/>
      <c r="BR69" s="426"/>
      <c r="BS69" s="430"/>
      <c r="BT69" s="425"/>
      <c r="BU69" s="425"/>
      <c r="BV69" s="425"/>
      <c r="BW69" s="426"/>
      <c r="BX69" s="426"/>
      <c r="BY69" s="426"/>
      <c r="BZ69" s="426"/>
      <c r="CA69" s="427"/>
      <c r="CB69" s="427"/>
      <c r="CC69" s="426"/>
      <c r="CD69" s="425"/>
      <c r="CE69" s="425"/>
      <c r="CF69" s="427"/>
      <c r="CG69" s="427"/>
      <c r="CH69" s="427"/>
      <c r="CI69" s="427"/>
      <c r="CJ69" s="425"/>
      <c r="CK69" s="425"/>
      <c r="CL69" s="425"/>
      <c r="CM69" s="425"/>
      <c r="CN69" s="425"/>
      <c r="CO69" s="425"/>
      <c r="CP69" s="427"/>
      <c r="CQ69" s="425"/>
      <c r="CR69" s="427"/>
      <c r="CS69" s="425"/>
      <c r="CT69" s="427"/>
      <c r="CU69" s="425"/>
      <c r="CV69" s="425"/>
      <c r="CW69" s="427"/>
      <c r="CX69" s="425"/>
      <c r="CY69" s="427"/>
      <c r="CZ69" s="425"/>
      <c r="DA69" s="427"/>
      <c r="DB69" s="425"/>
      <c r="DC69" s="425"/>
      <c r="DD69" s="425"/>
      <c r="DE69" s="425"/>
      <c r="DF69" s="425"/>
    </row>
    <row r="70">
      <c r="A70" s="425"/>
      <c r="B70" s="425"/>
      <c r="C70" s="425"/>
      <c r="D70" s="425"/>
      <c r="E70" s="425"/>
      <c r="F70" s="425"/>
      <c r="G70" s="426"/>
      <c r="H70" s="426"/>
      <c r="I70" s="427"/>
      <c r="J70" s="427"/>
      <c r="K70" s="427"/>
      <c r="L70" s="427"/>
      <c r="M70" s="427"/>
      <c r="N70" s="427"/>
      <c r="O70" s="427"/>
      <c r="P70" s="427"/>
      <c r="Q70" s="426"/>
      <c r="R70" s="427"/>
      <c r="S70" s="426"/>
      <c r="T70" s="425"/>
      <c r="U70" s="425"/>
      <c r="V70" s="425"/>
      <c r="W70" s="425"/>
      <c r="X70" s="425"/>
      <c r="Y70" s="425"/>
      <c r="Z70" s="427"/>
      <c r="AA70" s="426"/>
      <c r="AB70" s="427"/>
      <c r="AC70" s="426"/>
      <c r="AD70" s="427"/>
      <c r="AE70" s="426"/>
      <c r="AF70" s="427"/>
      <c r="AG70" s="426"/>
      <c r="AH70" s="428"/>
      <c r="AI70" s="426"/>
      <c r="AJ70" s="428"/>
      <c r="AK70" s="426"/>
      <c r="AL70" s="425"/>
      <c r="AM70" s="425"/>
      <c r="AN70" s="427"/>
      <c r="AO70" s="426"/>
      <c r="AP70" s="425"/>
      <c r="AQ70" s="429"/>
      <c r="AR70" s="427"/>
      <c r="AS70" s="425"/>
      <c r="AT70" s="425"/>
      <c r="AU70" s="425"/>
      <c r="AV70" s="425"/>
      <c r="AW70" s="425"/>
      <c r="AX70" s="425"/>
      <c r="AY70" s="427"/>
      <c r="AZ70" s="425"/>
      <c r="BA70" s="427"/>
      <c r="BB70" s="425"/>
      <c r="BC70" s="427"/>
      <c r="BD70" s="425"/>
      <c r="BE70" s="427"/>
      <c r="BF70" s="427"/>
      <c r="BG70" s="427"/>
      <c r="BH70" s="427"/>
      <c r="BI70" s="425"/>
      <c r="BJ70" s="425"/>
      <c r="BK70" s="425"/>
      <c r="BL70" s="426"/>
      <c r="BM70" s="425"/>
      <c r="BN70" s="426"/>
      <c r="BO70" s="426"/>
      <c r="BP70" s="426"/>
      <c r="BQ70" s="426"/>
      <c r="BR70" s="426"/>
      <c r="BS70" s="430"/>
      <c r="BT70" s="425"/>
      <c r="BU70" s="425"/>
      <c r="BV70" s="425"/>
      <c r="BW70" s="426"/>
      <c r="BX70" s="426"/>
      <c r="BY70" s="426"/>
      <c r="BZ70" s="426"/>
      <c r="CA70" s="427"/>
      <c r="CB70" s="427"/>
      <c r="CC70" s="426"/>
      <c r="CD70" s="425"/>
      <c r="CE70" s="425"/>
      <c r="CF70" s="427"/>
      <c r="CG70" s="427"/>
      <c r="CH70" s="427"/>
      <c r="CI70" s="427"/>
      <c r="CJ70" s="425"/>
      <c r="CK70" s="425"/>
      <c r="CL70" s="425"/>
      <c r="CM70" s="425"/>
      <c r="CN70" s="425"/>
      <c r="CO70" s="425"/>
      <c r="CP70" s="427"/>
      <c r="CQ70" s="425"/>
      <c r="CR70" s="427"/>
      <c r="CS70" s="425"/>
      <c r="CT70" s="427"/>
      <c r="CU70" s="425"/>
      <c r="CV70" s="425"/>
      <c r="CW70" s="427"/>
      <c r="CX70" s="425"/>
      <c r="CY70" s="427"/>
      <c r="CZ70" s="425"/>
      <c r="DA70" s="427"/>
      <c r="DB70" s="425"/>
      <c r="DC70" s="425"/>
      <c r="DD70" s="425"/>
      <c r="DE70" s="425"/>
      <c r="DF70" s="425"/>
    </row>
    <row r="71">
      <c r="A71" s="425"/>
      <c r="B71" s="425"/>
      <c r="C71" s="425"/>
      <c r="D71" s="425"/>
      <c r="E71" s="425"/>
      <c r="F71" s="425"/>
      <c r="G71" s="426"/>
      <c r="H71" s="426"/>
      <c r="I71" s="427"/>
      <c r="J71" s="427"/>
      <c r="K71" s="427"/>
      <c r="L71" s="427"/>
      <c r="M71" s="427"/>
      <c r="N71" s="427"/>
      <c r="O71" s="427"/>
      <c r="P71" s="427"/>
      <c r="Q71" s="426"/>
      <c r="R71" s="427"/>
      <c r="S71" s="426"/>
      <c r="T71" s="425"/>
      <c r="U71" s="425"/>
      <c r="V71" s="425"/>
      <c r="W71" s="425"/>
      <c r="X71" s="425"/>
      <c r="Y71" s="425"/>
      <c r="Z71" s="427"/>
      <c r="AA71" s="426"/>
      <c r="AB71" s="427"/>
      <c r="AC71" s="426"/>
      <c r="AD71" s="427"/>
      <c r="AE71" s="426"/>
      <c r="AF71" s="427"/>
      <c r="AG71" s="426"/>
      <c r="AH71" s="428"/>
      <c r="AI71" s="426"/>
      <c r="AJ71" s="428"/>
      <c r="AK71" s="426"/>
      <c r="AL71" s="425"/>
      <c r="AM71" s="425"/>
      <c r="AN71" s="427"/>
      <c r="AO71" s="426"/>
      <c r="AP71" s="425"/>
      <c r="AQ71" s="429"/>
      <c r="AR71" s="427"/>
      <c r="AS71" s="425"/>
      <c r="AT71" s="425"/>
      <c r="AU71" s="425"/>
      <c r="AV71" s="425"/>
      <c r="AW71" s="425"/>
      <c r="AX71" s="425"/>
      <c r="AY71" s="427"/>
      <c r="AZ71" s="425"/>
      <c r="BA71" s="427"/>
      <c r="BB71" s="425"/>
      <c r="BC71" s="427"/>
      <c r="BD71" s="425"/>
      <c r="BE71" s="427"/>
      <c r="BF71" s="427"/>
      <c r="BG71" s="427"/>
      <c r="BH71" s="427"/>
      <c r="BI71" s="425"/>
      <c r="BJ71" s="425"/>
      <c r="BK71" s="425"/>
      <c r="BL71" s="426"/>
      <c r="BM71" s="425"/>
      <c r="BN71" s="426"/>
      <c r="BO71" s="426"/>
      <c r="BP71" s="426"/>
      <c r="BQ71" s="426"/>
      <c r="BR71" s="426"/>
      <c r="BS71" s="430"/>
      <c r="BT71" s="425"/>
      <c r="BU71" s="425"/>
      <c r="BV71" s="425"/>
      <c r="BW71" s="426"/>
      <c r="BX71" s="426"/>
      <c r="BY71" s="426"/>
      <c r="BZ71" s="426"/>
      <c r="CA71" s="427"/>
      <c r="CB71" s="427"/>
      <c r="CC71" s="426"/>
      <c r="CD71" s="425"/>
      <c r="CE71" s="425"/>
      <c r="CF71" s="427"/>
      <c r="CG71" s="427"/>
      <c r="CH71" s="427"/>
      <c r="CI71" s="427"/>
      <c r="CJ71" s="425"/>
      <c r="CK71" s="425"/>
      <c r="CL71" s="425"/>
      <c r="CM71" s="425"/>
      <c r="CN71" s="425"/>
      <c r="CO71" s="425"/>
      <c r="CP71" s="427"/>
      <c r="CQ71" s="425"/>
      <c r="CR71" s="427"/>
      <c r="CS71" s="425"/>
      <c r="CT71" s="427"/>
      <c r="CU71" s="425"/>
      <c r="CV71" s="425"/>
      <c r="CW71" s="427"/>
      <c r="CX71" s="425"/>
      <c r="CY71" s="427"/>
      <c r="CZ71" s="425"/>
      <c r="DA71" s="427"/>
      <c r="DB71" s="425"/>
      <c r="DC71" s="425"/>
      <c r="DD71" s="425"/>
      <c r="DE71" s="425"/>
      <c r="DF71" s="425"/>
    </row>
    <row r="72">
      <c r="A72" s="425"/>
      <c r="B72" s="425"/>
      <c r="C72" s="425"/>
      <c r="D72" s="425"/>
      <c r="E72" s="425"/>
      <c r="F72" s="425"/>
      <c r="G72" s="426"/>
      <c r="H72" s="426"/>
      <c r="I72" s="427"/>
      <c r="J72" s="427"/>
      <c r="K72" s="427"/>
      <c r="L72" s="427"/>
      <c r="M72" s="427"/>
      <c r="N72" s="427"/>
      <c r="O72" s="427"/>
      <c r="P72" s="427"/>
      <c r="Q72" s="426"/>
      <c r="R72" s="427"/>
      <c r="S72" s="426"/>
      <c r="T72" s="425"/>
      <c r="U72" s="425"/>
      <c r="V72" s="425"/>
      <c r="W72" s="425"/>
      <c r="X72" s="425"/>
      <c r="Y72" s="425"/>
      <c r="Z72" s="427"/>
      <c r="AA72" s="426"/>
      <c r="AB72" s="427"/>
      <c r="AC72" s="426"/>
      <c r="AD72" s="427"/>
      <c r="AE72" s="426"/>
      <c r="AF72" s="427"/>
      <c r="AG72" s="426"/>
      <c r="AH72" s="428"/>
      <c r="AI72" s="426"/>
      <c r="AJ72" s="428"/>
      <c r="AK72" s="426"/>
      <c r="AL72" s="425"/>
      <c r="AM72" s="425"/>
      <c r="AN72" s="427"/>
      <c r="AO72" s="426"/>
      <c r="AP72" s="425"/>
      <c r="AQ72" s="429"/>
      <c r="AR72" s="427"/>
      <c r="AS72" s="425"/>
      <c r="AT72" s="425"/>
      <c r="AU72" s="425"/>
      <c r="AV72" s="425"/>
      <c r="AW72" s="425"/>
      <c r="AX72" s="425"/>
      <c r="AY72" s="427"/>
      <c r="AZ72" s="425"/>
      <c r="BA72" s="427"/>
      <c r="BB72" s="425"/>
      <c r="BC72" s="427"/>
      <c r="BD72" s="425"/>
      <c r="BE72" s="427"/>
      <c r="BF72" s="427"/>
      <c r="BG72" s="427"/>
      <c r="BH72" s="427"/>
      <c r="BI72" s="425"/>
      <c r="BJ72" s="425"/>
      <c r="BK72" s="425"/>
      <c r="BL72" s="426"/>
      <c r="BM72" s="425"/>
      <c r="BN72" s="426"/>
      <c r="BO72" s="426"/>
      <c r="BP72" s="426"/>
      <c r="BQ72" s="426"/>
      <c r="BR72" s="426"/>
      <c r="BS72" s="430"/>
      <c r="BT72" s="425"/>
      <c r="BU72" s="425"/>
      <c r="BV72" s="425"/>
      <c r="BW72" s="426"/>
      <c r="BX72" s="426"/>
      <c r="BY72" s="426"/>
      <c r="BZ72" s="426"/>
      <c r="CA72" s="427"/>
      <c r="CB72" s="427"/>
      <c r="CC72" s="426"/>
      <c r="CD72" s="425"/>
      <c r="CE72" s="425"/>
      <c r="CF72" s="427"/>
      <c r="CG72" s="427"/>
      <c r="CH72" s="427"/>
      <c r="CI72" s="427"/>
      <c r="CJ72" s="425"/>
      <c r="CK72" s="425"/>
      <c r="CL72" s="425"/>
      <c r="CM72" s="425"/>
      <c r="CN72" s="425"/>
      <c r="CO72" s="425"/>
      <c r="CP72" s="427"/>
      <c r="CQ72" s="425"/>
      <c r="CR72" s="427"/>
      <c r="CS72" s="425"/>
      <c r="CT72" s="427"/>
      <c r="CU72" s="425"/>
      <c r="CV72" s="425"/>
      <c r="CW72" s="427"/>
      <c r="CX72" s="425"/>
      <c r="CY72" s="427"/>
      <c r="CZ72" s="425"/>
      <c r="DA72" s="427"/>
      <c r="DB72" s="425"/>
      <c r="DC72" s="425"/>
      <c r="DD72" s="425"/>
      <c r="DE72" s="425"/>
      <c r="DF72" s="425"/>
    </row>
    <row r="73">
      <c r="A73" s="425"/>
      <c r="B73" s="425"/>
      <c r="C73" s="425"/>
      <c r="D73" s="425"/>
      <c r="E73" s="425"/>
      <c r="F73" s="425"/>
      <c r="G73" s="426"/>
      <c r="H73" s="426"/>
      <c r="I73" s="427"/>
      <c r="J73" s="427"/>
      <c r="K73" s="427"/>
      <c r="L73" s="427"/>
      <c r="M73" s="427"/>
      <c r="N73" s="427"/>
      <c r="O73" s="427"/>
      <c r="P73" s="427"/>
      <c r="Q73" s="426"/>
      <c r="R73" s="427"/>
      <c r="S73" s="426"/>
      <c r="T73" s="425"/>
      <c r="U73" s="425"/>
      <c r="V73" s="425"/>
      <c r="W73" s="425"/>
      <c r="X73" s="425"/>
      <c r="Y73" s="425"/>
      <c r="Z73" s="427"/>
      <c r="AA73" s="426"/>
      <c r="AB73" s="427"/>
      <c r="AC73" s="426"/>
      <c r="AD73" s="427"/>
      <c r="AE73" s="426"/>
      <c r="AF73" s="427"/>
      <c r="AG73" s="426"/>
      <c r="AH73" s="428"/>
      <c r="AI73" s="426"/>
      <c r="AJ73" s="428"/>
      <c r="AK73" s="426"/>
      <c r="AL73" s="425"/>
      <c r="AM73" s="425"/>
      <c r="AN73" s="427"/>
      <c r="AO73" s="426"/>
      <c r="AP73" s="425"/>
      <c r="AQ73" s="429"/>
      <c r="AR73" s="427"/>
      <c r="AS73" s="425"/>
      <c r="AT73" s="425"/>
      <c r="AU73" s="425"/>
      <c r="AV73" s="425"/>
      <c r="AW73" s="425"/>
      <c r="AX73" s="425"/>
      <c r="AY73" s="427"/>
      <c r="AZ73" s="425"/>
      <c r="BA73" s="427"/>
      <c r="BB73" s="425"/>
      <c r="BC73" s="427"/>
      <c r="BD73" s="425"/>
      <c r="BE73" s="427"/>
      <c r="BF73" s="427"/>
      <c r="BG73" s="427"/>
      <c r="BH73" s="427"/>
      <c r="BI73" s="425"/>
      <c r="BJ73" s="425"/>
      <c r="BK73" s="425"/>
      <c r="BL73" s="426"/>
      <c r="BM73" s="425"/>
      <c r="BN73" s="426"/>
      <c r="BO73" s="426"/>
      <c r="BP73" s="426"/>
      <c r="BQ73" s="426"/>
      <c r="BR73" s="426"/>
      <c r="BS73" s="430"/>
      <c r="BT73" s="425"/>
      <c r="BU73" s="425"/>
      <c r="BV73" s="425"/>
      <c r="BW73" s="426"/>
      <c r="BX73" s="426"/>
      <c r="BY73" s="426"/>
      <c r="BZ73" s="426"/>
      <c r="CA73" s="427"/>
      <c r="CB73" s="427"/>
      <c r="CC73" s="426"/>
      <c r="CD73" s="425"/>
      <c r="CE73" s="425"/>
      <c r="CF73" s="427"/>
      <c r="CG73" s="427"/>
      <c r="CH73" s="427"/>
      <c r="CI73" s="427"/>
      <c r="CJ73" s="425"/>
      <c r="CK73" s="425"/>
      <c r="CL73" s="425"/>
      <c r="CM73" s="425"/>
      <c r="CN73" s="425"/>
      <c r="CO73" s="425"/>
      <c r="CP73" s="427"/>
      <c r="CQ73" s="425"/>
      <c r="CR73" s="427"/>
      <c r="CS73" s="425"/>
      <c r="CT73" s="427"/>
      <c r="CU73" s="425"/>
      <c r="CV73" s="425"/>
      <c r="CW73" s="427"/>
      <c r="CX73" s="425"/>
      <c r="CY73" s="427"/>
      <c r="CZ73" s="425"/>
      <c r="DA73" s="427"/>
      <c r="DB73" s="425"/>
      <c r="DC73" s="425"/>
      <c r="DD73" s="425"/>
      <c r="DE73" s="425"/>
      <c r="DF73" s="425"/>
    </row>
    <row r="74">
      <c r="A74" s="425"/>
      <c r="B74" s="425"/>
      <c r="C74" s="425"/>
      <c r="D74" s="425"/>
      <c r="E74" s="425"/>
      <c r="F74" s="425"/>
      <c r="G74" s="426"/>
      <c r="H74" s="426"/>
      <c r="I74" s="427"/>
      <c r="J74" s="427"/>
      <c r="K74" s="427"/>
      <c r="L74" s="427"/>
      <c r="M74" s="427"/>
      <c r="N74" s="427"/>
      <c r="O74" s="427"/>
      <c r="P74" s="427"/>
      <c r="Q74" s="426"/>
      <c r="R74" s="427"/>
      <c r="S74" s="426"/>
      <c r="T74" s="425"/>
      <c r="U74" s="425"/>
      <c r="V74" s="425"/>
      <c r="W74" s="425"/>
      <c r="X74" s="425"/>
      <c r="Y74" s="425"/>
      <c r="Z74" s="427"/>
      <c r="AA74" s="426"/>
      <c r="AB74" s="427"/>
      <c r="AC74" s="426"/>
      <c r="AD74" s="427"/>
      <c r="AE74" s="426"/>
      <c r="AF74" s="427"/>
      <c r="AG74" s="426"/>
      <c r="AH74" s="428"/>
      <c r="AI74" s="426"/>
      <c r="AJ74" s="428"/>
      <c r="AK74" s="426"/>
      <c r="AL74" s="425"/>
      <c r="AM74" s="425"/>
      <c r="AN74" s="427"/>
      <c r="AO74" s="426"/>
      <c r="AP74" s="425"/>
      <c r="AQ74" s="429"/>
      <c r="AR74" s="427"/>
      <c r="AS74" s="425"/>
      <c r="AT74" s="425"/>
      <c r="AU74" s="425"/>
      <c r="AV74" s="425"/>
      <c r="AW74" s="425"/>
      <c r="AX74" s="425"/>
      <c r="AY74" s="427"/>
      <c r="AZ74" s="425"/>
      <c r="BA74" s="427"/>
      <c r="BB74" s="425"/>
      <c r="BC74" s="427"/>
      <c r="BD74" s="425"/>
      <c r="BE74" s="427"/>
      <c r="BF74" s="427"/>
      <c r="BG74" s="427"/>
      <c r="BH74" s="427"/>
      <c r="BI74" s="425"/>
      <c r="BJ74" s="425"/>
      <c r="BK74" s="425"/>
      <c r="BL74" s="426"/>
      <c r="BM74" s="425"/>
      <c r="BN74" s="426"/>
      <c r="BO74" s="426"/>
      <c r="BP74" s="426"/>
      <c r="BQ74" s="426"/>
      <c r="BR74" s="426"/>
      <c r="BS74" s="430"/>
      <c r="BT74" s="425"/>
      <c r="BU74" s="425"/>
      <c r="BV74" s="425"/>
      <c r="BW74" s="426"/>
      <c r="BX74" s="426"/>
      <c r="BY74" s="426"/>
      <c r="BZ74" s="426"/>
      <c r="CA74" s="427"/>
      <c r="CB74" s="427"/>
      <c r="CC74" s="426"/>
      <c r="CD74" s="425"/>
      <c r="CE74" s="425"/>
      <c r="CF74" s="427"/>
      <c r="CG74" s="427"/>
      <c r="CH74" s="427"/>
      <c r="CI74" s="427"/>
      <c r="CJ74" s="425"/>
      <c r="CK74" s="425"/>
      <c r="CL74" s="425"/>
      <c r="CM74" s="425"/>
      <c r="CN74" s="425"/>
      <c r="CO74" s="425"/>
      <c r="CP74" s="427"/>
      <c r="CQ74" s="425"/>
      <c r="CR74" s="427"/>
      <c r="CS74" s="425"/>
      <c r="CT74" s="427"/>
      <c r="CU74" s="425"/>
      <c r="CV74" s="425"/>
      <c r="CW74" s="427"/>
      <c r="CX74" s="425"/>
      <c r="CY74" s="427"/>
      <c r="CZ74" s="425"/>
      <c r="DA74" s="427"/>
      <c r="DB74" s="425"/>
      <c r="DC74" s="425"/>
      <c r="DD74" s="425"/>
      <c r="DE74" s="425"/>
      <c r="DF74" s="425"/>
    </row>
    <row r="75">
      <c r="A75" s="425"/>
      <c r="B75" s="425"/>
      <c r="C75" s="425"/>
      <c r="D75" s="425"/>
      <c r="E75" s="425"/>
      <c r="F75" s="425"/>
      <c r="G75" s="426"/>
      <c r="H75" s="426"/>
      <c r="I75" s="427"/>
      <c r="J75" s="427"/>
      <c r="K75" s="427"/>
      <c r="L75" s="427"/>
      <c r="M75" s="427"/>
      <c r="N75" s="427"/>
      <c r="O75" s="427"/>
      <c r="P75" s="427"/>
      <c r="Q75" s="426"/>
      <c r="R75" s="427"/>
      <c r="S75" s="426"/>
      <c r="T75" s="425"/>
      <c r="U75" s="425"/>
      <c r="V75" s="425"/>
      <c r="W75" s="425"/>
      <c r="X75" s="425"/>
      <c r="Y75" s="425"/>
      <c r="Z75" s="427"/>
      <c r="AA75" s="426"/>
      <c r="AB75" s="427"/>
      <c r="AC75" s="426"/>
      <c r="AD75" s="427"/>
      <c r="AE75" s="426"/>
      <c r="AF75" s="427"/>
      <c r="AG75" s="426"/>
      <c r="AH75" s="428"/>
      <c r="AI75" s="426"/>
      <c r="AJ75" s="428"/>
      <c r="AK75" s="426"/>
      <c r="AL75" s="425"/>
      <c r="AM75" s="425"/>
      <c r="AN75" s="427"/>
      <c r="AO75" s="426"/>
      <c r="AP75" s="425"/>
      <c r="AQ75" s="429"/>
      <c r="AR75" s="427"/>
      <c r="AS75" s="425"/>
      <c r="AT75" s="425"/>
      <c r="AU75" s="425"/>
      <c r="AV75" s="425"/>
      <c r="AW75" s="425"/>
      <c r="AX75" s="425"/>
      <c r="AY75" s="427"/>
      <c r="AZ75" s="425"/>
      <c r="BA75" s="427"/>
      <c r="BB75" s="425"/>
      <c r="BC75" s="427"/>
      <c r="BD75" s="425"/>
      <c r="BE75" s="427"/>
      <c r="BF75" s="427"/>
      <c r="BG75" s="427"/>
      <c r="BH75" s="427"/>
      <c r="BI75" s="425"/>
      <c r="BJ75" s="425"/>
      <c r="BK75" s="425"/>
      <c r="BL75" s="426"/>
      <c r="BM75" s="425"/>
      <c r="BN75" s="426"/>
      <c r="BO75" s="426"/>
      <c r="BP75" s="426"/>
      <c r="BQ75" s="426"/>
      <c r="BR75" s="426"/>
      <c r="BS75" s="430"/>
      <c r="BT75" s="425"/>
      <c r="BU75" s="425"/>
      <c r="BV75" s="425"/>
      <c r="BW75" s="426"/>
      <c r="BX75" s="426"/>
      <c r="BY75" s="426"/>
      <c r="BZ75" s="426"/>
      <c r="CA75" s="427"/>
      <c r="CB75" s="427"/>
      <c r="CC75" s="426"/>
      <c r="CD75" s="425"/>
      <c r="CE75" s="425"/>
      <c r="CF75" s="427"/>
      <c r="CG75" s="427"/>
      <c r="CH75" s="427"/>
      <c r="CI75" s="427"/>
      <c r="CJ75" s="425"/>
      <c r="CK75" s="425"/>
      <c r="CL75" s="425"/>
      <c r="CM75" s="425"/>
      <c r="CN75" s="425"/>
      <c r="CO75" s="425"/>
      <c r="CP75" s="427"/>
      <c r="CQ75" s="425"/>
      <c r="CR75" s="427"/>
      <c r="CS75" s="425"/>
      <c r="CT75" s="427"/>
      <c r="CU75" s="425"/>
      <c r="CV75" s="425"/>
      <c r="CW75" s="427"/>
      <c r="CX75" s="425"/>
      <c r="CY75" s="427"/>
      <c r="CZ75" s="425"/>
      <c r="DA75" s="427"/>
      <c r="DB75" s="425"/>
      <c r="DC75" s="425"/>
      <c r="DD75" s="425"/>
      <c r="DE75" s="425"/>
      <c r="DF75" s="425"/>
    </row>
    <row r="76">
      <c r="A76" s="425"/>
      <c r="B76" s="425"/>
      <c r="C76" s="425"/>
      <c r="D76" s="425"/>
      <c r="E76" s="425"/>
      <c r="F76" s="425"/>
      <c r="G76" s="426"/>
      <c r="H76" s="426"/>
      <c r="I76" s="427"/>
      <c r="J76" s="427"/>
      <c r="K76" s="427"/>
      <c r="L76" s="427"/>
      <c r="M76" s="427"/>
      <c r="N76" s="427"/>
      <c r="O76" s="427"/>
      <c r="P76" s="427"/>
      <c r="Q76" s="426"/>
      <c r="R76" s="427"/>
      <c r="S76" s="426"/>
      <c r="T76" s="425"/>
      <c r="U76" s="425"/>
      <c r="V76" s="425"/>
      <c r="W76" s="425"/>
      <c r="X76" s="425"/>
      <c r="Y76" s="425"/>
      <c r="Z76" s="427"/>
      <c r="AA76" s="426"/>
      <c r="AB76" s="427"/>
      <c r="AC76" s="426"/>
      <c r="AD76" s="427"/>
      <c r="AE76" s="426"/>
      <c r="AF76" s="427"/>
      <c r="AG76" s="426"/>
      <c r="AH76" s="428"/>
      <c r="AI76" s="426"/>
      <c r="AJ76" s="428"/>
      <c r="AK76" s="426"/>
      <c r="AL76" s="425"/>
      <c r="AM76" s="425"/>
      <c r="AN76" s="427"/>
      <c r="AO76" s="426"/>
      <c r="AP76" s="425"/>
      <c r="AQ76" s="429"/>
      <c r="AR76" s="427"/>
      <c r="AS76" s="425"/>
      <c r="AT76" s="425"/>
      <c r="AU76" s="425"/>
      <c r="AV76" s="425"/>
      <c r="AW76" s="425"/>
      <c r="AX76" s="425"/>
      <c r="AY76" s="427"/>
      <c r="AZ76" s="425"/>
      <c r="BA76" s="427"/>
      <c r="BB76" s="425"/>
      <c r="BC76" s="427"/>
      <c r="BD76" s="425"/>
      <c r="BE76" s="427"/>
      <c r="BF76" s="427"/>
      <c r="BG76" s="427"/>
      <c r="BH76" s="427"/>
      <c r="BI76" s="425"/>
      <c r="BJ76" s="425"/>
      <c r="BK76" s="425"/>
      <c r="BL76" s="426"/>
      <c r="BM76" s="425"/>
      <c r="BN76" s="426"/>
      <c r="BO76" s="426"/>
      <c r="BP76" s="426"/>
      <c r="BQ76" s="426"/>
      <c r="BR76" s="426"/>
      <c r="BS76" s="430"/>
      <c r="BT76" s="425"/>
      <c r="BU76" s="425"/>
      <c r="BV76" s="425"/>
      <c r="BW76" s="426"/>
      <c r="BX76" s="426"/>
      <c r="BY76" s="426"/>
      <c r="BZ76" s="426"/>
      <c r="CA76" s="427"/>
      <c r="CB76" s="427"/>
      <c r="CC76" s="426"/>
      <c r="CD76" s="425"/>
      <c r="CE76" s="425"/>
      <c r="CF76" s="427"/>
      <c r="CG76" s="427"/>
      <c r="CH76" s="427"/>
      <c r="CI76" s="427"/>
      <c r="CJ76" s="425"/>
      <c r="CK76" s="425"/>
      <c r="CL76" s="425"/>
      <c r="CM76" s="425"/>
      <c r="CN76" s="425"/>
      <c r="CO76" s="425"/>
      <c r="CP76" s="427"/>
      <c r="CQ76" s="425"/>
      <c r="CR76" s="427"/>
      <c r="CS76" s="425"/>
      <c r="CT76" s="427"/>
      <c r="CU76" s="425"/>
      <c r="CV76" s="425"/>
      <c r="CW76" s="427"/>
      <c r="CX76" s="425"/>
      <c r="CY76" s="427"/>
      <c r="CZ76" s="425"/>
      <c r="DA76" s="427"/>
      <c r="DB76" s="425"/>
      <c r="DC76" s="425"/>
      <c r="DD76" s="425"/>
      <c r="DE76" s="425"/>
      <c r="DF76" s="425"/>
    </row>
    <row r="77">
      <c r="A77" s="425"/>
      <c r="B77" s="425"/>
      <c r="C77" s="425"/>
      <c r="D77" s="425"/>
      <c r="E77" s="425"/>
      <c r="F77" s="425"/>
      <c r="G77" s="426"/>
      <c r="H77" s="426"/>
      <c r="I77" s="427"/>
      <c r="J77" s="427"/>
      <c r="K77" s="427"/>
      <c r="L77" s="427"/>
      <c r="M77" s="427"/>
      <c r="N77" s="427"/>
      <c r="O77" s="427"/>
      <c r="P77" s="427"/>
      <c r="Q77" s="426"/>
      <c r="R77" s="427"/>
      <c r="S77" s="426"/>
      <c r="T77" s="425"/>
      <c r="U77" s="425"/>
      <c r="V77" s="425"/>
      <c r="W77" s="425"/>
      <c r="X77" s="425"/>
      <c r="Y77" s="425"/>
      <c r="Z77" s="427"/>
      <c r="AA77" s="426"/>
      <c r="AB77" s="427"/>
      <c r="AC77" s="426"/>
      <c r="AD77" s="427"/>
      <c r="AE77" s="426"/>
      <c r="AF77" s="427"/>
      <c r="AG77" s="426"/>
      <c r="AH77" s="428"/>
      <c r="AI77" s="426"/>
      <c r="AJ77" s="428"/>
      <c r="AK77" s="426"/>
      <c r="AL77" s="425"/>
      <c r="AM77" s="425"/>
      <c r="AN77" s="427"/>
      <c r="AO77" s="426"/>
      <c r="AP77" s="425"/>
      <c r="AQ77" s="429"/>
      <c r="AR77" s="427"/>
      <c r="AS77" s="425"/>
      <c r="AT77" s="425"/>
      <c r="AU77" s="425"/>
      <c r="AV77" s="425"/>
      <c r="AW77" s="425"/>
      <c r="AX77" s="425"/>
      <c r="AY77" s="427"/>
      <c r="AZ77" s="425"/>
      <c r="BA77" s="427"/>
      <c r="BB77" s="425"/>
      <c r="BC77" s="427"/>
      <c r="BD77" s="425"/>
      <c r="BE77" s="427"/>
      <c r="BF77" s="427"/>
      <c r="BG77" s="427"/>
      <c r="BH77" s="427"/>
      <c r="BI77" s="425"/>
      <c r="BJ77" s="425"/>
      <c r="BK77" s="425"/>
      <c r="BL77" s="426"/>
      <c r="BM77" s="425"/>
      <c r="BN77" s="426"/>
      <c r="BO77" s="426"/>
      <c r="BP77" s="426"/>
      <c r="BQ77" s="426"/>
      <c r="BR77" s="426"/>
      <c r="BS77" s="430"/>
      <c r="BT77" s="425"/>
      <c r="BU77" s="425"/>
      <c r="BV77" s="425"/>
      <c r="BW77" s="426"/>
      <c r="BX77" s="426"/>
      <c r="BY77" s="426"/>
      <c r="BZ77" s="426"/>
      <c r="CA77" s="427"/>
      <c r="CB77" s="427"/>
      <c r="CC77" s="426"/>
      <c r="CD77" s="425"/>
      <c r="CE77" s="425"/>
      <c r="CF77" s="427"/>
      <c r="CG77" s="427"/>
      <c r="CH77" s="427"/>
      <c r="CI77" s="427"/>
      <c r="CJ77" s="425"/>
      <c r="CK77" s="425"/>
      <c r="CL77" s="425"/>
      <c r="CM77" s="425"/>
      <c r="CN77" s="425"/>
      <c r="CO77" s="425"/>
      <c r="CP77" s="427"/>
      <c r="CQ77" s="425"/>
      <c r="CR77" s="427"/>
      <c r="CS77" s="425"/>
      <c r="CT77" s="427"/>
      <c r="CU77" s="425"/>
      <c r="CV77" s="425"/>
      <c r="CW77" s="427"/>
      <c r="CX77" s="425"/>
      <c r="CY77" s="427"/>
      <c r="CZ77" s="425"/>
      <c r="DA77" s="427"/>
      <c r="DB77" s="425"/>
      <c r="DC77" s="425"/>
      <c r="DD77" s="425"/>
      <c r="DE77" s="425"/>
      <c r="DF77" s="425"/>
    </row>
    <row r="78">
      <c r="A78" s="425"/>
      <c r="B78" s="425"/>
      <c r="C78" s="425"/>
      <c r="D78" s="425"/>
      <c r="E78" s="425"/>
      <c r="F78" s="425"/>
      <c r="G78" s="426"/>
      <c r="H78" s="426"/>
      <c r="I78" s="427"/>
      <c r="J78" s="427"/>
      <c r="K78" s="427"/>
      <c r="L78" s="427"/>
      <c r="M78" s="427"/>
      <c r="N78" s="427"/>
      <c r="O78" s="427"/>
      <c r="P78" s="427"/>
      <c r="Q78" s="426"/>
      <c r="R78" s="427"/>
      <c r="S78" s="426"/>
      <c r="T78" s="425"/>
      <c r="U78" s="425"/>
      <c r="V78" s="425"/>
      <c r="W78" s="425"/>
      <c r="X78" s="425"/>
      <c r="Y78" s="425"/>
      <c r="Z78" s="427"/>
      <c r="AA78" s="426"/>
      <c r="AB78" s="427"/>
      <c r="AC78" s="426"/>
      <c r="AD78" s="427"/>
      <c r="AE78" s="426"/>
      <c r="AF78" s="427"/>
      <c r="AG78" s="426"/>
      <c r="AH78" s="428"/>
      <c r="AI78" s="426"/>
      <c r="AJ78" s="428"/>
      <c r="AK78" s="426"/>
      <c r="AL78" s="425"/>
      <c r="AM78" s="425"/>
      <c r="AN78" s="427"/>
      <c r="AO78" s="426"/>
      <c r="AP78" s="425"/>
      <c r="AQ78" s="429"/>
      <c r="AR78" s="427"/>
      <c r="AS78" s="425"/>
      <c r="AT78" s="425"/>
      <c r="AU78" s="425"/>
      <c r="AV78" s="425"/>
      <c r="AW78" s="425"/>
      <c r="AX78" s="425"/>
      <c r="AY78" s="427"/>
      <c r="AZ78" s="425"/>
      <c r="BA78" s="427"/>
      <c r="BB78" s="425"/>
      <c r="BC78" s="427"/>
      <c r="BD78" s="425"/>
      <c r="BE78" s="427"/>
      <c r="BF78" s="427"/>
      <c r="BG78" s="427"/>
      <c r="BH78" s="427"/>
      <c r="BI78" s="425"/>
      <c r="BJ78" s="425"/>
      <c r="BK78" s="425"/>
      <c r="BL78" s="426"/>
      <c r="BM78" s="425"/>
      <c r="BN78" s="426"/>
      <c r="BO78" s="426"/>
      <c r="BP78" s="426"/>
      <c r="BQ78" s="426"/>
      <c r="BR78" s="426"/>
      <c r="BS78" s="430"/>
      <c r="BT78" s="425"/>
      <c r="BU78" s="425"/>
      <c r="BV78" s="425"/>
      <c r="BW78" s="426"/>
      <c r="BX78" s="426"/>
      <c r="BY78" s="426"/>
      <c r="BZ78" s="426"/>
      <c r="CA78" s="427"/>
      <c r="CB78" s="427"/>
      <c r="CC78" s="426"/>
      <c r="CD78" s="425"/>
      <c r="CE78" s="425"/>
      <c r="CF78" s="427"/>
      <c r="CG78" s="427"/>
      <c r="CH78" s="427"/>
      <c r="CI78" s="427"/>
      <c r="CJ78" s="425"/>
      <c r="CK78" s="425"/>
      <c r="CL78" s="425"/>
      <c r="CM78" s="425"/>
      <c r="CN78" s="425"/>
      <c r="CO78" s="425"/>
      <c r="CP78" s="427"/>
      <c r="CQ78" s="425"/>
      <c r="CR78" s="427"/>
      <c r="CS78" s="425"/>
      <c r="CT78" s="427"/>
      <c r="CU78" s="425"/>
      <c r="CV78" s="425"/>
      <c r="CW78" s="427"/>
      <c r="CX78" s="425"/>
      <c r="CY78" s="427"/>
      <c r="CZ78" s="425"/>
      <c r="DA78" s="427"/>
      <c r="DB78" s="425"/>
      <c r="DC78" s="425"/>
      <c r="DD78" s="425"/>
      <c r="DE78" s="425"/>
      <c r="DF78" s="425"/>
    </row>
    <row r="79">
      <c r="A79" s="425"/>
      <c r="B79" s="425"/>
      <c r="C79" s="425"/>
      <c r="D79" s="425"/>
      <c r="E79" s="425"/>
      <c r="F79" s="425"/>
      <c r="G79" s="426"/>
      <c r="H79" s="426"/>
      <c r="I79" s="427"/>
      <c r="J79" s="427"/>
      <c r="K79" s="427"/>
      <c r="L79" s="427"/>
      <c r="M79" s="427"/>
      <c r="N79" s="427"/>
      <c r="O79" s="427"/>
      <c r="P79" s="427"/>
      <c r="Q79" s="426"/>
      <c r="R79" s="427"/>
      <c r="S79" s="426"/>
      <c r="T79" s="425"/>
      <c r="U79" s="425"/>
      <c r="V79" s="425"/>
      <c r="W79" s="425"/>
      <c r="X79" s="425"/>
      <c r="Y79" s="425"/>
      <c r="Z79" s="427"/>
      <c r="AA79" s="426"/>
      <c r="AB79" s="427"/>
      <c r="AC79" s="426"/>
      <c r="AD79" s="427"/>
      <c r="AE79" s="426"/>
      <c r="AF79" s="427"/>
      <c r="AG79" s="426"/>
      <c r="AH79" s="428"/>
      <c r="AI79" s="426"/>
      <c r="AJ79" s="428"/>
      <c r="AK79" s="426"/>
      <c r="AL79" s="425"/>
      <c r="AM79" s="425"/>
      <c r="AN79" s="427"/>
      <c r="AO79" s="426"/>
      <c r="AP79" s="425"/>
      <c r="AQ79" s="429"/>
      <c r="AR79" s="427"/>
      <c r="AS79" s="425"/>
      <c r="AT79" s="425"/>
      <c r="AU79" s="425"/>
      <c r="AV79" s="425"/>
      <c r="AW79" s="425"/>
      <c r="AX79" s="425"/>
      <c r="AY79" s="427"/>
      <c r="AZ79" s="425"/>
      <c r="BA79" s="427"/>
      <c r="BB79" s="425"/>
      <c r="BC79" s="427"/>
      <c r="BD79" s="425"/>
      <c r="BE79" s="427"/>
      <c r="BF79" s="427"/>
      <c r="BG79" s="427"/>
      <c r="BH79" s="427"/>
      <c r="BI79" s="425"/>
      <c r="BJ79" s="425"/>
      <c r="BK79" s="425"/>
      <c r="BL79" s="426"/>
      <c r="BM79" s="425"/>
      <c r="BN79" s="426"/>
      <c r="BO79" s="426"/>
      <c r="BP79" s="426"/>
      <c r="BQ79" s="426"/>
      <c r="BR79" s="426"/>
      <c r="BS79" s="430"/>
      <c r="BT79" s="425"/>
      <c r="BU79" s="425"/>
      <c r="BV79" s="425"/>
      <c r="BW79" s="426"/>
      <c r="BX79" s="426"/>
      <c r="BY79" s="426"/>
      <c r="BZ79" s="426"/>
      <c r="CA79" s="427"/>
      <c r="CB79" s="427"/>
      <c r="CC79" s="426"/>
      <c r="CD79" s="425"/>
      <c r="CE79" s="425"/>
      <c r="CF79" s="427"/>
      <c r="CG79" s="427"/>
      <c r="CH79" s="427"/>
      <c r="CI79" s="427"/>
      <c r="CJ79" s="425"/>
      <c r="CK79" s="425"/>
      <c r="CL79" s="425"/>
      <c r="CM79" s="425"/>
      <c r="CN79" s="425"/>
      <c r="CO79" s="425"/>
      <c r="CP79" s="427"/>
      <c r="CQ79" s="425"/>
      <c r="CR79" s="427"/>
      <c r="CS79" s="425"/>
      <c r="CT79" s="427"/>
      <c r="CU79" s="425"/>
      <c r="CV79" s="425"/>
      <c r="CW79" s="427"/>
      <c r="CX79" s="425"/>
      <c r="CY79" s="427"/>
      <c r="CZ79" s="425"/>
      <c r="DA79" s="427"/>
      <c r="DB79" s="425"/>
      <c r="DC79" s="425"/>
      <c r="DD79" s="425"/>
      <c r="DE79" s="425"/>
      <c r="DF79" s="425"/>
    </row>
    <row r="80">
      <c r="A80" s="425"/>
      <c r="B80" s="425"/>
      <c r="C80" s="425"/>
      <c r="D80" s="425"/>
      <c r="E80" s="425"/>
      <c r="F80" s="425"/>
      <c r="G80" s="426"/>
      <c r="H80" s="426"/>
      <c r="I80" s="427"/>
      <c r="J80" s="427"/>
      <c r="K80" s="427"/>
      <c r="L80" s="427"/>
      <c r="M80" s="427"/>
      <c r="N80" s="427"/>
      <c r="O80" s="427"/>
      <c r="P80" s="427"/>
      <c r="Q80" s="426"/>
      <c r="R80" s="427"/>
      <c r="S80" s="426"/>
      <c r="T80" s="425"/>
      <c r="U80" s="425"/>
      <c r="V80" s="425"/>
      <c r="W80" s="425"/>
      <c r="X80" s="425"/>
      <c r="Y80" s="425"/>
      <c r="Z80" s="427"/>
      <c r="AA80" s="426"/>
      <c r="AB80" s="427"/>
      <c r="AC80" s="426"/>
      <c r="AD80" s="427"/>
      <c r="AE80" s="426"/>
      <c r="AF80" s="427"/>
      <c r="AG80" s="426"/>
      <c r="AH80" s="428"/>
      <c r="AI80" s="426"/>
      <c r="AJ80" s="428"/>
      <c r="AK80" s="426"/>
      <c r="AL80" s="425"/>
      <c r="AM80" s="425"/>
      <c r="AN80" s="427"/>
      <c r="AO80" s="426"/>
      <c r="AP80" s="425"/>
      <c r="AQ80" s="429"/>
      <c r="AR80" s="427"/>
      <c r="AS80" s="425"/>
      <c r="AT80" s="425"/>
      <c r="AU80" s="425"/>
      <c r="AV80" s="425"/>
      <c r="AW80" s="425"/>
      <c r="AX80" s="425"/>
      <c r="AY80" s="427"/>
      <c r="AZ80" s="425"/>
      <c r="BA80" s="427"/>
      <c r="BB80" s="425"/>
      <c r="BC80" s="427"/>
      <c r="BD80" s="425"/>
      <c r="BE80" s="427"/>
      <c r="BF80" s="427"/>
      <c r="BG80" s="427"/>
      <c r="BH80" s="427"/>
      <c r="BI80" s="425"/>
      <c r="BJ80" s="425"/>
      <c r="BK80" s="425"/>
      <c r="BL80" s="426"/>
      <c r="BM80" s="425"/>
      <c r="BN80" s="426"/>
      <c r="BO80" s="426"/>
      <c r="BP80" s="426"/>
      <c r="BQ80" s="426"/>
      <c r="BR80" s="426"/>
      <c r="BS80" s="430"/>
      <c r="BT80" s="425"/>
      <c r="BU80" s="425"/>
      <c r="BV80" s="425"/>
      <c r="BW80" s="426"/>
      <c r="BX80" s="426"/>
      <c r="BY80" s="426"/>
      <c r="BZ80" s="426"/>
      <c r="CA80" s="427"/>
      <c r="CB80" s="427"/>
      <c r="CC80" s="426"/>
      <c r="CD80" s="425"/>
      <c r="CE80" s="425"/>
      <c r="CF80" s="427"/>
      <c r="CG80" s="427"/>
      <c r="CH80" s="427"/>
      <c r="CI80" s="427"/>
      <c r="CJ80" s="425"/>
      <c r="CK80" s="425"/>
      <c r="CL80" s="425"/>
      <c r="CM80" s="425"/>
      <c r="CN80" s="425"/>
      <c r="CO80" s="425"/>
      <c r="CP80" s="427"/>
      <c r="CQ80" s="425"/>
      <c r="CR80" s="427"/>
      <c r="CS80" s="425"/>
      <c r="CT80" s="427"/>
      <c r="CU80" s="425"/>
      <c r="CV80" s="425"/>
      <c r="CW80" s="427"/>
      <c r="CX80" s="425"/>
      <c r="CY80" s="427"/>
      <c r="CZ80" s="425"/>
      <c r="DA80" s="427"/>
      <c r="DB80" s="425"/>
      <c r="DC80" s="425"/>
      <c r="DD80" s="425"/>
      <c r="DE80" s="425"/>
      <c r="DF80" s="425"/>
    </row>
    <row r="81">
      <c r="A81" s="425"/>
      <c r="B81" s="425"/>
      <c r="C81" s="425"/>
      <c r="D81" s="425"/>
      <c r="E81" s="425"/>
      <c r="F81" s="425"/>
      <c r="G81" s="426"/>
      <c r="H81" s="426"/>
      <c r="I81" s="427"/>
      <c r="J81" s="427"/>
      <c r="K81" s="427"/>
      <c r="L81" s="427"/>
      <c r="M81" s="427"/>
      <c r="N81" s="427"/>
      <c r="O81" s="427"/>
      <c r="P81" s="427"/>
      <c r="Q81" s="426"/>
      <c r="R81" s="427"/>
      <c r="S81" s="426"/>
      <c r="T81" s="425"/>
      <c r="U81" s="425"/>
      <c r="V81" s="425"/>
      <c r="W81" s="425"/>
      <c r="X81" s="425"/>
      <c r="Y81" s="425"/>
      <c r="Z81" s="427"/>
      <c r="AA81" s="426"/>
      <c r="AB81" s="427"/>
      <c r="AC81" s="426"/>
      <c r="AD81" s="427"/>
      <c r="AE81" s="426"/>
      <c r="AF81" s="427"/>
      <c r="AG81" s="426"/>
      <c r="AH81" s="428"/>
      <c r="AI81" s="426"/>
      <c r="AJ81" s="428"/>
      <c r="AK81" s="426"/>
      <c r="AL81" s="425"/>
      <c r="AM81" s="425"/>
      <c r="AN81" s="427"/>
      <c r="AO81" s="426"/>
      <c r="AP81" s="425"/>
      <c r="AQ81" s="429"/>
      <c r="AR81" s="427"/>
      <c r="AS81" s="425"/>
      <c r="AT81" s="425"/>
      <c r="AU81" s="425"/>
      <c r="AV81" s="425"/>
      <c r="AW81" s="425"/>
      <c r="AX81" s="425"/>
      <c r="AY81" s="427"/>
      <c r="AZ81" s="425"/>
      <c r="BA81" s="427"/>
      <c r="BB81" s="425"/>
      <c r="BC81" s="427"/>
      <c r="BD81" s="425"/>
      <c r="BE81" s="427"/>
      <c r="BF81" s="427"/>
      <c r="BG81" s="427"/>
      <c r="BH81" s="427"/>
      <c r="BI81" s="425"/>
      <c r="BJ81" s="425"/>
      <c r="BK81" s="425"/>
      <c r="BL81" s="426"/>
      <c r="BM81" s="425"/>
      <c r="BN81" s="426"/>
      <c r="BO81" s="426"/>
      <c r="BP81" s="426"/>
      <c r="BQ81" s="426"/>
      <c r="BR81" s="426"/>
      <c r="BS81" s="430"/>
      <c r="BT81" s="425"/>
      <c r="BU81" s="425"/>
      <c r="BV81" s="425"/>
      <c r="BW81" s="426"/>
      <c r="BX81" s="426"/>
      <c r="BY81" s="426"/>
      <c r="BZ81" s="426"/>
      <c r="CA81" s="427"/>
      <c r="CB81" s="427"/>
      <c r="CC81" s="426"/>
      <c r="CD81" s="425"/>
      <c r="CE81" s="425"/>
      <c r="CF81" s="427"/>
      <c r="CG81" s="427"/>
      <c r="CH81" s="427"/>
      <c r="CI81" s="427"/>
      <c r="CJ81" s="425"/>
      <c r="CK81" s="425"/>
      <c r="CL81" s="425"/>
      <c r="CM81" s="425"/>
      <c r="CN81" s="425"/>
      <c r="CO81" s="425"/>
      <c r="CP81" s="427"/>
      <c r="CQ81" s="425"/>
      <c r="CR81" s="427"/>
      <c r="CS81" s="425"/>
      <c r="CT81" s="427"/>
      <c r="CU81" s="425"/>
      <c r="CV81" s="425"/>
      <c r="CW81" s="427"/>
      <c r="CX81" s="425"/>
      <c r="CY81" s="427"/>
      <c r="CZ81" s="425"/>
      <c r="DA81" s="427"/>
      <c r="DB81" s="425"/>
      <c r="DC81" s="425"/>
      <c r="DD81" s="425"/>
      <c r="DE81" s="425"/>
      <c r="DF81" s="425"/>
    </row>
    <row r="82">
      <c r="A82" s="425"/>
      <c r="B82" s="425"/>
      <c r="C82" s="425"/>
      <c r="D82" s="425"/>
      <c r="E82" s="425"/>
      <c r="F82" s="425"/>
      <c r="G82" s="426"/>
      <c r="H82" s="426"/>
      <c r="I82" s="427"/>
      <c r="J82" s="427"/>
      <c r="K82" s="427"/>
      <c r="L82" s="427"/>
      <c r="M82" s="427"/>
      <c r="N82" s="427"/>
      <c r="O82" s="427"/>
      <c r="P82" s="427"/>
      <c r="Q82" s="426"/>
      <c r="R82" s="427"/>
      <c r="S82" s="426"/>
      <c r="T82" s="425"/>
      <c r="U82" s="425"/>
      <c r="V82" s="425"/>
      <c r="W82" s="425"/>
      <c r="X82" s="425"/>
      <c r="Y82" s="425"/>
      <c r="Z82" s="427"/>
      <c r="AA82" s="426"/>
      <c r="AB82" s="427"/>
      <c r="AC82" s="426"/>
      <c r="AD82" s="427"/>
      <c r="AE82" s="426"/>
      <c r="AF82" s="427"/>
      <c r="AG82" s="426"/>
      <c r="AH82" s="428"/>
      <c r="AI82" s="426"/>
      <c r="AJ82" s="428"/>
      <c r="AK82" s="426"/>
      <c r="AL82" s="425"/>
      <c r="AM82" s="425"/>
      <c r="AN82" s="427"/>
      <c r="AO82" s="426"/>
      <c r="AP82" s="425"/>
      <c r="AQ82" s="429"/>
      <c r="AR82" s="427"/>
      <c r="AS82" s="425"/>
      <c r="AT82" s="425"/>
      <c r="AU82" s="425"/>
      <c r="AV82" s="425"/>
      <c r="AW82" s="425"/>
      <c r="AX82" s="425"/>
      <c r="AY82" s="427"/>
      <c r="AZ82" s="425"/>
      <c r="BA82" s="427"/>
      <c r="BB82" s="425"/>
      <c r="BC82" s="427"/>
      <c r="BD82" s="425"/>
      <c r="BE82" s="427"/>
      <c r="BF82" s="427"/>
      <c r="BG82" s="427"/>
      <c r="BH82" s="427"/>
      <c r="BI82" s="425"/>
      <c r="BJ82" s="425"/>
      <c r="BK82" s="425"/>
      <c r="BL82" s="426"/>
      <c r="BM82" s="425"/>
      <c r="BN82" s="426"/>
      <c r="BO82" s="426"/>
      <c r="BP82" s="426"/>
      <c r="BQ82" s="426"/>
      <c r="BR82" s="426"/>
      <c r="BS82" s="430"/>
      <c r="BT82" s="425"/>
      <c r="BU82" s="425"/>
      <c r="BV82" s="425"/>
      <c r="BW82" s="426"/>
      <c r="BX82" s="426"/>
      <c r="BY82" s="426"/>
      <c r="BZ82" s="426"/>
      <c r="CA82" s="427"/>
      <c r="CB82" s="427"/>
      <c r="CC82" s="426"/>
      <c r="CD82" s="425"/>
      <c r="CE82" s="425"/>
      <c r="CF82" s="427"/>
      <c r="CG82" s="427"/>
      <c r="CH82" s="427"/>
      <c r="CI82" s="427"/>
      <c r="CJ82" s="425"/>
      <c r="CK82" s="425"/>
      <c r="CL82" s="425"/>
      <c r="CM82" s="425"/>
      <c r="CN82" s="425"/>
      <c r="CO82" s="425"/>
      <c r="CP82" s="427"/>
      <c r="CQ82" s="425"/>
      <c r="CR82" s="427"/>
      <c r="CS82" s="425"/>
      <c r="CT82" s="427"/>
      <c r="CU82" s="425"/>
      <c r="CV82" s="425"/>
      <c r="CW82" s="427"/>
      <c r="CX82" s="425"/>
      <c r="CY82" s="427"/>
      <c r="CZ82" s="425"/>
      <c r="DA82" s="427"/>
      <c r="DB82" s="425"/>
      <c r="DC82" s="425"/>
      <c r="DD82" s="425"/>
      <c r="DE82" s="425"/>
      <c r="DF82" s="425"/>
    </row>
    <row r="83">
      <c r="A83" s="425"/>
      <c r="B83" s="425"/>
      <c r="C83" s="425"/>
      <c r="D83" s="425"/>
      <c r="E83" s="425"/>
      <c r="F83" s="425"/>
      <c r="G83" s="426"/>
      <c r="H83" s="426"/>
      <c r="I83" s="427"/>
      <c r="J83" s="427"/>
      <c r="K83" s="427"/>
      <c r="L83" s="427"/>
      <c r="M83" s="427"/>
      <c r="N83" s="427"/>
      <c r="O83" s="427"/>
      <c r="P83" s="427"/>
      <c r="Q83" s="426"/>
      <c r="R83" s="427"/>
      <c r="S83" s="426"/>
      <c r="T83" s="425"/>
      <c r="U83" s="425"/>
      <c r="V83" s="425"/>
      <c r="W83" s="425"/>
      <c r="X83" s="425"/>
      <c r="Y83" s="425"/>
      <c r="Z83" s="427"/>
      <c r="AA83" s="426"/>
      <c r="AB83" s="427"/>
      <c r="AC83" s="426"/>
      <c r="AD83" s="427"/>
      <c r="AE83" s="426"/>
      <c r="AF83" s="427"/>
      <c r="AG83" s="426"/>
      <c r="AH83" s="428"/>
      <c r="AI83" s="426"/>
      <c r="AJ83" s="428"/>
      <c r="AK83" s="426"/>
      <c r="AL83" s="425"/>
      <c r="AM83" s="425"/>
      <c r="AN83" s="427"/>
      <c r="AO83" s="426"/>
      <c r="AP83" s="425"/>
      <c r="AQ83" s="429"/>
      <c r="AR83" s="427"/>
      <c r="AS83" s="425"/>
      <c r="AT83" s="425"/>
      <c r="AU83" s="425"/>
      <c r="AV83" s="425"/>
      <c r="AW83" s="425"/>
      <c r="AX83" s="425"/>
      <c r="AY83" s="427"/>
      <c r="AZ83" s="425"/>
      <c r="BA83" s="427"/>
      <c r="BB83" s="425"/>
      <c r="BC83" s="427"/>
      <c r="BD83" s="425"/>
      <c r="BE83" s="427"/>
      <c r="BF83" s="427"/>
      <c r="BG83" s="427"/>
      <c r="BH83" s="427"/>
      <c r="BI83" s="425"/>
      <c r="BJ83" s="425"/>
      <c r="BK83" s="425"/>
      <c r="BL83" s="426"/>
      <c r="BM83" s="425"/>
      <c r="BN83" s="426"/>
      <c r="BO83" s="426"/>
      <c r="BP83" s="426"/>
      <c r="BQ83" s="426"/>
      <c r="BR83" s="426"/>
      <c r="BS83" s="430"/>
      <c r="BT83" s="425"/>
      <c r="BU83" s="425"/>
      <c r="BV83" s="425"/>
      <c r="BW83" s="426"/>
      <c r="BX83" s="426"/>
      <c r="BY83" s="426"/>
      <c r="BZ83" s="426"/>
      <c r="CA83" s="427"/>
      <c r="CB83" s="427"/>
      <c r="CC83" s="426"/>
      <c r="CD83" s="425"/>
      <c r="CE83" s="425"/>
      <c r="CF83" s="427"/>
      <c r="CG83" s="427"/>
      <c r="CH83" s="427"/>
      <c r="CI83" s="427"/>
      <c r="CJ83" s="425"/>
      <c r="CK83" s="425"/>
      <c r="CL83" s="425"/>
      <c r="CM83" s="425"/>
      <c r="CN83" s="425"/>
      <c r="CO83" s="425"/>
      <c r="CP83" s="427"/>
      <c r="CQ83" s="425"/>
      <c r="CR83" s="427"/>
      <c r="CS83" s="425"/>
      <c r="CT83" s="427"/>
      <c r="CU83" s="425"/>
      <c r="CV83" s="425"/>
      <c r="CW83" s="427"/>
      <c r="CX83" s="425"/>
      <c r="CY83" s="427"/>
      <c r="CZ83" s="425"/>
      <c r="DA83" s="427"/>
      <c r="DB83" s="425"/>
      <c r="DC83" s="425"/>
      <c r="DD83" s="425"/>
      <c r="DE83" s="425"/>
      <c r="DF83" s="425"/>
    </row>
    <row r="84">
      <c r="A84" s="425"/>
      <c r="B84" s="425"/>
      <c r="C84" s="425"/>
      <c r="D84" s="425"/>
      <c r="E84" s="425"/>
      <c r="F84" s="425"/>
      <c r="G84" s="426"/>
      <c r="H84" s="426"/>
      <c r="I84" s="427"/>
      <c r="J84" s="427"/>
      <c r="K84" s="427"/>
      <c r="L84" s="427"/>
      <c r="M84" s="427"/>
      <c r="N84" s="427"/>
      <c r="O84" s="427"/>
      <c r="P84" s="427"/>
      <c r="Q84" s="426"/>
      <c r="R84" s="427"/>
      <c r="S84" s="426"/>
      <c r="T84" s="425"/>
      <c r="U84" s="425"/>
      <c r="V84" s="425"/>
      <c r="W84" s="425"/>
      <c r="X84" s="425"/>
      <c r="Y84" s="425"/>
      <c r="Z84" s="427"/>
      <c r="AA84" s="426"/>
      <c r="AB84" s="427"/>
      <c r="AC84" s="426"/>
      <c r="AD84" s="427"/>
      <c r="AE84" s="426"/>
      <c r="AF84" s="427"/>
      <c r="AG84" s="426"/>
      <c r="AH84" s="428"/>
      <c r="AI84" s="426"/>
      <c r="AJ84" s="428"/>
      <c r="AK84" s="426"/>
      <c r="AL84" s="425"/>
      <c r="AM84" s="425"/>
      <c r="AN84" s="427"/>
      <c r="AO84" s="426"/>
      <c r="AP84" s="425"/>
      <c r="AQ84" s="429"/>
      <c r="AR84" s="427"/>
      <c r="AS84" s="425"/>
      <c r="AT84" s="425"/>
      <c r="AU84" s="425"/>
      <c r="AV84" s="425"/>
      <c r="AW84" s="425"/>
      <c r="AX84" s="425"/>
      <c r="AY84" s="427"/>
      <c r="AZ84" s="425"/>
      <c r="BA84" s="427"/>
      <c r="BB84" s="425"/>
      <c r="BC84" s="427"/>
      <c r="BD84" s="425"/>
      <c r="BE84" s="427"/>
      <c r="BF84" s="427"/>
      <c r="BG84" s="427"/>
      <c r="BH84" s="427"/>
      <c r="BI84" s="425"/>
      <c r="BJ84" s="425"/>
      <c r="BK84" s="425"/>
      <c r="BL84" s="426"/>
      <c r="BM84" s="425"/>
      <c r="BN84" s="426"/>
      <c r="BO84" s="426"/>
      <c r="BP84" s="426"/>
      <c r="BQ84" s="426"/>
      <c r="BR84" s="426"/>
      <c r="BS84" s="430"/>
      <c r="BT84" s="425"/>
      <c r="BU84" s="425"/>
      <c r="BV84" s="425"/>
      <c r="BW84" s="426"/>
      <c r="BX84" s="426"/>
      <c r="BY84" s="426"/>
      <c r="BZ84" s="426"/>
      <c r="CA84" s="427"/>
      <c r="CB84" s="427"/>
      <c r="CC84" s="426"/>
      <c r="CD84" s="425"/>
      <c r="CE84" s="425"/>
      <c r="CF84" s="427"/>
      <c r="CG84" s="427"/>
      <c r="CH84" s="427"/>
      <c r="CI84" s="427"/>
      <c r="CJ84" s="425"/>
      <c r="CK84" s="425"/>
      <c r="CL84" s="425"/>
      <c r="CM84" s="425"/>
      <c r="CN84" s="425"/>
      <c r="CO84" s="425"/>
      <c r="CP84" s="427"/>
      <c r="CQ84" s="425"/>
      <c r="CR84" s="427"/>
      <c r="CS84" s="425"/>
      <c r="CT84" s="427"/>
      <c r="CU84" s="425"/>
      <c r="CV84" s="425"/>
      <c r="CW84" s="427"/>
      <c r="CX84" s="425"/>
      <c r="CY84" s="427"/>
      <c r="CZ84" s="425"/>
      <c r="DA84" s="427"/>
      <c r="DB84" s="425"/>
      <c r="DC84" s="425"/>
      <c r="DD84" s="425"/>
      <c r="DE84" s="425"/>
      <c r="DF84" s="425"/>
    </row>
    <row r="85">
      <c r="A85" s="425"/>
      <c r="B85" s="425"/>
      <c r="C85" s="425"/>
      <c r="D85" s="425"/>
      <c r="E85" s="425"/>
      <c r="F85" s="425"/>
      <c r="G85" s="426"/>
      <c r="H85" s="426"/>
      <c r="I85" s="427"/>
      <c r="J85" s="427"/>
      <c r="K85" s="427"/>
      <c r="L85" s="427"/>
      <c r="M85" s="427"/>
      <c r="N85" s="427"/>
      <c r="O85" s="427"/>
      <c r="P85" s="427"/>
      <c r="Q85" s="426"/>
      <c r="R85" s="427"/>
      <c r="S85" s="426"/>
      <c r="T85" s="425"/>
      <c r="U85" s="425"/>
      <c r="V85" s="425"/>
      <c r="W85" s="425"/>
      <c r="X85" s="425"/>
      <c r="Y85" s="425"/>
      <c r="Z85" s="427"/>
      <c r="AA85" s="426"/>
      <c r="AB85" s="427"/>
      <c r="AC85" s="426"/>
      <c r="AD85" s="427"/>
      <c r="AE85" s="426"/>
      <c r="AF85" s="427"/>
      <c r="AG85" s="426"/>
      <c r="AH85" s="428"/>
      <c r="AI85" s="426"/>
      <c r="AJ85" s="428"/>
      <c r="AK85" s="426"/>
      <c r="AL85" s="425"/>
      <c r="AM85" s="425"/>
      <c r="AN85" s="427"/>
      <c r="AO85" s="426"/>
      <c r="AP85" s="425"/>
      <c r="AQ85" s="429"/>
      <c r="AR85" s="427"/>
      <c r="AS85" s="425"/>
      <c r="AT85" s="425"/>
      <c r="AU85" s="425"/>
      <c r="AV85" s="425"/>
      <c r="AW85" s="425"/>
      <c r="AX85" s="425"/>
      <c r="AY85" s="427"/>
      <c r="AZ85" s="425"/>
      <c r="BA85" s="427"/>
      <c r="BB85" s="425"/>
      <c r="BC85" s="427"/>
      <c r="BD85" s="425"/>
      <c r="BE85" s="427"/>
      <c r="BF85" s="427"/>
      <c r="BG85" s="427"/>
      <c r="BH85" s="427"/>
      <c r="BI85" s="425"/>
      <c r="BJ85" s="425"/>
      <c r="BK85" s="425"/>
      <c r="BL85" s="426"/>
      <c r="BM85" s="425"/>
      <c r="BN85" s="426"/>
      <c r="BO85" s="426"/>
      <c r="BP85" s="426"/>
      <c r="BQ85" s="426"/>
      <c r="BR85" s="426"/>
      <c r="BS85" s="430"/>
      <c r="BT85" s="425"/>
      <c r="BU85" s="425"/>
      <c r="BV85" s="425"/>
      <c r="BW85" s="426"/>
      <c r="BX85" s="426"/>
      <c r="BY85" s="426"/>
      <c r="BZ85" s="426"/>
      <c r="CA85" s="427"/>
      <c r="CB85" s="427"/>
      <c r="CC85" s="426"/>
      <c r="CD85" s="425"/>
      <c r="CE85" s="425"/>
      <c r="CF85" s="427"/>
      <c r="CG85" s="427"/>
      <c r="CH85" s="427"/>
      <c r="CI85" s="427"/>
      <c r="CJ85" s="425"/>
      <c r="CK85" s="425"/>
      <c r="CL85" s="425"/>
      <c r="CM85" s="425"/>
      <c r="CN85" s="425"/>
      <c r="CO85" s="425"/>
      <c r="CP85" s="427"/>
      <c r="CQ85" s="425"/>
      <c r="CR85" s="427"/>
      <c r="CS85" s="425"/>
      <c r="CT85" s="427"/>
      <c r="CU85" s="425"/>
      <c r="CV85" s="425"/>
      <c r="CW85" s="427"/>
      <c r="CX85" s="425"/>
      <c r="CY85" s="427"/>
      <c r="CZ85" s="425"/>
      <c r="DA85" s="427"/>
      <c r="DB85" s="425"/>
      <c r="DC85" s="425"/>
      <c r="DD85" s="425"/>
      <c r="DE85" s="425"/>
      <c r="DF85" s="425"/>
    </row>
    <row r="86">
      <c r="A86" s="425"/>
      <c r="B86" s="425"/>
      <c r="C86" s="425"/>
      <c r="D86" s="425"/>
      <c r="E86" s="425"/>
      <c r="F86" s="425"/>
      <c r="G86" s="426"/>
      <c r="H86" s="426"/>
      <c r="I86" s="427"/>
      <c r="J86" s="427"/>
      <c r="K86" s="427"/>
      <c r="L86" s="427"/>
      <c r="M86" s="427"/>
      <c r="N86" s="427"/>
      <c r="O86" s="427"/>
      <c r="P86" s="427"/>
      <c r="Q86" s="426"/>
      <c r="R86" s="427"/>
      <c r="S86" s="426"/>
      <c r="T86" s="425"/>
      <c r="U86" s="425"/>
      <c r="V86" s="425"/>
      <c r="W86" s="425"/>
      <c r="X86" s="425"/>
      <c r="Y86" s="425"/>
      <c r="Z86" s="427"/>
      <c r="AA86" s="426"/>
      <c r="AB86" s="427"/>
      <c r="AC86" s="426"/>
      <c r="AD86" s="427"/>
      <c r="AE86" s="426"/>
      <c r="AF86" s="427"/>
      <c r="AG86" s="426"/>
      <c r="AH86" s="428"/>
      <c r="AI86" s="426"/>
      <c r="AJ86" s="428"/>
      <c r="AK86" s="426"/>
      <c r="AL86" s="425"/>
      <c r="AM86" s="425"/>
      <c r="AN86" s="427"/>
      <c r="AO86" s="426"/>
      <c r="AP86" s="425"/>
      <c r="AQ86" s="429"/>
      <c r="AR86" s="427"/>
      <c r="AS86" s="425"/>
      <c r="AT86" s="425"/>
      <c r="AU86" s="425"/>
      <c r="AV86" s="425"/>
      <c r="AW86" s="425"/>
      <c r="AX86" s="425"/>
      <c r="AY86" s="427"/>
      <c r="AZ86" s="425"/>
      <c r="BA86" s="427"/>
      <c r="BB86" s="425"/>
      <c r="BC86" s="427"/>
      <c r="BD86" s="425"/>
      <c r="BE86" s="427"/>
      <c r="BF86" s="427"/>
      <c r="BG86" s="427"/>
      <c r="BH86" s="427"/>
      <c r="BI86" s="425"/>
      <c r="BJ86" s="425"/>
      <c r="BK86" s="425"/>
      <c r="BL86" s="426"/>
      <c r="BM86" s="425"/>
      <c r="BN86" s="426"/>
      <c r="BO86" s="426"/>
      <c r="BP86" s="426"/>
      <c r="BQ86" s="426"/>
      <c r="BR86" s="426"/>
      <c r="BS86" s="430"/>
      <c r="BT86" s="425"/>
      <c r="BU86" s="425"/>
      <c r="BV86" s="425"/>
      <c r="BW86" s="426"/>
      <c r="BX86" s="426"/>
      <c r="BY86" s="426"/>
      <c r="BZ86" s="426"/>
      <c r="CA86" s="427"/>
      <c r="CB86" s="427"/>
      <c r="CC86" s="426"/>
      <c r="CD86" s="425"/>
      <c r="CE86" s="425"/>
      <c r="CF86" s="427"/>
      <c r="CG86" s="427"/>
      <c r="CH86" s="427"/>
      <c r="CI86" s="427"/>
      <c r="CJ86" s="425"/>
      <c r="CK86" s="425"/>
      <c r="CL86" s="425"/>
      <c r="CM86" s="425"/>
      <c r="CN86" s="425"/>
      <c r="CO86" s="425"/>
      <c r="CP86" s="427"/>
      <c r="CQ86" s="425"/>
      <c r="CR86" s="427"/>
      <c r="CS86" s="425"/>
      <c r="CT86" s="427"/>
      <c r="CU86" s="425"/>
      <c r="CV86" s="425"/>
      <c r="CW86" s="427"/>
      <c r="CX86" s="425"/>
      <c r="CY86" s="427"/>
      <c r="CZ86" s="425"/>
      <c r="DA86" s="427"/>
      <c r="DB86" s="425"/>
      <c r="DC86" s="425"/>
      <c r="DD86" s="425"/>
      <c r="DE86" s="425"/>
      <c r="DF86" s="425"/>
    </row>
    <row r="87">
      <c r="A87" s="425"/>
      <c r="B87" s="425"/>
      <c r="C87" s="425"/>
      <c r="D87" s="425"/>
      <c r="E87" s="425"/>
      <c r="F87" s="425"/>
      <c r="G87" s="426"/>
      <c r="H87" s="426"/>
      <c r="I87" s="427"/>
      <c r="J87" s="427"/>
      <c r="K87" s="427"/>
      <c r="L87" s="427"/>
      <c r="M87" s="427"/>
      <c r="N87" s="427"/>
      <c r="O87" s="427"/>
      <c r="P87" s="427"/>
      <c r="Q87" s="426"/>
      <c r="R87" s="427"/>
      <c r="S87" s="426"/>
      <c r="T87" s="425"/>
      <c r="U87" s="425"/>
      <c r="V87" s="425"/>
      <c r="W87" s="425"/>
      <c r="X87" s="425"/>
      <c r="Y87" s="425"/>
      <c r="Z87" s="427"/>
      <c r="AA87" s="426"/>
      <c r="AB87" s="427"/>
      <c r="AC87" s="426"/>
      <c r="AD87" s="427"/>
      <c r="AE87" s="426"/>
      <c r="AF87" s="427"/>
      <c r="AG87" s="426"/>
      <c r="AH87" s="428"/>
      <c r="AI87" s="426"/>
      <c r="AJ87" s="428"/>
      <c r="AK87" s="426"/>
      <c r="AL87" s="425"/>
      <c r="AM87" s="425"/>
      <c r="AN87" s="427"/>
      <c r="AO87" s="426"/>
      <c r="AP87" s="425"/>
      <c r="AQ87" s="429"/>
      <c r="AR87" s="427"/>
      <c r="AS87" s="425"/>
      <c r="AT87" s="425"/>
      <c r="AU87" s="425"/>
      <c r="AV87" s="425"/>
      <c r="AW87" s="425"/>
      <c r="AX87" s="425"/>
      <c r="AY87" s="427"/>
      <c r="AZ87" s="425"/>
      <c r="BA87" s="427"/>
      <c r="BB87" s="425"/>
      <c r="BC87" s="427"/>
      <c r="BD87" s="425"/>
      <c r="BE87" s="427"/>
      <c r="BF87" s="427"/>
      <c r="BG87" s="427"/>
      <c r="BH87" s="427"/>
      <c r="BI87" s="425"/>
      <c r="BJ87" s="425"/>
      <c r="BK87" s="425"/>
      <c r="BL87" s="426"/>
      <c r="BM87" s="425"/>
      <c r="BN87" s="426"/>
      <c r="BO87" s="426"/>
      <c r="BP87" s="426"/>
      <c r="BQ87" s="426"/>
      <c r="BR87" s="426"/>
      <c r="BS87" s="430"/>
      <c r="BT87" s="425"/>
      <c r="BU87" s="425"/>
      <c r="BV87" s="425"/>
      <c r="BW87" s="426"/>
      <c r="BX87" s="426"/>
      <c r="BY87" s="426"/>
      <c r="BZ87" s="426"/>
      <c r="CA87" s="427"/>
      <c r="CB87" s="427"/>
      <c r="CC87" s="426"/>
      <c r="CD87" s="425"/>
      <c r="CE87" s="425"/>
      <c r="CF87" s="427"/>
      <c r="CG87" s="427"/>
      <c r="CH87" s="427"/>
      <c r="CI87" s="427"/>
      <c r="CJ87" s="425"/>
      <c r="CK87" s="425"/>
      <c r="CL87" s="425"/>
      <c r="CM87" s="425"/>
      <c r="CN87" s="425"/>
      <c r="CO87" s="425"/>
      <c r="CP87" s="427"/>
      <c r="CQ87" s="425"/>
      <c r="CR87" s="427"/>
      <c r="CS87" s="425"/>
      <c r="CT87" s="427"/>
      <c r="CU87" s="425"/>
      <c r="CV87" s="425"/>
      <c r="CW87" s="427"/>
      <c r="CX87" s="425"/>
      <c r="CY87" s="427"/>
      <c r="CZ87" s="425"/>
      <c r="DA87" s="427"/>
      <c r="DB87" s="425"/>
      <c r="DC87" s="425"/>
      <c r="DD87" s="425"/>
      <c r="DE87" s="425"/>
      <c r="DF87" s="425"/>
    </row>
    <row r="88">
      <c r="A88" s="425"/>
      <c r="B88" s="425"/>
      <c r="C88" s="425"/>
      <c r="D88" s="425"/>
      <c r="E88" s="425"/>
      <c r="F88" s="425"/>
      <c r="G88" s="426"/>
      <c r="H88" s="426"/>
      <c r="I88" s="427"/>
      <c r="J88" s="427"/>
      <c r="K88" s="427"/>
      <c r="L88" s="427"/>
      <c r="M88" s="427"/>
      <c r="N88" s="427"/>
      <c r="O88" s="427"/>
      <c r="P88" s="427"/>
      <c r="Q88" s="426"/>
      <c r="R88" s="427"/>
      <c r="S88" s="426"/>
      <c r="T88" s="425"/>
      <c r="U88" s="425"/>
      <c r="V88" s="425"/>
      <c r="W88" s="425"/>
      <c r="X88" s="425"/>
      <c r="Y88" s="425"/>
      <c r="Z88" s="427"/>
      <c r="AA88" s="426"/>
      <c r="AB88" s="427"/>
      <c r="AC88" s="426"/>
      <c r="AD88" s="427"/>
      <c r="AE88" s="426"/>
      <c r="AF88" s="427"/>
      <c r="AG88" s="426"/>
      <c r="AH88" s="428"/>
      <c r="AI88" s="426"/>
      <c r="AJ88" s="428"/>
      <c r="AK88" s="426"/>
      <c r="AL88" s="425"/>
      <c r="AM88" s="425"/>
      <c r="AN88" s="427"/>
      <c r="AO88" s="426"/>
      <c r="AP88" s="425"/>
      <c r="AQ88" s="429"/>
      <c r="AR88" s="427"/>
      <c r="AS88" s="425"/>
      <c r="AT88" s="425"/>
      <c r="AU88" s="425"/>
      <c r="AV88" s="425"/>
      <c r="AW88" s="425"/>
      <c r="AX88" s="425"/>
      <c r="AY88" s="427"/>
      <c r="AZ88" s="425"/>
      <c r="BA88" s="427"/>
      <c r="BB88" s="425"/>
      <c r="BC88" s="427"/>
      <c r="BD88" s="425"/>
      <c r="BE88" s="427"/>
      <c r="BF88" s="427"/>
      <c r="BG88" s="427"/>
      <c r="BH88" s="427"/>
      <c r="BI88" s="425"/>
      <c r="BJ88" s="425"/>
      <c r="BK88" s="425"/>
      <c r="BL88" s="426"/>
      <c r="BM88" s="425"/>
      <c r="BN88" s="426"/>
      <c r="BO88" s="426"/>
      <c r="BP88" s="426"/>
      <c r="BQ88" s="426"/>
      <c r="BR88" s="426"/>
      <c r="BS88" s="430"/>
      <c r="BT88" s="425"/>
      <c r="BU88" s="425"/>
      <c r="BV88" s="425"/>
      <c r="BW88" s="426"/>
      <c r="BX88" s="426"/>
      <c r="BY88" s="426"/>
      <c r="BZ88" s="426"/>
      <c r="CA88" s="427"/>
      <c r="CB88" s="427"/>
      <c r="CC88" s="426"/>
      <c r="CD88" s="425"/>
      <c r="CE88" s="425"/>
      <c r="CF88" s="427"/>
      <c r="CG88" s="427"/>
      <c r="CH88" s="427"/>
      <c r="CI88" s="427"/>
      <c r="CJ88" s="425"/>
      <c r="CK88" s="425"/>
      <c r="CL88" s="425"/>
      <c r="CM88" s="425"/>
      <c r="CN88" s="425"/>
      <c r="CO88" s="425"/>
      <c r="CP88" s="427"/>
      <c r="CQ88" s="425"/>
      <c r="CR88" s="427"/>
      <c r="CS88" s="425"/>
      <c r="CT88" s="427"/>
      <c r="CU88" s="425"/>
      <c r="CV88" s="425"/>
      <c r="CW88" s="427"/>
      <c r="CX88" s="425"/>
      <c r="CY88" s="427"/>
      <c r="CZ88" s="425"/>
      <c r="DA88" s="427"/>
      <c r="DB88" s="425"/>
      <c r="DC88" s="425"/>
      <c r="DD88" s="425"/>
      <c r="DE88" s="425"/>
      <c r="DF88" s="425"/>
    </row>
    <row r="89">
      <c r="A89" s="425"/>
      <c r="B89" s="425"/>
      <c r="C89" s="425"/>
      <c r="D89" s="425"/>
      <c r="E89" s="425"/>
      <c r="F89" s="425"/>
      <c r="G89" s="426"/>
      <c r="H89" s="426"/>
      <c r="I89" s="427"/>
      <c r="J89" s="427"/>
      <c r="K89" s="427"/>
      <c r="L89" s="427"/>
      <c r="M89" s="427"/>
      <c r="N89" s="427"/>
      <c r="O89" s="427"/>
      <c r="P89" s="427"/>
      <c r="Q89" s="426"/>
      <c r="R89" s="427"/>
      <c r="S89" s="426"/>
      <c r="T89" s="425"/>
      <c r="U89" s="425"/>
      <c r="V89" s="425"/>
      <c r="W89" s="425"/>
      <c r="X89" s="425"/>
      <c r="Y89" s="425"/>
      <c r="Z89" s="427"/>
      <c r="AA89" s="426"/>
      <c r="AB89" s="427"/>
      <c r="AC89" s="426"/>
      <c r="AD89" s="427"/>
      <c r="AE89" s="426"/>
      <c r="AF89" s="427"/>
      <c r="AG89" s="426"/>
      <c r="AH89" s="428"/>
      <c r="AI89" s="426"/>
      <c r="AJ89" s="428"/>
      <c r="AK89" s="426"/>
      <c r="AL89" s="425"/>
      <c r="AM89" s="425"/>
      <c r="AN89" s="427"/>
      <c r="AO89" s="426"/>
      <c r="AP89" s="425"/>
      <c r="AQ89" s="429"/>
      <c r="AR89" s="427"/>
      <c r="AS89" s="425"/>
      <c r="AT89" s="425"/>
      <c r="AU89" s="425"/>
      <c r="AV89" s="425"/>
      <c r="AW89" s="425"/>
      <c r="AX89" s="425"/>
      <c r="AY89" s="427"/>
      <c r="AZ89" s="425"/>
      <c r="BA89" s="427"/>
      <c r="BB89" s="425"/>
      <c r="BC89" s="427"/>
      <c r="BD89" s="425"/>
      <c r="BE89" s="427"/>
      <c r="BF89" s="427"/>
      <c r="BG89" s="427"/>
      <c r="BH89" s="427"/>
      <c r="BI89" s="425"/>
      <c r="BJ89" s="425"/>
      <c r="BK89" s="425"/>
      <c r="BL89" s="426"/>
      <c r="BM89" s="425"/>
      <c r="BN89" s="426"/>
      <c r="BO89" s="426"/>
      <c r="BP89" s="426"/>
      <c r="BQ89" s="426"/>
      <c r="BR89" s="426"/>
      <c r="BS89" s="430"/>
      <c r="BT89" s="425"/>
      <c r="BU89" s="425"/>
      <c r="BV89" s="425"/>
      <c r="BW89" s="426"/>
      <c r="BX89" s="426"/>
      <c r="BY89" s="426"/>
      <c r="BZ89" s="426"/>
      <c r="CA89" s="427"/>
      <c r="CB89" s="427"/>
      <c r="CC89" s="426"/>
      <c r="CD89" s="425"/>
      <c r="CE89" s="425"/>
      <c r="CF89" s="427"/>
      <c r="CG89" s="427"/>
      <c r="CH89" s="427"/>
      <c r="CI89" s="427"/>
      <c r="CJ89" s="425"/>
      <c r="CK89" s="425"/>
      <c r="CL89" s="425"/>
      <c r="CM89" s="425"/>
      <c r="CN89" s="425"/>
      <c r="CO89" s="425"/>
      <c r="CP89" s="427"/>
      <c r="CQ89" s="425"/>
      <c r="CR89" s="427"/>
      <c r="CS89" s="425"/>
      <c r="CT89" s="427"/>
      <c r="CU89" s="425"/>
      <c r="CV89" s="425"/>
      <c r="CW89" s="427"/>
      <c r="CX89" s="425"/>
      <c r="CY89" s="427"/>
      <c r="CZ89" s="425"/>
      <c r="DA89" s="427"/>
      <c r="DB89" s="425"/>
      <c r="DC89" s="425"/>
      <c r="DD89" s="425"/>
      <c r="DE89" s="425"/>
      <c r="DF89" s="425"/>
    </row>
    <row r="90">
      <c r="A90" s="425"/>
      <c r="B90" s="425"/>
      <c r="C90" s="425"/>
      <c r="D90" s="425"/>
      <c r="E90" s="425"/>
      <c r="F90" s="425"/>
      <c r="G90" s="426"/>
      <c r="H90" s="426"/>
      <c r="I90" s="427"/>
      <c r="J90" s="427"/>
      <c r="K90" s="427"/>
      <c r="L90" s="427"/>
      <c r="M90" s="427"/>
      <c r="N90" s="427"/>
      <c r="O90" s="427"/>
      <c r="P90" s="427"/>
      <c r="Q90" s="426"/>
      <c r="R90" s="427"/>
      <c r="S90" s="426"/>
      <c r="T90" s="425"/>
      <c r="U90" s="425"/>
      <c r="V90" s="425"/>
      <c r="W90" s="425"/>
      <c r="X90" s="425"/>
      <c r="Y90" s="425"/>
      <c r="Z90" s="427"/>
      <c r="AA90" s="426"/>
      <c r="AB90" s="427"/>
      <c r="AC90" s="426"/>
      <c r="AD90" s="427"/>
      <c r="AE90" s="426"/>
      <c r="AF90" s="427"/>
      <c r="AG90" s="426"/>
      <c r="AH90" s="428"/>
      <c r="AI90" s="426"/>
      <c r="AJ90" s="428"/>
      <c r="AK90" s="426"/>
      <c r="AL90" s="425"/>
      <c r="AM90" s="425"/>
      <c r="AN90" s="427"/>
      <c r="AO90" s="426"/>
      <c r="AP90" s="425"/>
      <c r="AQ90" s="429"/>
      <c r="AR90" s="427"/>
      <c r="AS90" s="425"/>
      <c r="AT90" s="425"/>
      <c r="AU90" s="425"/>
      <c r="AV90" s="425"/>
      <c r="AW90" s="425"/>
      <c r="AX90" s="425"/>
      <c r="AY90" s="427"/>
      <c r="AZ90" s="425"/>
      <c r="BA90" s="427"/>
      <c r="BB90" s="425"/>
      <c r="BC90" s="427"/>
      <c r="BD90" s="425"/>
      <c r="BE90" s="427"/>
      <c r="BF90" s="427"/>
      <c r="BG90" s="427"/>
      <c r="BH90" s="427"/>
      <c r="BI90" s="425"/>
      <c r="BJ90" s="425"/>
      <c r="BK90" s="425"/>
      <c r="BL90" s="426"/>
      <c r="BM90" s="425"/>
      <c r="BN90" s="426"/>
      <c r="BO90" s="426"/>
      <c r="BP90" s="426"/>
      <c r="BQ90" s="426"/>
      <c r="BR90" s="426"/>
      <c r="BS90" s="430"/>
      <c r="BT90" s="425"/>
      <c r="BU90" s="425"/>
      <c r="BV90" s="425"/>
      <c r="BW90" s="426"/>
      <c r="BX90" s="426"/>
      <c r="BY90" s="426"/>
      <c r="BZ90" s="426"/>
      <c r="CA90" s="427"/>
      <c r="CB90" s="427"/>
      <c r="CC90" s="426"/>
      <c r="CD90" s="425"/>
      <c r="CE90" s="425"/>
      <c r="CF90" s="427"/>
      <c r="CG90" s="427"/>
      <c r="CH90" s="427"/>
      <c r="CI90" s="427"/>
      <c r="CJ90" s="425"/>
      <c r="CK90" s="425"/>
      <c r="CL90" s="425"/>
      <c r="CM90" s="425"/>
      <c r="CN90" s="425"/>
      <c r="CO90" s="425"/>
      <c r="CP90" s="427"/>
      <c r="CQ90" s="425"/>
      <c r="CR90" s="427"/>
      <c r="CS90" s="425"/>
      <c r="CT90" s="427"/>
      <c r="CU90" s="425"/>
      <c r="CV90" s="425"/>
      <c r="CW90" s="427"/>
      <c r="CX90" s="425"/>
      <c r="CY90" s="427"/>
      <c r="CZ90" s="425"/>
      <c r="DA90" s="427"/>
      <c r="DB90" s="425"/>
      <c r="DC90" s="425"/>
      <c r="DD90" s="425"/>
      <c r="DE90" s="425"/>
      <c r="DF90" s="425"/>
    </row>
    <row r="91">
      <c r="A91" s="425"/>
      <c r="B91" s="425"/>
      <c r="C91" s="425"/>
      <c r="D91" s="425"/>
      <c r="E91" s="425"/>
      <c r="F91" s="425"/>
      <c r="G91" s="426"/>
      <c r="H91" s="426"/>
      <c r="I91" s="427"/>
      <c r="J91" s="427"/>
      <c r="K91" s="427"/>
      <c r="L91" s="427"/>
      <c r="M91" s="427"/>
      <c r="N91" s="427"/>
      <c r="O91" s="427"/>
      <c r="P91" s="427"/>
      <c r="Q91" s="426"/>
      <c r="R91" s="427"/>
      <c r="S91" s="426"/>
      <c r="T91" s="425"/>
      <c r="U91" s="425"/>
      <c r="V91" s="425"/>
      <c r="W91" s="425"/>
      <c r="X91" s="425"/>
      <c r="Y91" s="425"/>
      <c r="Z91" s="427"/>
      <c r="AA91" s="426"/>
      <c r="AB91" s="427"/>
      <c r="AC91" s="426"/>
      <c r="AD91" s="427"/>
      <c r="AE91" s="426"/>
      <c r="AF91" s="427"/>
      <c r="AG91" s="426"/>
      <c r="AH91" s="428"/>
      <c r="AI91" s="426"/>
      <c r="AJ91" s="428"/>
      <c r="AK91" s="426"/>
      <c r="AL91" s="425"/>
      <c r="AM91" s="425"/>
      <c r="AN91" s="427"/>
      <c r="AO91" s="426"/>
      <c r="AP91" s="425"/>
      <c r="AQ91" s="429"/>
      <c r="AR91" s="427"/>
      <c r="AS91" s="425"/>
      <c r="AT91" s="425"/>
      <c r="AU91" s="425"/>
      <c r="AV91" s="425"/>
      <c r="AW91" s="425"/>
      <c r="AX91" s="425"/>
      <c r="AY91" s="427"/>
      <c r="AZ91" s="425"/>
      <c r="BA91" s="427"/>
      <c r="BB91" s="425"/>
      <c r="BC91" s="427"/>
      <c r="BD91" s="425"/>
      <c r="BE91" s="427"/>
      <c r="BF91" s="427"/>
      <c r="BG91" s="427"/>
      <c r="BH91" s="427"/>
      <c r="BI91" s="425"/>
      <c r="BJ91" s="425"/>
      <c r="BK91" s="425"/>
      <c r="BL91" s="426"/>
      <c r="BM91" s="425"/>
      <c r="BN91" s="426"/>
      <c r="BO91" s="426"/>
      <c r="BP91" s="426"/>
      <c r="BQ91" s="426"/>
      <c r="BR91" s="426"/>
      <c r="BS91" s="430"/>
      <c r="BT91" s="425"/>
      <c r="BU91" s="425"/>
      <c r="BV91" s="425"/>
      <c r="BW91" s="426"/>
      <c r="BX91" s="426"/>
      <c r="BY91" s="426"/>
      <c r="BZ91" s="426"/>
      <c r="CA91" s="427"/>
      <c r="CB91" s="427"/>
      <c r="CC91" s="426"/>
      <c r="CD91" s="425"/>
      <c r="CE91" s="425"/>
      <c r="CF91" s="427"/>
      <c r="CG91" s="427"/>
      <c r="CH91" s="427"/>
      <c r="CI91" s="427"/>
      <c r="CJ91" s="425"/>
      <c r="CK91" s="425"/>
      <c r="CL91" s="425"/>
      <c r="CM91" s="425"/>
      <c r="CN91" s="425"/>
      <c r="CO91" s="425"/>
      <c r="CP91" s="427"/>
      <c r="CQ91" s="425"/>
      <c r="CR91" s="427"/>
      <c r="CS91" s="425"/>
      <c r="CT91" s="427"/>
      <c r="CU91" s="425"/>
      <c r="CV91" s="425"/>
      <c r="CW91" s="427"/>
      <c r="CX91" s="425"/>
      <c r="CY91" s="427"/>
      <c r="CZ91" s="425"/>
      <c r="DA91" s="427"/>
      <c r="DB91" s="425"/>
      <c r="DC91" s="425"/>
      <c r="DD91" s="425"/>
      <c r="DE91" s="425"/>
      <c r="DF91" s="425"/>
    </row>
    <row r="92">
      <c r="A92" s="425"/>
      <c r="B92" s="425"/>
      <c r="C92" s="425"/>
      <c r="D92" s="425"/>
      <c r="E92" s="425"/>
      <c r="F92" s="425"/>
      <c r="G92" s="426"/>
      <c r="H92" s="426"/>
      <c r="I92" s="427"/>
      <c r="J92" s="427"/>
      <c r="K92" s="427"/>
      <c r="L92" s="427"/>
      <c r="M92" s="427"/>
      <c r="N92" s="427"/>
      <c r="O92" s="427"/>
      <c r="P92" s="427"/>
      <c r="Q92" s="426"/>
      <c r="R92" s="427"/>
      <c r="S92" s="426"/>
      <c r="T92" s="425"/>
      <c r="U92" s="425"/>
      <c r="V92" s="425"/>
      <c r="W92" s="425"/>
      <c r="X92" s="425"/>
      <c r="Y92" s="425"/>
      <c r="Z92" s="427"/>
      <c r="AA92" s="426"/>
      <c r="AB92" s="427"/>
      <c r="AC92" s="426"/>
      <c r="AD92" s="427"/>
      <c r="AE92" s="426"/>
      <c r="AF92" s="427"/>
      <c r="AG92" s="426"/>
      <c r="AH92" s="428"/>
      <c r="AI92" s="426"/>
      <c r="AJ92" s="428"/>
      <c r="AK92" s="426"/>
      <c r="AL92" s="425"/>
      <c r="AM92" s="425"/>
      <c r="AN92" s="427"/>
      <c r="AO92" s="426"/>
      <c r="AP92" s="425"/>
      <c r="AQ92" s="429"/>
      <c r="AR92" s="427"/>
      <c r="AS92" s="425"/>
      <c r="AT92" s="425"/>
      <c r="AU92" s="425"/>
      <c r="AV92" s="425"/>
      <c r="AW92" s="425"/>
      <c r="AX92" s="425"/>
      <c r="AY92" s="427"/>
      <c r="AZ92" s="425"/>
      <c r="BA92" s="427"/>
      <c r="BB92" s="425"/>
      <c r="BC92" s="427"/>
      <c r="BD92" s="425"/>
      <c r="BE92" s="427"/>
      <c r="BF92" s="427"/>
      <c r="BG92" s="427"/>
      <c r="BH92" s="427"/>
      <c r="BI92" s="425"/>
      <c r="BJ92" s="425"/>
      <c r="BK92" s="425"/>
      <c r="BL92" s="426"/>
      <c r="BM92" s="425"/>
      <c r="BN92" s="426"/>
      <c r="BO92" s="426"/>
      <c r="BP92" s="426"/>
      <c r="BQ92" s="426"/>
      <c r="BR92" s="426"/>
      <c r="BS92" s="430"/>
      <c r="BT92" s="425"/>
      <c r="BU92" s="425"/>
      <c r="BV92" s="425"/>
      <c r="BW92" s="426"/>
      <c r="BX92" s="426"/>
      <c r="BY92" s="426"/>
      <c r="BZ92" s="426"/>
      <c r="CA92" s="427"/>
      <c r="CB92" s="427"/>
      <c r="CC92" s="426"/>
      <c r="CD92" s="425"/>
      <c r="CE92" s="425"/>
      <c r="CF92" s="427"/>
      <c r="CG92" s="427"/>
      <c r="CH92" s="427"/>
      <c r="CI92" s="427"/>
      <c r="CJ92" s="425"/>
      <c r="CK92" s="425"/>
      <c r="CL92" s="425"/>
      <c r="CM92" s="425"/>
      <c r="CN92" s="425"/>
      <c r="CO92" s="425"/>
      <c r="CP92" s="427"/>
      <c r="CQ92" s="425"/>
      <c r="CR92" s="427"/>
      <c r="CS92" s="425"/>
      <c r="CT92" s="427"/>
      <c r="CU92" s="425"/>
      <c r="CV92" s="425"/>
      <c r="CW92" s="427"/>
      <c r="CX92" s="425"/>
      <c r="CY92" s="427"/>
      <c r="CZ92" s="425"/>
      <c r="DA92" s="427"/>
      <c r="DB92" s="425"/>
      <c r="DC92" s="425"/>
      <c r="DD92" s="425"/>
      <c r="DE92" s="425"/>
      <c r="DF92" s="425"/>
    </row>
    <row r="93">
      <c r="A93" s="425"/>
      <c r="B93" s="425"/>
      <c r="C93" s="425"/>
      <c r="D93" s="425"/>
      <c r="E93" s="425"/>
      <c r="F93" s="425"/>
      <c r="G93" s="426"/>
      <c r="H93" s="426"/>
      <c r="I93" s="427"/>
      <c r="J93" s="427"/>
      <c r="K93" s="427"/>
      <c r="L93" s="427"/>
      <c r="M93" s="427"/>
      <c r="N93" s="427"/>
      <c r="O93" s="427"/>
      <c r="P93" s="427"/>
      <c r="Q93" s="426"/>
      <c r="R93" s="427"/>
      <c r="S93" s="426"/>
      <c r="T93" s="425"/>
      <c r="U93" s="425"/>
      <c r="V93" s="425"/>
      <c r="W93" s="425"/>
      <c r="X93" s="425"/>
      <c r="Y93" s="425"/>
      <c r="Z93" s="427"/>
      <c r="AA93" s="426"/>
      <c r="AB93" s="427"/>
      <c r="AC93" s="426"/>
      <c r="AD93" s="427"/>
      <c r="AE93" s="426"/>
      <c r="AF93" s="427"/>
      <c r="AG93" s="426"/>
      <c r="AH93" s="428"/>
      <c r="AI93" s="426"/>
      <c r="AJ93" s="428"/>
      <c r="AK93" s="426"/>
      <c r="AL93" s="425"/>
      <c r="AM93" s="425"/>
      <c r="AN93" s="427"/>
      <c r="AO93" s="426"/>
      <c r="AP93" s="425"/>
      <c r="AQ93" s="429"/>
      <c r="AR93" s="427"/>
      <c r="AS93" s="425"/>
      <c r="AT93" s="425"/>
      <c r="AU93" s="425"/>
      <c r="AV93" s="425"/>
      <c r="AW93" s="425"/>
      <c r="AX93" s="425"/>
      <c r="AY93" s="427"/>
      <c r="AZ93" s="425"/>
      <c r="BA93" s="427"/>
      <c r="BB93" s="425"/>
      <c r="BC93" s="427"/>
      <c r="BD93" s="425"/>
      <c r="BE93" s="427"/>
      <c r="BF93" s="427"/>
      <c r="BG93" s="427"/>
      <c r="BH93" s="427"/>
      <c r="BI93" s="425"/>
      <c r="BJ93" s="425"/>
      <c r="BK93" s="425"/>
      <c r="BL93" s="426"/>
      <c r="BM93" s="425"/>
      <c r="BN93" s="426"/>
      <c r="BO93" s="426"/>
      <c r="BP93" s="426"/>
      <c r="BQ93" s="426"/>
      <c r="BR93" s="426"/>
      <c r="BS93" s="430"/>
      <c r="BT93" s="425"/>
      <c r="BU93" s="425"/>
      <c r="BV93" s="425"/>
      <c r="BW93" s="426"/>
      <c r="BX93" s="426"/>
      <c r="BY93" s="426"/>
      <c r="BZ93" s="426"/>
      <c r="CA93" s="427"/>
      <c r="CB93" s="427"/>
      <c r="CC93" s="426"/>
      <c r="CD93" s="425"/>
      <c r="CE93" s="425"/>
      <c r="CF93" s="427"/>
      <c r="CG93" s="427"/>
      <c r="CH93" s="427"/>
      <c r="CI93" s="427"/>
      <c r="CJ93" s="425"/>
      <c r="CK93" s="425"/>
      <c r="CL93" s="425"/>
      <c r="CM93" s="425"/>
      <c r="CN93" s="425"/>
      <c r="CO93" s="425"/>
      <c r="CP93" s="427"/>
      <c r="CQ93" s="425"/>
      <c r="CR93" s="427"/>
      <c r="CS93" s="425"/>
      <c r="CT93" s="427"/>
      <c r="CU93" s="425"/>
      <c r="CV93" s="425"/>
      <c r="CW93" s="427"/>
      <c r="CX93" s="425"/>
      <c r="CY93" s="427"/>
      <c r="CZ93" s="425"/>
      <c r="DA93" s="427"/>
      <c r="DB93" s="425"/>
      <c r="DC93" s="425"/>
      <c r="DD93" s="425"/>
      <c r="DE93" s="425"/>
      <c r="DF93" s="425"/>
    </row>
    <row r="94">
      <c r="A94" s="425"/>
      <c r="B94" s="425"/>
      <c r="C94" s="425"/>
      <c r="D94" s="425"/>
      <c r="E94" s="425"/>
      <c r="F94" s="425"/>
      <c r="G94" s="426"/>
      <c r="H94" s="426"/>
      <c r="I94" s="427"/>
      <c r="J94" s="427"/>
      <c r="K94" s="427"/>
      <c r="L94" s="427"/>
      <c r="M94" s="427"/>
      <c r="N94" s="427"/>
      <c r="O94" s="427"/>
      <c r="P94" s="427"/>
      <c r="Q94" s="426"/>
      <c r="R94" s="427"/>
      <c r="S94" s="426"/>
      <c r="T94" s="425"/>
      <c r="U94" s="425"/>
      <c r="V94" s="425"/>
      <c r="W94" s="425"/>
      <c r="X94" s="425"/>
      <c r="Y94" s="425"/>
      <c r="Z94" s="427"/>
      <c r="AA94" s="426"/>
      <c r="AB94" s="427"/>
      <c r="AC94" s="426"/>
      <c r="AD94" s="427"/>
      <c r="AE94" s="426"/>
      <c r="AF94" s="427"/>
      <c r="AG94" s="426"/>
      <c r="AH94" s="428"/>
      <c r="AI94" s="426"/>
      <c r="AJ94" s="428"/>
      <c r="AK94" s="426"/>
      <c r="AL94" s="425"/>
      <c r="AM94" s="425"/>
      <c r="AN94" s="427"/>
      <c r="AO94" s="426"/>
      <c r="AP94" s="425"/>
      <c r="AQ94" s="429"/>
      <c r="AR94" s="427"/>
      <c r="AS94" s="425"/>
      <c r="AT94" s="425"/>
      <c r="AU94" s="425"/>
      <c r="AV94" s="425"/>
      <c r="AW94" s="425"/>
      <c r="AX94" s="425"/>
      <c r="AY94" s="427"/>
      <c r="AZ94" s="425"/>
      <c r="BA94" s="427"/>
      <c r="BB94" s="425"/>
      <c r="BC94" s="427"/>
      <c r="BD94" s="425"/>
      <c r="BE94" s="427"/>
      <c r="BF94" s="427"/>
      <c r="BG94" s="427"/>
      <c r="BH94" s="427"/>
      <c r="BI94" s="425"/>
      <c r="BJ94" s="425"/>
      <c r="BK94" s="425"/>
      <c r="BL94" s="426"/>
      <c r="BM94" s="425"/>
      <c r="BN94" s="426"/>
      <c r="BO94" s="426"/>
      <c r="BP94" s="426"/>
      <c r="BQ94" s="426"/>
      <c r="BR94" s="426"/>
      <c r="BS94" s="430"/>
      <c r="BT94" s="425"/>
      <c r="BU94" s="425"/>
      <c r="BV94" s="425"/>
      <c r="BW94" s="426"/>
      <c r="BX94" s="426"/>
      <c r="BY94" s="426"/>
      <c r="BZ94" s="426"/>
      <c r="CA94" s="427"/>
      <c r="CB94" s="427"/>
      <c r="CC94" s="426"/>
      <c r="CD94" s="425"/>
      <c r="CE94" s="425"/>
      <c r="CF94" s="427"/>
      <c r="CG94" s="427"/>
      <c r="CH94" s="427"/>
      <c r="CI94" s="427"/>
      <c r="CJ94" s="425"/>
      <c r="CK94" s="425"/>
      <c r="CL94" s="425"/>
      <c r="CM94" s="425"/>
      <c r="CN94" s="425"/>
      <c r="CO94" s="425"/>
      <c r="CP94" s="427"/>
      <c r="CQ94" s="425"/>
      <c r="CR94" s="427"/>
      <c r="CS94" s="425"/>
      <c r="CT94" s="427"/>
      <c r="CU94" s="425"/>
      <c r="CV94" s="425"/>
      <c r="CW94" s="427"/>
      <c r="CX94" s="425"/>
      <c r="CY94" s="427"/>
      <c r="CZ94" s="425"/>
      <c r="DA94" s="427"/>
      <c r="DB94" s="425"/>
      <c r="DC94" s="425"/>
      <c r="DD94" s="425"/>
      <c r="DE94" s="425"/>
      <c r="DF94" s="425"/>
    </row>
    <row r="95">
      <c r="A95" s="425"/>
      <c r="B95" s="425"/>
      <c r="C95" s="425"/>
      <c r="D95" s="425"/>
      <c r="E95" s="425"/>
      <c r="F95" s="425"/>
      <c r="G95" s="426"/>
      <c r="H95" s="426"/>
      <c r="I95" s="427"/>
      <c r="J95" s="427"/>
      <c r="K95" s="427"/>
      <c r="L95" s="427"/>
      <c r="M95" s="427"/>
      <c r="N95" s="427"/>
      <c r="O95" s="427"/>
      <c r="P95" s="427"/>
      <c r="Q95" s="426"/>
      <c r="R95" s="427"/>
      <c r="S95" s="426"/>
      <c r="T95" s="425"/>
      <c r="U95" s="425"/>
      <c r="V95" s="425"/>
      <c r="W95" s="425"/>
      <c r="X95" s="425"/>
      <c r="Y95" s="425"/>
      <c r="Z95" s="427"/>
      <c r="AA95" s="426"/>
      <c r="AB95" s="427"/>
      <c r="AC95" s="426"/>
      <c r="AD95" s="427"/>
      <c r="AE95" s="426"/>
      <c r="AF95" s="427"/>
      <c r="AG95" s="426"/>
      <c r="AH95" s="428"/>
      <c r="AI95" s="426"/>
      <c r="AJ95" s="428"/>
      <c r="AK95" s="426"/>
      <c r="AL95" s="425"/>
      <c r="AM95" s="425"/>
      <c r="AN95" s="427"/>
      <c r="AO95" s="426"/>
      <c r="AP95" s="425"/>
      <c r="AQ95" s="429"/>
      <c r="AR95" s="427"/>
      <c r="AS95" s="425"/>
      <c r="AT95" s="425"/>
      <c r="AU95" s="425"/>
      <c r="AV95" s="425"/>
      <c r="AW95" s="425"/>
      <c r="AX95" s="425"/>
      <c r="AY95" s="427"/>
      <c r="AZ95" s="425"/>
      <c r="BA95" s="427"/>
      <c r="BB95" s="425"/>
      <c r="BC95" s="427"/>
      <c r="BD95" s="425"/>
      <c r="BE95" s="427"/>
      <c r="BF95" s="427"/>
      <c r="BG95" s="427"/>
      <c r="BH95" s="427"/>
      <c r="BI95" s="425"/>
      <c r="BJ95" s="425"/>
      <c r="BK95" s="425"/>
      <c r="BL95" s="426"/>
      <c r="BM95" s="425"/>
      <c r="BN95" s="426"/>
      <c r="BO95" s="426"/>
      <c r="BP95" s="426"/>
      <c r="BQ95" s="426"/>
      <c r="BR95" s="426"/>
      <c r="BS95" s="430"/>
      <c r="BT95" s="425"/>
      <c r="BU95" s="425"/>
      <c r="BV95" s="425"/>
      <c r="BW95" s="426"/>
      <c r="BX95" s="426"/>
      <c r="BY95" s="426"/>
      <c r="BZ95" s="426"/>
      <c r="CA95" s="427"/>
      <c r="CB95" s="427"/>
      <c r="CC95" s="426"/>
      <c r="CD95" s="425"/>
      <c r="CE95" s="425"/>
      <c r="CF95" s="427"/>
      <c r="CG95" s="427"/>
      <c r="CH95" s="427"/>
      <c r="CI95" s="427"/>
      <c r="CJ95" s="425"/>
      <c r="CK95" s="425"/>
      <c r="CL95" s="425"/>
      <c r="CM95" s="425"/>
      <c r="CN95" s="425"/>
      <c r="CO95" s="425"/>
      <c r="CP95" s="427"/>
      <c r="CQ95" s="425"/>
      <c r="CR95" s="427"/>
      <c r="CS95" s="425"/>
      <c r="CT95" s="427"/>
      <c r="CU95" s="425"/>
      <c r="CV95" s="425"/>
      <c r="CW95" s="427"/>
      <c r="CX95" s="425"/>
      <c r="CY95" s="427"/>
      <c r="CZ95" s="425"/>
      <c r="DA95" s="427"/>
      <c r="DB95" s="425"/>
      <c r="DC95" s="425"/>
      <c r="DD95" s="425"/>
      <c r="DE95" s="425"/>
      <c r="DF95" s="425"/>
    </row>
    <row r="96">
      <c r="A96" s="425"/>
      <c r="B96" s="425"/>
      <c r="C96" s="425"/>
      <c r="D96" s="425"/>
      <c r="E96" s="425"/>
      <c r="F96" s="425"/>
      <c r="G96" s="426"/>
      <c r="H96" s="426"/>
      <c r="I96" s="427"/>
      <c r="J96" s="427"/>
      <c r="K96" s="427"/>
      <c r="L96" s="427"/>
      <c r="M96" s="427"/>
      <c r="N96" s="427"/>
      <c r="O96" s="427"/>
      <c r="P96" s="427"/>
      <c r="Q96" s="426"/>
      <c r="R96" s="427"/>
      <c r="S96" s="426"/>
      <c r="T96" s="425"/>
      <c r="U96" s="425"/>
      <c r="V96" s="425"/>
      <c r="W96" s="425"/>
      <c r="X96" s="425"/>
      <c r="Y96" s="425"/>
      <c r="Z96" s="427"/>
      <c r="AA96" s="426"/>
      <c r="AB96" s="427"/>
      <c r="AC96" s="426"/>
      <c r="AD96" s="427"/>
      <c r="AE96" s="426"/>
      <c r="AF96" s="427"/>
      <c r="AG96" s="426"/>
      <c r="AH96" s="428"/>
      <c r="AI96" s="426"/>
      <c r="AJ96" s="428"/>
      <c r="AK96" s="426"/>
      <c r="AL96" s="425"/>
      <c r="AM96" s="425"/>
      <c r="AN96" s="427"/>
      <c r="AO96" s="426"/>
      <c r="AP96" s="425"/>
      <c r="AQ96" s="429"/>
      <c r="AR96" s="427"/>
      <c r="AS96" s="425"/>
      <c r="AT96" s="425"/>
      <c r="AU96" s="425"/>
      <c r="AV96" s="425"/>
      <c r="AW96" s="425"/>
      <c r="AX96" s="425"/>
      <c r="AY96" s="427"/>
      <c r="AZ96" s="425"/>
      <c r="BA96" s="427"/>
      <c r="BB96" s="425"/>
      <c r="BC96" s="427"/>
      <c r="BD96" s="425"/>
      <c r="BE96" s="427"/>
      <c r="BF96" s="427"/>
      <c r="BG96" s="427"/>
      <c r="BH96" s="427"/>
      <c r="BI96" s="425"/>
      <c r="BJ96" s="425"/>
      <c r="BK96" s="425"/>
      <c r="BL96" s="426"/>
      <c r="BM96" s="425"/>
      <c r="BN96" s="426"/>
      <c r="BO96" s="426"/>
      <c r="BP96" s="426"/>
      <c r="BQ96" s="426"/>
      <c r="BR96" s="426"/>
      <c r="BS96" s="430"/>
      <c r="BT96" s="425"/>
      <c r="BU96" s="425"/>
      <c r="BV96" s="425"/>
      <c r="BW96" s="426"/>
      <c r="BX96" s="426"/>
      <c r="BY96" s="426"/>
      <c r="BZ96" s="426"/>
      <c r="CA96" s="427"/>
      <c r="CB96" s="427"/>
      <c r="CC96" s="426"/>
      <c r="CD96" s="425"/>
      <c r="CE96" s="425"/>
      <c r="CF96" s="427"/>
      <c r="CG96" s="427"/>
      <c r="CH96" s="427"/>
      <c r="CI96" s="427"/>
      <c r="CJ96" s="425"/>
      <c r="CK96" s="425"/>
      <c r="CL96" s="425"/>
      <c r="CM96" s="425"/>
      <c r="CN96" s="425"/>
      <c r="CO96" s="425"/>
      <c r="CP96" s="427"/>
      <c r="CQ96" s="425"/>
      <c r="CR96" s="427"/>
      <c r="CS96" s="425"/>
      <c r="CT96" s="427"/>
      <c r="CU96" s="425"/>
      <c r="CV96" s="425"/>
      <c r="CW96" s="427"/>
      <c r="CX96" s="425"/>
      <c r="CY96" s="427"/>
      <c r="CZ96" s="425"/>
      <c r="DA96" s="427"/>
      <c r="DB96" s="425"/>
      <c r="DC96" s="425"/>
      <c r="DD96" s="425"/>
      <c r="DE96" s="425"/>
      <c r="DF96" s="425"/>
    </row>
    <row r="97">
      <c r="A97" s="425"/>
      <c r="B97" s="425"/>
      <c r="C97" s="425"/>
      <c r="D97" s="425"/>
      <c r="E97" s="425"/>
      <c r="F97" s="425"/>
      <c r="G97" s="426"/>
      <c r="H97" s="426"/>
      <c r="I97" s="427"/>
      <c r="J97" s="427"/>
      <c r="K97" s="427"/>
      <c r="L97" s="427"/>
      <c r="M97" s="427"/>
      <c r="N97" s="427"/>
      <c r="O97" s="427"/>
      <c r="P97" s="427"/>
      <c r="Q97" s="426"/>
      <c r="R97" s="427"/>
      <c r="S97" s="426"/>
      <c r="T97" s="425"/>
      <c r="U97" s="425"/>
      <c r="V97" s="425"/>
      <c r="W97" s="425"/>
      <c r="X97" s="425"/>
      <c r="Y97" s="425"/>
      <c r="Z97" s="427"/>
      <c r="AA97" s="426"/>
      <c r="AB97" s="427"/>
      <c r="AC97" s="426"/>
      <c r="AD97" s="427"/>
      <c r="AE97" s="426"/>
      <c r="AF97" s="427"/>
      <c r="AG97" s="426"/>
      <c r="AH97" s="428"/>
      <c r="AI97" s="426"/>
      <c r="AJ97" s="428"/>
      <c r="AK97" s="426"/>
      <c r="AL97" s="425"/>
      <c r="AM97" s="425"/>
      <c r="AN97" s="427"/>
      <c r="AO97" s="426"/>
      <c r="AP97" s="425"/>
      <c r="AQ97" s="429"/>
      <c r="AR97" s="427"/>
      <c r="AS97" s="425"/>
      <c r="AT97" s="425"/>
      <c r="AU97" s="425"/>
      <c r="AV97" s="425"/>
      <c r="AW97" s="425"/>
      <c r="AX97" s="425"/>
      <c r="AY97" s="427"/>
      <c r="AZ97" s="425"/>
      <c r="BA97" s="427"/>
      <c r="BB97" s="425"/>
      <c r="BC97" s="427"/>
      <c r="BD97" s="425"/>
      <c r="BE97" s="427"/>
      <c r="BF97" s="427"/>
      <c r="BG97" s="427"/>
      <c r="BH97" s="427"/>
      <c r="BI97" s="425"/>
      <c r="BJ97" s="425"/>
      <c r="BK97" s="425"/>
      <c r="BL97" s="426"/>
      <c r="BM97" s="425"/>
      <c r="BN97" s="426"/>
      <c r="BO97" s="426"/>
      <c r="BP97" s="426"/>
      <c r="BQ97" s="426"/>
      <c r="BR97" s="426"/>
      <c r="BS97" s="430"/>
      <c r="BT97" s="425"/>
      <c r="BU97" s="425"/>
      <c r="BV97" s="425"/>
      <c r="BW97" s="426"/>
      <c r="BX97" s="426"/>
      <c r="BY97" s="426"/>
      <c r="BZ97" s="426"/>
      <c r="CA97" s="427"/>
      <c r="CB97" s="427"/>
      <c r="CC97" s="426"/>
      <c r="CD97" s="425"/>
      <c r="CE97" s="425"/>
      <c r="CF97" s="427"/>
      <c r="CG97" s="427"/>
      <c r="CH97" s="427"/>
      <c r="CI97" s="427"/>
      <c r="CJ97" s="425"/>
      <c r="CK97" s="425"/>
      <c r="CL97" s="425"/>
      <c r="CM97" s="425"/>
      <c r="CN97" s="425"/>
      <c r="CO97" s="425"/>
      <c r="CP97" s="427"/>
      <c r="CQ97" s="425"/>
      <c r="CR97" s="427"/>
      <c r="CS97" s="425"/>
      <c r="CT97" s="427"/>
      <c r="CU97" s="425"/>
      <c r="CV97" s="425"/>
      <c r="CW97" s="427"/>
      <c r="CX97" s="425"/>
      <c r="CY97" s="427"/>
      <c r="CZ97" s="425"/>
      <c r="DA97" s="427"/>
      <c r="DB97" s="425"/>
      <c r="DC97" s="425"/>
      <c r="DD97" s="425"/>
      <c r="DE97" s="425"/>
      <c r="DF97" s="425"/>
    </row>
    <row r="98">
      <c r="A98" s="425"/>
      <c r="B98" s="425"/>
      <c r="C98" s="425"/>
      <c r="D98" s="425"/>
      <c r="E98" s="425"/>
      <c r="F98" s="425"/>
      <c r="G98" s="426"/>
      <c r="H98" s="426"/>
      <c r="I98" s="427"/>
      <c r="J98" s="427"/>
      <c r="K98" s="427"/>
      <c r="L98" s="427"/>
      <c r="M98" s="427"/>
      <c r="N98" s="427"/>
      <c r="O98" s="427"/>
      <c r="P98" s="427"/>
      <c r="Q98" s="426"/>
      <c r="R98" s="427"/>
      <c r="S98" s="426"/>
      <c r="T98" s="425"/>
      <c r="U98" s="425"/>
      <c r="V98" s="425"/>
      <c r="W98" s="425"/>
      <c r="X98" s="425"/>
      <c r="Y98" s="425"/>
      <c r="Z98" s="427"/>
      <c r="AA98" s="426"/>
      <c r="AB98" s="427"/>
      <c r="AC98" s="426"/>
      <c r="AD98" s="427"/>
      <c r="AE98" s="426"/>
      <c r="AF98" s="427"/>
      <c r="AG98" s="426"/>
      <c r="AH98" s="428"/>
      <c r="AI98" s="426"/>
      <c r="AJ98" s="428"/>
      <c r="AK98" s="426"/>
      <c r="AL98" s="425"/>
      <c r="AM98" s="425"/>
      <c r="AN98" s="427"/>
      <c r="AO98" s="426"/>
      <c r="AP98" s="425"/>
      <c r="AQ98" s="429"/>
      <c r="AR98" s="427"/>
      <c r="AS98" s="425"/>
      <c r="AT98" s="425"/>
      <c r="AU98" s="425"/>
      <c r="AV98" s="425"/>
      <c r="AW98" s="425"/>
      <c r="AX98" s="425"/>
      <c r="AY98" s="427"/>
      <c r="AZ98" s="425"/>
      <c r="BA98" s="427"/>
      <c r="BB98" s="425"/>
      <c r="BC98" s="427"/>
      <c r="BD98" s="425"/>
      <c r="BE98" s="427"/>
      <c r="BF98" s="427"/>
      <c r="BG98" s="427"/>
      <c r="BH98" s="427"/>
      <c r="BI98" s="425"/>
      <c r="BJ98" s="425"/>
      <c r="BK98" s="425"/>
      <c r="BL98" s="426"/>
      <c r="BM98" s="425"/>
      <c r="BN98" s="426"/>
      <c r="BO98" s="426"/>
      <c r="BP98" s="426"/>
      <c r="BQ98" s="426"/>
      <c r="BR98" s="426"/>
      <c r="BS98" s="430"/>
      <c r="BT98" s="425"/>
      <c r="BU98" s="425"/>
      <c r="BV98" s="425"/>
      <c r="BW98" s="426"/>
      <c r="BX98" s="426"/>
      <c r="BY98" s="426"/>
      <c r="BZ98" s="426"/>
      <c r="CA98" s="427"/>
      <c r="CB98" s="427"/>
      <c r="CC98" s="426"/>
      <c r="CD98" s="425"/>
      <c r="CE98" s="425"/>
      <c r="CF98" s="427"/>
      <c r="CG98" s="427"/>
      <c r="CH98" s="427"/>
      <c r="CI98" s="427"/>
      <c r="CJ98" s="425"/>
      <c r="CK98" s="425"/>
      <c r="CL98" s="425"/>
      <c r="CM98" s="425"/>
      <c r="CN98" s="425"/>
      <c r="CO98" s="425"/>
      <c r="CP98" s="427"/>
      <c r="CQ98" s="425"/>
      <c r="CR98" s="427"/>
      <c r="CS98" s="425"/>
      <c r="CT98" s="427"/>
      <c r="CU98" s="425"/>
      <c r="CV98" s="425"/>
      <c r="CW98" s="427"/>
      <c r="CX98" s="425"/>
      <c r="CY98" s="427"/>
      <c r="CZ98" s="425"/>
      <c r="DA98" s="427"/>
      <c r="DB98" s="425"/>
      <c r="DC98" s="425"/>
      <c r="DD98" s="425"/>
      <c r="DE98" s="425"/>
      <c r="DF98" s="425"/>
    </row>
    <row r="99">
      <c r="A99" s="425"/>
      <c r="B99" s="425"/>
      <c r="C99" s="425"/>
      <c r="D99" s="425"/>
      <c r="E99" s="425"/>
      <c r="F99" s="425"/>
      <c r="G99" s="426"/>
      <c r="H99" s="426"/>
      <c r="I99" s="427"/>
      <c r="J99" s="427"/>
      <c r="K99" s="427"/>
      <c r="L99" s="427"/>
      <c r="M99" s="427"/>
      <c r="N99" s="427"/>
      <c r="O99" s="427"/>
      <c r="P99" s="427"/>
      <c r="Q99" s="426"/>
      <c r="R99" s="427"/>
      <c r="S99" s="426"/>
      <c r="T99" s="425"/>
      <c r="U99" s="425"/>
      <c r="V99" s="425"/>
      <c r="W99" s="425"/>
      <c r="X99" s="425"/>
      <c r="Y99" s="425"/>
      <c r="Z99" s="427"/>
      <c r="AA99" s="426"/>
      <c r="AB99" s="427"/>
      <c r="AC99" s="426"/>
      <c r="AD99" s="427"/>
      <c r="AE99" s="426"/>
      <c r="AF99" s="427"/>
      <c r="AG99" s="426"/>
      <c r="AH99" s="428"/>
      <c r="AI99" s="426"/>
      <c r="AJ99" s="428"/>
      <c r="AK99" s="426"/>
      <c r="AL99" s="425"/>
      <c r="AM99" s="425"/>
      <c r="AN99" s="427"/>
      <c r="AO99" s="426"/>
      <c r="AP99" s="425"/>
      <c r="AQ99" s="429"/>
      <c r="AR99" s="427"/>
      <c r="AS99" s="425"/>
      <c r="AT99" s="425"/>
      <c r="AU99" s="425"/>
      <c r="AV99" s="425"/>
      <c r="AW99" s="425"/>
      <c r="AX99" s="425"/>
      <c r="AY99" s="427"/>
      <c r="AZ99" s="425"/>
      <c r="BA99" s="427"/>
      <c r="BB99" s="425"/>
      <c r="BC99" s="427"/>
      <c r="BD99" s="425"/>
      <c r="BE99" s="427"/>
      <c r="BF99" s="427"/>
      <c r="BG99" s="427"/>
      <c r="BH99" s="427"/>
      <c r="BI99" s="425"/>
      <c r="BJ99" s="425"/>
      <c r="BK99" s="425"/>
      <c r="BL99" s="426"/>
      <c r="BM99" s="425"/>
      <c r="BN99" s="426"/>
      <c r="BO99" s="426"/>
      <c r="BP99" s="426"/>
      <c r="BQ99" s="426"/>
      <c r="BR99" s="426"/>
      <c r="BS99" s="430"/>
      <c r="BT99" s="425"/>
      <c r="BU99" s="425"/>
      <c r="BV99" s="425"/>
      <c r="BW99" s="426"/>
      <c r="BX99" s="426"/>
      <c r="BY99" s="426"/>
      <c r="BZ99" s="426"/>
      <c r="CA99" s="427"/>
      <c r="CB99" s="427"/>
      <c r="CC99" s="426"/>
      <c r="CD99" s="425"/>
      <c r="CE99" s="425"/>
      <c r="CF99" s="427"/>
      <c r="CG99" s="427"/>
      <c r="CH99" s="427"/>
      <c r="CI99" s="427"/>
      <c r="CJ99" s="425"/>
      <c r="CK99" s="425"/>
      <c r="CL99" s="425"/>
      <c r="CM99" s="425"/>
      <c r="CN99" s="425"/>
      <c r="CO99" s="425"/>
      <c r="CP99" s="427"/>
      <c r="CQ99" s="425"/>
      <c r="CR99" s="427"/>
      <c r="CS99" s="425"/>
      <c r="CT99" s="427"/>
      <c r="CU99" s="425"/>
      <c r="CV99" s="425"/>
      <c r="CW99" s="427"/>
      <c r="CX99" s="425"/>
      <c r="CY99" s="427"/>
      <c r="CZ99" s="425"/>
      <c r="DA99" s="427"/>
      <c r="DB99" s="425"/>
      <c r="DC99" s="425"/>
      <c r="DD99" s="425"/>
      <c r="DE99" s="425"/>
      <c r="DF99" s="425"/>
    </row>
    <row r="100">
      <c r="A100" s="425"/>
      <c r="B100" s="425"/>
      <c r="C100" s="425"/>
      <c r="D100" s="425"/>
      <c r="E100" s="425"/>
      <c r="F100" s="425"/>
      <c r="G100" s="426"/>
      <c r="H100" s="426"/>
      <c r="I100" s="427"/>
      <c r="J100" s="427"/>
      <c r="K100" s="427"/>
      <c r="L100" s="427"/>
      <c r="M100" s="427"/>
      <c r="N100" s="427"/>
      <c r="O100" s="427"/>
      <c r="P100" s="427"/>
      <c r="Q100" s="426"/>
      <c r="R100" s="427"/>
      <c r="S100" s="426"/>
      <c r="T100" s="425"/>
      <c r="U100" s="425"/>
      <c r="V100" s="425"/>
      <c r="W100" s="425"/>
      <c r="X100" s="425"/>
      <c r="Y100" s="425"/>
      <c r="Z100" s="427"/>
      <c r="AA100" s="426"/>
      <c r="AB100" s="427"/>
      <c r="AC100" s="426"/>
      <c r="AD100" s="427"/>
      <c r="AE100" s="426"/>
      <c r="AF100" s="427"/>
      <c r="AG100" s="426"/>
      <c r="AH100" s="428"/>
      <c r="AI100" s="426"/>
      <c r="AJ100" s="428"/>
      <c r="AK100" s="426"/>
      <c r="AL100" s="425"/>
      <c r="AM100" s="425"/>
      <c r="AN100" s="427"/>
      <c r="AO100" s="426"/>
      <c r="AP100" s="425"/>
      <c r="AQ100" s="429"/>
      <c r="AR100" s="427"/>
      <c r="AS100" s="425"/>
      <c r="AT100" s="425"/>
      <c r="AU100" s="425"/>
      <c r="AV100" s="425"/>
      <c r="AW100" s="425"/>
      <c r="AX100" s="425"/>
      <c r="AY100" s="427"/>
      <c r="AZ100" s="425"/>
      <c r="BA100" s="427"/>
      <c r="BB100" s="425"/>
      <c r="BC100" s="427"/>
      <c r="BD100" s="425"/>
      <c r="BE100" s="427"/>
      <c r="BF100" s="427"/>
      <c r="BG100" s="427"/>
      <c r="BH100" s="427"/>
      <c r="BI100" s="425"/>
      <c r="BJ100" s="425"/>
      <c r="BK100" s="425"/>
      <c r="BL100" s="426"/>
      <c r="BM100" s="425"/>
      <c r="BN100" s="426"/>
      <c r="BO100" s="426"/>
      <c r="BP100" s="426"/>
      <c r="BQ100" s="426"/>
      <c r="BR100" s="426"/>
      <c r="BS100" s="430"/>
      <c r="BT100" s="425"/>
      <c r="BU100" s="425"/>
      <c r="BV100" s="425"/>
      <c r="BW100" s="426"/>
      <c r="BX100" s="426"/>
      <c r="BY100" s="426"/>
      <c r="BZ100" s="426"/>
      <c r="CA100" s="427"/>
      <c r="CB100" s="427"/>
      <c r="CC100" s="426"/>
      <c r="CD100" s="425"/>
      <c r="CE100" s="425"/>
      <c r="CF100" s="427"/>
      <c r="CG100" s="427"/>
      <c r="CH100" s="427"/>
      <c r="CI100" s="427"/>
      <c r="CJ100" s="425"/>
      <c r="CK100" s="425"/>
      <c r="CL100" s="425"/>
      <c r="CM100" s="425"/>
      <c r="CN100" s="425"/>
      <c r="CO100" s="425"/>
      <c r="CP100" s="427"/>
      <c r="CQ100" s="425"/>
      <c r="CR100" s="427"/>
      <c r="CS100" s="425"/>
      <c r="CT100" s="427"/>
      <c r="CU100" s="425"/>
      <c r="CV100" s="425"/>
      <c r="CW100" s="427"/>
      <c r="CX100" s="425"/>
      <c r="CY100" s="427"/>
      <c r="CZ100" s="425"/>
      <c r="DA100" s="427"/>
      <c r="DB100" s="425"/>
      <c r="DC100" s="425"/>
      <c r="DD100" s="425"/>
      <c r="DE100" s="425"/>
      <c r="DF100" s="425"/>
    </row>
    <row r="101">
      <c r="A101" s="425"/>
      <c r="B101" s="425"/>
      <c r="C101" s="425"/>
      <c r="D101" s="425"/>
      <c r="E101" s="425"/>
      <c r="F101" s="425"/>
      <c r="G101" s="426"/>
      <c r="H101" s="426"/>
      <c r="I101" s="427"/>
      <c r="J101" s="427"/>
      <c r="K101" s="427"/>
      <c r="L101" s="427"/>
      <c r="M101" s="427"/>
      <c r="N101" s="427"/>
      <c r="O101" s="427"/>
      <c r="P101" s="427"/>
      <c r="Q101" s="426"/>
      <c r="R101" s="427"/>
      <c r="S101" s="426"/>
      <c r="T101" s="425"/>
      <c r="U101" s="425"/>
      <c r="V101" s="425"/>
      <c r="W101" s="425"/>
      <c r="X101" s="425"/>
      <c r="Y101" s="425"/>
      <c r="Z101" s="427"/>
      <c r="AA101" s="426"/>
      <c r="AB101" s="427"/>
      <c r="AC101" s="426"/>
      <c r="AD101" s="427"/>
      <c r="AE101" s="426"/>
      <c r="AF101" s="427"/>
      <c r="AG101" s="426"/>
      <c r="AH101" s="428"/>
      <c r="AI101" s="426"/>
      <c r="AJ101" s="428"/>
      <c r="AK101" s="426"/>
      <c r="AL101" s="425"/>
      <c r="AM101" s="425"/>
      <c r="AN101" s="427"/>
      <c r="AO101" s="426"/>
      <c r="AP101" s="425"/>
      <c r="AQ101" s="429"/>
      <c r="AR101" s="427"/>
      <c r="AS101" s="425"/>
      <c r="AT101" s="425"/>
      <c r="AU101" s="425"/>
      <c r="AV101" s="425"/>
      <c r="AW101" s="425"/>
      <c r="AX101" s="425"/>
      <c r="AY101" s="427"/>
      <c r="AZ101" s="425"/>
      <c r="BA101" s="427"/>
      <c r="BB101" s="425"/>
      <c r="BC101" s="427"/>
      <c r="BD101" s="425"/>
      <c r="BE101" s="427"/>
      <c r="BF101" s="427"/>
      <c r="BG101" s="427"/>
      <c r="BH101" s="427"/>
      <c r="BI101" s="425"/>
      <c r="BJ101" s="425"/>
      <c r="BK101" s="425"/>
      <c r="BL101" s="426"/>
      <c r="BM101" s="425"/>
      <c r="BN101" s="426"/>
      <c r="BO101" s="426"/>
      <c r="BP101" s="426"/>
      <c r="BQ101" s="426"/>
      <c r="BR101" s="426"/>
      <c r="BS101" s="430"/>
      <c r="BT101" s="425"/>
      <c r="BU101" s="425"/>
      <c r="BV101" s="425"/>
      <c r="BW101" s="426"/>
      <c r="BX101" s="426"/>
      <c r="BY101" s="426"/>
      <c r="BZ101" s="426"/>
      <c r="CA101" s="427"/>
      <c r="CB101" s="427"/>
      <c r="CC101" s="426"/>
      <c r="CD101" s="425"/>
      <c r="CE101" s="425"/>
      <c r="CF101" s="427"/>
      <c r="CG101" s="427"/>
      <c r="CH101" s="427"/>
      <c r="CI101" s="427"/>
      <c r="CJ101" s="425"/>
      <c r="CK101" s="425"/>
      <c r="CL101" s="425"/>
      <c r="CM101" s="425"/>
      <c r="CN101" s="425"/>
      <c r="CO101" s="425"/>
      <c r="CP101" s="427"/>
      <c r="CQ101" s="425"/>
      <c r="CR101" s="427"/>
      <c r="CS101" s="425"/>
      <c r="CT101" s="427"/>
      <c r="CU101" s="425"/>
      <c r="CV101" s="425"/>
      <c r="CW101" s="427"/>
      <c r="CX101" s="425"/>
      <c r="CY101" s="427"/>
      <c r="CZ101" s="425"/>
      <c r="DA101" s="427"/>
      <c r="DB101" s="425"/>
      <c r="DC101" s="425"/>
      <c r="DD101" s="425"/>
      <c r="DE101" s="425"/>
      <c r="DF101" s="425"/>
    </row>
    <row r="102">
      <c r="A102" s="425"/>
      <c r="B102" s="425"/>
      <c r="C102" s="425"/>
      <c r="D102" s="425"/>
      <c r="E102" s="425"/>
      <c r="F102" s="425"/>
      <c r="G102" s="426"/>
      <c r="H102" s="426"/>
      <c r="I102" s="427"/>
      <c r="J102" s="427"/>
      <c r="K102" s="427"/>
      <c r="L102" s="427"/>
      <c r="M102" s="427"/>
      <c r="N102" s="427"/>
      <c r="O102" s="427"/>
      <c r="P102" s="427"/>
      <c r="Q102" s="426"/>
      <c r="R102" s="427"/>
      <c r="S102" s="426"/>
      <c r="T102" s="425"/>
      <c r="U102" s="425"/>
      <c r="V102" s="425"/>
      <c r="W102" s="425"/>
      <c r="X102" s="425"/>
      <c r="Y102" s="425"/>
      <c r="Z102" s="427"/>
      <c r="AA102" s="426"/>
      <c r="AB102" s="427"/>
      <c r="AC102" s="426"/>
      <c r="AD102" s="427"/>
      <c r="AE102" s="426"/>
      <c r="AF102" s="427"/>
      <c r="AG102" s="426"/>
      <c r="AH102" s="428"/>
      <c r="AI102" s="426"/>
      <c r="AJ102" s="428"/>
      <c r="AK102" s="426"/>
      <c r="AL102" s="425"/>
      <c r="AM102" s="425"/>
      <c r="AN102" s="427"/>
      <c r="AO102" s="426"/>
      <c r="AP102" s="425"/>
      <c r="AQ102" s="429"/>
      <c r="AR102" s="427"/>
      <c r="AS102" s="425"/>
      <c r="AT102" s="425"/>
      <c r="AU102" s="425"/>
      <c r="AV102" s="425"/>
      <c r="AW102" s="425"/>
      <c r="AX102" s="425"/>
      <c r="AY102" s="427"/>
      <c r="AZ102" s="425"/>
      <c r="BA102" s="427"/>
      <c r="BB102" s="425"/>
      <c r="BC102" s="427"/>
      <c r="BD102" s="425"/>
      <c r="BE102" s="427"/>
      <c r="BF102" s="427"/>
      <c r="BG102" s="427"/>
      <c r="BH102" s="427"/>
      <c r="BI102" s="425"/>
      <c r="BJ102" s="425"/>
      <c r="BK102" s="425"/>
      <c r="BL102" s="426"/>
      <c r="BM102" s="425"/>
      <c r="BN102" s="426"/>
      <c r="BO102" s="426"/>
      <c r="BP102" s="426"/>
      <c r="BQ102" s="426"/>
      <c r="BR102" s="426"/>
      <c r="BS102" s="430"/>
      <c r="BT102" s="425"/>
      <c r="BU102" s="425"/>
      <c r="BV102" s="425"/>
      <c r="BW102" s="426"/>
      <c r="BX102" s="426"/>
      <c r="BY102" s="426"/>
      <c r="BZ102" s="426"/>
      <c r="CA102" s="427"/>
      <c r="CB102" s="427"/>
      <c r="CC102" s="426"/>
      <c r="CD102" s="425"/>
      <c r="CE102" s="425"/>
      <c r="CF102" s="427"/>
      <c r="CG102" s="427"/>
      <c r="CH102" s="427"/>
      <c r="CI102" s="427"/>
      <c r="CJ102" s="425"/>
      <c r="CK102" s="425"/>
      <c r="CL102" s="425"/>
      <c r="CM102" s="425"/>
      <c r="CN102" s="425"/>
      <c r="CO102" s="425"/>
      <c r="CP102" s="427"/>
      <c r="CQ102" s="425"/>
      <c r="CR102" s="427"/>
      <c r="CS102" s="425"/>
      <c r="CT102" s="427"/>
      <c r="CU102" s="425"/>
      <c r="CV102" s="425"/>
      <c r="CW102" s="427"/>
      <c r="CX102" s="425"/>
      <c r="CY102" s="427"/>
      <c r="CZ102" s="425"/>
      <c r="DA102" s="427"/>
      <c r="DB102" s="425"/>
      <c r="DC102" s="425"/>
      <c r="DD102" s="425"/>
      <c r="DE102" s="425"/>
      <c r="DF102" s="425"/>
    </row>
    <row r="103">
      <c r="A103" s="425"/>
      <c r="B103" s="425"/>
      <c r="C103" s="425"/>
      <c r="D103" s="425"/>
      <c r="E103" s="425"/>
      <c r="F103" s="425"/>
      <c r="G103" s="426"/>
      <c r="H103" s="426"/>
      <c r="I103" s="427"/>
      <c r="J103" s="427"/>
      <c r="K103" s="427"/>
      <c r="L103" s="427"/>
      <c r="M103" s="427"/>
      <c r="N103" s="427"/>
      <c r="O103" s="427"/>
      <c r="P103" s="427"/>
      <c r="Q103" s="426"/>
      <c r="R103" s="427"/>
      <c r="S103" s="426"/>
      <c r="T103" s="425"/>
      <c r="U103" s="425"/>
      <c r="V103" s="425"/>
      <c r="W103" s="425"/>
      <c r="X103" s="425"/>
      <c r="Y103" s="425"/>
      <c r="Z103" s="427"/>
      <c r="AA103" s="426"/>
      <c r="AB103" s="427"/>
      <c r="AC103" s="426"/>
      <c r="AD103" s="427"/>
      <c r="AE103" s="426"/>
      <c r="AF103" s="427"/>
      <c r="AG103" s="426"/>
      <c r="AH103" s="428"/>
      <c r="AI103" s="426"/>
      <c r="AJ103" s="428"/>
      <c r="AK103" s="426"/>
      <c r="AL103" s="425"/>
      <c r="AM103" s="425"/>
      <c r="AN103" s="427"/>
      <c r="AO103" s="426"/>
      <c r="AP103" s="425"/>
      <c r="AQ103" s="429"/>
      <c r="AR103" s="427"/>
      <c r="AS103" s="425"/>
      <c r="AT103" s="425"/>
      <c r="AU103" s="425"/>
      <c r="AV103" s="425"/>
      <c r="AW103" s="425"/>
      <c r="AX103" s="425"/>
      <c r="AY103" s="427"/>
      <c r="AZ103" s="425"/>
      <c r="BA103" s="427"/>
      <c r="BB103" s="425"/>
      <c r="BC103" s="427"/>
      <c r="BD103" s="425"/>
      <c r="BE103" s="427"/>
      <c r="BF103" s="427"/>
      <c r="BG103" s="427"/>
      <c r="BH103" s="427"/>
      <c r="BI103" s="425"/>
      <c r="BJ103" s="425"/>
      <c r="BK103" s="425"/>
      <c r="BL103" s="426"/>
      <c r="BM103" s="425"/>
      <c r="BN103" s="426"/>
      <c r="BO103" s="426"/>
      <c r="BP103" s="426"/>
      <c r="BQ103" s="426"/>
      <c r="BR103" s="426"/>
      <c r="BS103" s="430"/>
      <c r="BT103" s="425"/>
      <c r="BU103" s="425"/>
      <c r="BV103" s="425"/>
      <c r="BW103" s="426"/>
      <c r="BX103" s="426"/>
      <c r="BY103" s="426"/>
      <c r="BZ103" s="426"/>
      <c r="CA103" s="427"/>
      <c r="CB103" s="427"/>
      <c r="CC103" s="426"/>
      <c r="CD103" s="425"/>
      <c r="CE103" s="425"/>
      <c r="CF103" s="427"/>
      <c r="CG103" s="427"/>
      <c r="CH103" s="427"/>
      <c r="CI103" s="427"/>
      <c r="CJ103" s="425"/>
      <c r="CK103" s="425"/>
      <c r="CL103" s="425"/>
      <c r="CM103" s="425"/>
      <c r="CN103" s="425"/>
      <c r="CO103" s="425"/>
      <c r="CP103" s="427"/>
      <c r="CQ103" s="425"/>
      <c r="CR103" s="427"/>
      <c r="CS103" s="425"/>
      <c r="CT103" s="427"/>
      <c r="CU103" s="425"/>
      <c r="CV103" s="425"/>
      <c r="CW103" s="427"/>
      <c r="CX103" s="425"/>
      <c r="CY103" s="427"/>
      <c r="CZ103" s="425"/>
      <c r="DA103" s="427"/>
      <c r="DB103" s="425"/>
      <c r="DC103" s="425"/>
      <c r="DD103" s="425"/>
      <c r="DE103" s="425"/>
      <c r="DF103" s="425"/>
    </row>
    <row r="104">
      <c r="A104" s="425"/>
      <c r="B104" s="425"/>
      <c r="C104" s="425"/>
      <c r="D104" s="425"/>
      <c r="E104" s="425"/>
      <c r="F104" s="425"/>
      <c r="G104" s="426"/>
      <c r="H104" s="426"/>
      <c r="I104" s="427"/>
      <c r="J104" s="427"/>
      <c r="K104" s="427"/>
      <c r="L104" s="427"/>
      <c r="M104" s="427"/>
      <c r="N104" s="427"/>
      <c r="O104" s="427"/>
      <c r="P104" s="427"/>
      <c r="Q104" s="426"/>
      <c r="R104" s="427"/>
      <c r="S104" s="426"/>
      <c r="T104" s="425"/>
      <c r="U104" s="425"/>
      <c r="V104" s="425"/>
      <c r="W104" s="425"/>
      <c r="X104" s="425"/>
      <c r="Y104" s="425"/>
      <c r="Z104" s="427"/>
      <c r="AA104" s="426"/>
      <c r="AB104" s="427"/>
      <c r="AC104" s="426"/>
      <c r="AD104" s="427"/>
      <c r="AE104" s="426"/>
      <c r="AF104" s="427"/>
      <c r="AG104" s="426"/>
      <c r="AH104" s="428"/>
      <c r="AI104" s="426"/>
      <c r="AJ104" s="428"/>
      <c r="AK104" s="426"/>
      <c r="AL104" s="425"/>
      <c r="AM104" s="425"/>
      <c r="AN104" s="427"/>
      <c r="AO104" s="426"/>
      <c r="AP104" s="425"/>
      <c r="AQ104" s="429"/>
      <c r="AR104" s="427"/>
      <c r="AS104" s="425"/>
      <c r="AT104" s="425"/>
      <c r="AU104" s="425"/>
      <c r="AV104" s="425"/>
      <c r="AW104" s="425"/>
      <c r="AX104" s="425"/>
      <c r="AY104" s="427"/>
      <c r="AZ104" s="425"/>
      <c r="BA104" s="427"/>
      <c r="BB104" s="425"/>
      <c r="BC104" s="427"/>
      <c r="BD104" s="425"/>
      <c r="BE104" s="427"/>
      <c r="BF104" s="427"/>
      <c r="BG104" s="427"/>
      <c r="BH104" s="427"/>
      <c r="BI104" s="425"/>
      <c r="BJ104" s="425"/>
      <c r="BK104" s="425"/>
      <c r="BL104" s="426"/>
      <c r="BM104" s="425"/>
      <c r="BN104" s="426"/>
      <c r="BO104" s="426"/>
      <c r="BP104" s="426"/>
      <c r="BQ104" s="426"/>
      <c r="BR104" s="426"/>
      <c r="BS104" s="430"/>
      <c r="BT104" s="425"/>
      <c r="BU104" s="425"/>
      <c r="BV104" s="425"/>
      <c r="BW104" s="426"/>
      <c r="BX104" s="426"/>
      <c r="BY104" s="426"/>
      <c r="BZ104" s="426"/>
      <c r="CA104" s="427"/>
      <c r="CB104" s="427"/>
      <c r="CC104" s="426"/>
      <c r="CD104" s="425"/>
      <c r="CE104" s="425"/>
      <c r="CF104" s="427"/>
      <c r="CG104" s="427"/>
      <c r="CH104" s="427"/>
      <c r="CI104" s="427"/>
      <c r="CJ104" s="425"/>
      <c r="CK104" s="425"/>
      <c r="CL104" s="425"/>
      <c r="CM104" s="425"/>
      <c r="CN104" s="425"/>
      <c r="CO104" s="425"/>
      <c r="CP104" s="427"/>
      <c r="CQ104" s="425"/>
      <c r="CR104" s="427"/>
      <c r="CS104" s="425"/>
      <c r="CT104" s="427"/>
      <c r="CU104" s="425"/>
      <c r="CV104" s="425"/>
      <c r="CW104" s="427"/>
      <c r="CX104" s="425"/>
      <c r="CY104" s="427"/>
      <c r="CZ104" s="425"/>
      <c r="DA104" s="427"/>
      <c r="DB104" s="425"/>
      <c r="DC104" s="425"/>
      <c r="DD104" s="425"/>
      <c r="DE104" s="425"/>
      <c r="DF104" s="425"/>
    </row>
    <row r="105">
      <c r="A105" s="425"/>
      <c r="B105" s="425"/>
      <c r="C105" s="425"/>
      <c r="D105" s="425"/>
      <c r="E105" s="425"/>
      <c r="F105" s="425"/>
      <c r="G105" s="426"/>
      <c r="H105" s="426"/>
      <c r="I105" s="427"/>
      <c r="J105" s="427"/>
      <c r="K105" s="427"/>
      <c r="L105" s="427"/>
      <c r="M105" s="427"/>
      <c r="N105" s="427"/>
      <c r="O105" s="427"/>
      <c r="P105" s="427"/>
      <c r="Q105" s="426"/>
      <c r="R105" s="427"/>
      <c r="S105" s="426"/>
      <c r="T105" s="425"/>
      <c r="U105" s="425"/>
      <c r="V105" s="425"/>
      <c r="W105" s="425"/>
      <c r="X105" s="425"/>
      <c r="Y105" s="425"/>
      <c r="Z105" s="427"/>
      <c r="AA105" s="426"/>
      <c r="AB105" s="427"/>
      <c r="AC105" s="426"/>
      <c r="AD105" s="427"/>
      <c r="AE105" s="426"/>
      <c r="AF105" s="427"/>
      <c r="AG105" s="426"/>
      <c r="AH105" s="428"/>
      <c r="AI105" s="426"/>
      <c r="AJ105" s="428"/>
      <c r="AK105" s="426"/>
      <c r="AL105" s="425"/>
      <c r="AM105" s="425"/>
      <c r="AN105" s="427"/>
      <c r="AO105" s="426"/>
      <c r="AP105" s="425"/>
      <c r="AQ105" s="429"/>
      <c r="AR105" s="427"/>
      <c r="AS105" s="425"/>
      <c r="AT105" s="425"/>
      <c r="AU105" s="425"/>
      <c r="AV105" s="425"/>
      <c r="AW105" s="425"/>
      <c r="AX105" s="425"/>
      <c r="AY105" s="427"/>
      <c r="AZ105" s="425"/>
      <c r="BA105" s="427"/>
      <c r="BB105" s="425"/>
      <c r="BC105" s="427"/>
      <c r="BD105" s="425"/>
      <c r="BE105" s="427"/>
      <c r="BF105" s="427"/>
      <c r="BG105" s="427"/>
      <c r="BH105" s="427"/>
      <c r="BI105" s="425"/>
      <c r="BJ105" s="425"/>
      <c r="BK105" s="425"/>
      <c r="BL105" s="426"/>
      <c r="BM105" s="425"/>
      <c r="BN105" s="426"/>
      <c r="BO105" s="426"/>
      <c r="BP105" s="426"/>
      <c r="BQ105" s="426"/>
      <c r="BR105" s="426"/>
      <c r="BS105" s="430"/>
      <c r="BT105" s="425"/>
      <c r="BU105" s="425"/>
      <c r="BV105" s="425"/>
      <c r="BW105" s="426"/>
      <c r="BX105" s="426"/>
      <c r="BY105" s="426"/>
      <c r="BZ105" s="426"/>
      <c r="CA105" s="427"/>
      <c r="CB105" s="427"/>
      <c r="CC105" s="426"/>
      <c r="CD105" s="425"/>
      <c r="CE105" s="425"/>
      <c r="CF105" s="427"/>
      <c r="CG105" s="427"/>
      <c r="CH105" s="427"/>
      <c r="CI105" s="427"/>
      <c r="CJ105" s="425"/>
      <c r="CK105" s="425"/>
      <c r="CL105" s="425"/>
      <c r="CM105" s="425"/>
      <c r="CN105" s="425"/>
      <c r="CO105" s="425"/>
      <c r="CP105" s="427"/>
      <c r="CQ105" s="425"/>
      <c r="CR105" s="427"/>
      <c r="CS105" s="425"/>
      <c r="CT105" s="427"/>
      <c r="CU105" s="425"/>
      <c r="CV105" s="425"/>
      <c r="CW105" s="427"/>
      <c r="CX105" s="425"/>
      <c r="CY105" s="427"/>
      <c r="CZ105" s="425"/>
      <c r="DA105" s="427"/>
      <c r="DB105" s="425"/>
      <c r="DC105" s="425"/>
      <c r="DD105" s="425"/>
      <c r="DE105" s="425"/>
      <c r="DF105" s="425"/>
    </row>
    <row r="106">
      <c r="A106" s="425"/>
      <c r="B106" s="425"/>
      <c r="C106" s="425"/>
      <c r="D106" s="425"/>
      <c r="E106" s="425"/>
      <c r="F106" s="425"/>
      <c r="G106" s="426"/>
      <c r="H106" s="426"/>
      <c r="I106" s="427"/>
      <c r="J106" s="427"/>
      <c r="K106" s="427"/>
      <c r="L106" s="427"/>
      <c r="M106" s="427"/>
      <c r="N106" s="427"/>
      <c r="O106" s="427"/>
      <c r="P106" s="427"/>
      <c r="Q106" s="426"/>
      <c r="R106" s="427"/>
      <c r="S106" s="426"/>
      <c r="T106" s="425"/>
      <c r="U106" s="425"/>
      <c r="V106" s="425"/>
      <c r="W106" s="425"/>
      <c r="X106" s="425"/>
      <c r="Y106" s="425"/>
      <c r="Z106" s="427"/>
      <c r="AA106" s="426"/>
      <c r="AB106" s="427"/>
      <c r="AC106" s="426"/>
      <c r="AD106" s="427"/>
      <c r="AE106" s="426"/>
      <c r="AF106" s="427"/>
      <c r="AG106" s="426"/>
      <c r="AH106" s="428"/>
      <c r="AI106" s="426"/>
      <c r="AJ106" s="428"/>
      <c r="AK106" s="426"/>
      <c r="AL106" s="425"/>
      <c r="AM106" s="425"/>
      <c r="AN106" s="427"/>
      <c r="AO106" s="426"/>
      <c r="AP106" s="425"/>
      <c r="AQ106" s="429"/>
      <c r="AR106" s="427"/>
      <c r="AS106" s="425"/>
      <c r="AT106" s="425"/>
      <c r="AU106" s="425"/>
      <c r="AV106" s="425"/>
      <c r="AW106" s="425"/>
      <c r="AX106" s="425"/>
      <c r="AY106" s="427"/>
      <c r="AZ106" s="425"/>
      <c r="BA106" s="427"/>
      <c r="BB106" s="425"/>
      <c r="BC106" s="427"/>
      <c r="BD106" s="425"/>
      <c r="BE106" s="427"/>
      <c r="BF106" s="427"/>
      <c r="BG106" s="427"/>
      <c r="BH106" s="427"/>
      <c r="BI106" s="425"/>
      <c r="BJ106" s="425"/>
      <c r="BK106" s="425"/>
      <c r="BL106" s="426"/>
      <c r="BM106" s="425"/>
      <c r="BN106" s="426"/>
      <c r="BO106" s="426"/>
      <c r="BP106" s="426"/>
      <c r="BQ106" s="426"/>
      <c r="BR106" s="426"/>
      <c r="BS106" s="430"/>
      <c r="BT106" s="425"/>
      <c r="BU106" s="425"/>
      <c r="BV106" s="425"/>
      <c r="BW106" s="426"/>
      <c r="BX106" s="426"/>
      <c r="BY106" s="426"/>
      <c r="BZ106" s="426"/>
      <c r="CA106" s="427"/>
      <c r="CB106" s="427"/>
      <c r="CC106" s="426"/>
      <c r="CD106" s="425"/>
      <c r="CE106" s="425"/>
      <c r="CF106" s="427"/>
      <c r="CG106" s="427"/>
      <c r="CH106" s="427"/>
      <c r="CI106" s="427"/>
      <c r="CJ106" s="425"/>
      <c r="CK106" s="425"/>
      <c r="CL106" s="425"/>
      <c r="CM106" s="425"/>
      <c r="CN106" s="425"/>
      <c r="CO106" s="425"/>
      <c r="CP106" s="427"/>
      <c r="CQ106" s="425"/>
      <c r="CR106" s="427"/>
      <c r="CS106" s="425"/>
      <c r="CT106" s="427"/>
      <c r="CU106" s="425"/>
      <c r="CV106" s="425"/>
      <c r="CW106" s="427"/>
      <c r="CX106" s="425"/>
      <c r="CY106" s="427"/>
      <c r="CZ106" s="425"/>
      <c r="DA106" s="427"/>
      <c r="DB106" s="425"/>
      <c r="DC106" s="425"/>
      <c r="DD106" s="425"/>
      <c r="DE106" s="425"/>
      <c r="DF106" s="425"/>
    </row>
    <row r="107">
      <c r="A107" s="425"/>
      <c r="B107" s="425"/>
      <c r="C107" s="425"/>
      <c r="D107" s="425"/>
      <c r="E107" s="425"/>
      <c r="F107" s="425"/>
      <c r="G107" s="426"/>
      <c r="H107" s="426"/>
      <c r="I107" s="427"/>
      <c r="J107" s="427"/>
      <c r="K107" s="427"/>
      <c r="L107" s="427"/>
      <c r="M107" s="427"/>
      <c r="N107" s="427"/>
      <c r="O107" s="427"/>
      <c r="P107" s="427"/>
      <c r="Q107" s="426"/>
      <c r="R107" s="427"/>
      <c r="S107" s="426"/>
      <c r="T107" s="425"/>
      <c r="U107" s="425"/>
      <c r="V107" s="425"/>
      <c r="W107" s="425"/>
      <c r="X107" s="425"/>
      <c r="Y107" s="425"/>
      <c r="Z107" s="427"/>
      <c r="AA107" s="426"/>
      <c r="AB107" s="427"/>
      <c r="AC107" s="426"/>
      <c r="AD107" s="427"/>
      <c r="AE107" s="426"/>
      <c r="AF107" s="427"/>
      <c r="AG107" s="426"/>
      <c r="AH107" s="428"/>
      <c r="AI107" s="426"/>
      <c r="AJ107" s="428"/>
      <c r="AK107" s="426"/>
      <c r="AL107" s="425"/>
      <c r="AM107" s="425"/>
      <c r="AN107" s="427"/>
      <c r="AO107" s="426"/>
      <c r="AP107" s="425"/>
      <c r="AQ107" s="429"/>
      <c r="AR107" s="427"/>
      <c r="AS107" s="425"/>
      <c r="AT107" s="425"/>
      <c r="AU107" s="425"/>
      <c r="AV107" s="425"/>
      <c r="AW107" s="425"/>
      <c r="AX107" s="425"/>
      <c r="AY107" s="427"/>
      <c r="AZ107" s="425"/>
      <c r="BA107" s="427"/>
      <c r="BB107" s="425"/>
      <c r="BC107" s="427"/>
      <c r="BD107" s="425"/>
      <c r="BE107" s="427"/>
      <c r="BF107" s="427"/>
      <c r="BG107" s="427"/>
      <c r="BH107" s="427"/>
      <c r="BI107" s="425"/>
      <c r="BJ107" s="425"/>
      <c r="BK107" s="425"/>
      <c r="BL107" s="426"/>
      <c r="BM107" s="425"/>
      <c r="BN107" s="426"/>
      <c r="BO107" s="426"/>
      <c r="BP107" s="426"/>
      <c r="BQ107" s="426"/>
      <c r="BR107" s="426"/>
      <c r="BS107" s="430"/>
      <c r="BT107" s="425"/>
      <c r="BU107" s="425"/>
      <c r="BV107" s="425"/>
      <c r="BW107" s="426"/>
      <c r="BX107" s="426"/>
      <c r="BY107" s="426"/>
      <c r="BZ107" s="426"/>
      <c r="CA107" s="427"/>
      <c r="CB107" s="427"/>
      <c r="CC107" s="426"/>
      <c r="CD107" s="425"/>
      <c r="CE107" s="425"/>
      <c r="CF107" s="427"/>
      <c r="CG107" s="427"/>
      <c r="CH107" s="427"/>
      <c r="CI107" s="427"/>
      <c r="CJ107" s="425"/>
      <c r="CK107" s="425"/>
      <c r="CL107" s="425"/>
      <c r="CM107" s="425"/>
      <c r="CN107" s="425"/>
      <c r="CO107" s="425"/>
      <c r="CP107" s="427"/>
      <c r="CQ107" s="425"/>
      <c r="CR107" s="427"/>
      <c r="CS107" s="425"/>
      <c r="CT107" s="427"/>
      <c r="CU107" s="425"/>
      <c r="CV107" s="425"/>
      <c r="CW107" s="427"/>
      <c r="CX107" s="425"/>
      <c r="CY107" s="427"/>
      <c r="CZ107" s="425"/>
      <c r="DA107" s="427"/>
      <c r="DB107" s="425"/>
      <c r="DC107" s="425"/>
      <c r="DD107" s="425"/>
      <c r="DE107" s="425"/>
      <c r="DF107" s="425"/>
    </row>
    <row r="108">
      <c r="A108" s="425"/>
      <c r="B108" s="425"/>
      <c r="C108" s="425"/>
      <c r="D108" s="425"/>
      <c r="E108" s="425"/>
      <c r="F108" s="425"/>
      <c r="G108" s="426"/>
      <c r="H108" s="426"/>
      <c r="I108" s="427"/>
      <c r="J108" s="427"/>
      <c r="K108" s="427"/>
      <c r="L108" s="427"/>
      <c r="M108" s="427"/>
      <c r="N108" s="427"/>
      <c r="O108" s="427"/>
      <c r="P108" s="427"/>
      <c r="Q108" s="426"/>
      <c r="R108" s="427"/>
      <c r="S108" s="426"/>
      <c r="T108" s="425"/>
      <c r="U108" s="425"/>
      <c r="V108" s="425"/>
      <c r="W108" s="425"/>
      <c r="X108" s="425"/>
      <c r="Y108" s="425"/>
      <c r="Z108" s="427"/>
      <c r="AA108" s="426"/>
      <c r="AB108" s="427"/>
      <c r="AC108" s="426"/>
      <c r="AD108" s="427"/>
      <c r="AE108" s="426"/>
      <c r="AF108" s="427"/>
      <c r="AG108" s="426"/>
      <c r="AH108" s="428"/>
      <c r="AI108" s="426"/>
      <c r="AJ108" s="428"/>
      <c r="AK108" s="426"/>
      <c r="AL108" s="425"/>
      <c r="AM108" s="425"/>
      <c r="AN108" s="427"/>
      <c r="AO108" s="426"/>
      <c r="AP108" s="425"/>
      <c r="AQ108" s="429"/>
      <c r="AR108" s="427"/>
      <c r="AS108" s="425"/>
      <c r="AT108" s="425"/>
      <c r="AU108" s="425"/>
      <c r="AV108" s="425"/>
      <c r="AW108" s="425"/>
      <c r="AX108" s="425"/>
      <c r="AY108" s="427"/>
      <c r="AZ108" s="425"/>
      <c r="BA108" s="427"/>
      <c r="BB108" s="425"/>
      <c r="BC108" s="427"/>
      <c r="BD108" s="425"/>
      <c r="BE108" s="427"/>
      <c r="BF108" s="427"/>
      <c r="BG108" s="427"/>
      <c r="BH108" s="427"/>
      <c r="BI108" s="425"/>
      <c r="BJ108" s="425"/>
      <c r="BK108" s="425"/>
      <c r="BL108" s="426"/>
      <c r="BM108" s="425"/>
      <c r="BN108" s="426"/>
      <c r="BO108" s="426"/>
      <c r="BP108" s="426"/>
      <c r="BQ108" s="426"/>
      <c r="BR108" s="426"/>
      <c r="BS108" s="430"/>
      <c r="BT108" s="425"/>
      <c r="BU108" s="425"/>
      <c r="BV108" s="425"/>
      <c r="BW108" s="426"/>
      <c r="BX108" s="426"/>
      <c r="BY108" s="426"/>
      <c r="BZ108" s="426"/>
      <c r="CA108" s="427"/>
      <c r="CB108" s="427"/>
      <c r="CC108" s="426"/>
      <c r="CD108" s="425"/>
      <c r="CE108" s="425"/>
      <c r="CF108" s="427"/>
      <c r="CG108" s="427"/>
      <c r="CH108" s="427"/>
      <c r="CI108" s="427"/>
      <c r="CJ108" s="425"/>
      <c r="CK108" s="425"/>
      <c r="CL108" s="425"/>
      <c r="CM108" s="425"/>
      <c r="CN108" s="425"/>
      <c r="CO108" s="425"/>
      <c r="CP108" s="427"/>
      <c r="CQ108" s="425"/>
      <c r="CR108" s="427"/>
      <c r="CS108" s="425"/>
      <c r="CT108" s="427"/>
      <c r="CU108" s="425"/>
      <c r="CV108" s="425"/>
      <c r="CW108" s="427"/>
      <c r="CX108" s="425"/>
      <c r="CY108" s="427"/>
      <c r="CZ108" s="425"/>
      <c r="DA108" s="427"/>
      <c r="DB108" s="425"/>
      <c r="DC108" s="425"/>
      <c r="DD108" s="425"/>
      <c r="DE108" s="425"/>
      <c r="DF108" s="425"/>
    </row>
    <row r="109">
      <c r="A109" s="425"/>
      <c r="B109" s="425"/>
      <c r="C109" s="425"/>
      <c r="D109" s="425"/>
      <c r="E109" s="425"/>
      <c r="F109" s="425"/>
      <c r="G109" s="426"/>
      <c r="H109" s="426"/>
      <c r="I109" s="427"/>
      <c r="J109" s="427"/>
      <c r="K109" s="427"/>
      <c r="L109" s="427"/>
      <c r="M109" s="427"/>
      <c r="N109" s="427"/>
      <c r="O109" s="427"/>
      <c r="P109" s="427"/>
      <c r="Q109" s="426"/>
      <c r="R109" s="427"/>
      <c r="S109" s="426"/>
      <c r="T109" s="425"/>
      <c r="U109" s="425"/>
      <c r="V109" s="425"/>
      <c r="W109" s="425"/>
      <c r="X109" s="425"/>
      <c r="Y109" s="425"/>
      <c r="Z109" s="427"/>
      <c r="AA109" s="426"/>
      <c r="AB109" s="427"/>
      <c r="AC109" s="426"/>
      <c r="AD109" s="427"/>
      <c r="AE109" s="426"/>
      <c r="AF109" s="427"/>
      <c r="AG109" s="426"/>
      <c r="AH109" s="428"/>
      <c r="AI109" s="426"/>
      <c r="AJ109" s="428"/>
      <c r="AK109" s="426"/>
      <c r="AL109" s="425"/>
      <c r="AM109" s="425"/>
      <c r="AN109" s="427"/>
      <c r="AO109" s="426"/>
      <c r="AP109" s="425"/>
      <c r="AQ109" s="429"/>
      <c r="AR109" s="427"/>
      <c r="AS109" s="425"/>
      <c r="AT109" s="425"/>
      <c r="AU109" s="425"/>
      <c r="AV109" s="425"/>
      <c r="AW109" s="425"/>
      <c r="AX109" s="425"/>
      <c r="AY109" s="427"/>
      <c r="AZ109" s="425"/>
      <c r="BA109" s="427"/>
      <c r="BB109" s="425"/>
      <c r="BC109" s="427"/>
      <c r="BD109" s="425"/>
      <c r="BE109" s="427"/>
      <c r="BF109" s="427"/>
      <c r="BG109" s="427"/>
      <c r="BH109" s="427"/>
      <c r="BI109" s="425"/>
      <c r="BJ109" s="425"/>
      <c r="BK109" s="425"/>
      <c r="BL109" s="426"/>
      <c r="BM109" s="425"/>
      <c r="BN109" s="426"/>
      <c r="BO109" s="426"/>
      <c r="BP109" s="426"/>
      <c r="BQ109" s="426"/>
      <c r="BR109" s="426"/>
      <c r="BS109" s="430"/>
      <c r="BT109" s="425"/>
      <c r="BU109" s="425"/>
      <c r="BV109" s="425"/>
      <c r="BW109" s="426"/>
      <c r="BX109" s="426"/>
      <c r="BY109" s="426"/>
      <c r="BZ109" s="426"/>
      <c r="CA109" s="427"/>
      <c r="CB109" s="427"/>
      <c r="CC109" s="426"/>
      <c r="CD109" s="425"/>
      <c r="CE109" s="425"/>
      <c r="CF109" s="427"/>
      <c r="CG109" s="427"/>
      <c r="CH109" s="427"/>
      <c r="CI109" s="427"/>
      <c r="CJ109" s="425"/>
      <c r="CK109" s="425"/>
      <c r="CL109" s="425"/>
      <c r="CM109" s="425"/>
      <c r="CN109" s="425"/>
      <c r="CO109" s="425"/>
      <c r="CP109" s="427"/>
      <c r="CQ109" s="425"/>
      <c r="CR109" s="427"/>
      <c r="CS109" s="425"/>
      <c r="CT109" s="427"/>
      <c r="CU109" s="425"/>
      <c r="CV109" s="425"/>
      <c r="CW109" s="427"/>
      <c r="CX109" s="425"/>
      <c r="CY109" s="427"/>
      <c r="CZ109" s="425"/>
      <c r="DA109" s="427"/>
      <c r="DB109" s="425"/>
      <c r="DC109" s="425"/>
      <c r="DD109" s="425"/>
      <c r="DE109" s="425"/>
      <c r="DF109" s="425"/>
    </row>
    <row r="110">
      <c r="A110" s="425"/>
      <c r="B110" s="425"/>
      <c r="C110" s="425"/>
      <c r="D110" s="425"/>
      <c r="E110" s="425"/>
      <c r="F110" s="425"/>
      <c r="G110" s="426"/>
      <c r="H110" s="426"/>
      <c r="I110" s="427"/>
      <c r="J110" s="427"/>
      <c r="K110" s="427"/>
      <c r="L110" s="427"/>
      <c r="M110" s="427"/>
      <c r="N110" s="427"/>
      <c r="O110" s="427"/>
      <c r="P110" s="427"/>
      <c r="Q110" s="426"/>
      <c r="R110" s="427"/>
      <c r="S110" s="426"/>
      <c r="T110" s="425"/>
      <c r="U110" s="425"/>
      <c r="V110" s="425"/>
      <c r="W110" s="425"/>
      <c r="X110" s="425"/>
      <c r="Y110" s="425"/>
      <c r="Z110" s="427"/>
      <c r="AA110" s="426"/>
      <c r="AB110" s="427"/>
      <c r="AC110" s="426"/>
      <c r="AD110" s="427"/>
      <c r="AE110" s="426"/>
      <c r="AF110" s="427"/>
      <c r="AG110" s="426"/>
      <c r="AH110" s="428"/>
      <c r="AI110" s="426"/>
      <c r="AJ110" s="428"/>
      <c r="AK110" s="426"/>
      <c r="AL110" s="425"/>
      <c r="AM110" s="425"/>
      <c r="AN110" s="427"/>
      <c r="AO110" s="426"/>
      <c r="AP110" s="425"/>
      <c r="AQ110" s="429"/>
      <c r="AR110" s="427"/>
      <c r="AS110" s="425"/>
      <c r="AT110" s="425"/>
      <c r="AU110" s="425"/>
      <c r="AV110" s="425"/>
      <c r="AW110" s="425"/>
      <c r="AX110" s="425"/>
      <c r="AY110" s="427"/>
      <c r="AZ110" s="425"/>
      <c r="BA110" s="427"/>
      <c r="BB110" s="425"/>
      <c r="BC110" s="427"/>
      <c r="BD110" s="425"/>
      <c r="BE110" s="427"/>
      <c r="BF110" s="427"/>
      <c r="BG110" s="427"/>
      <c r="BH110" s="427"/>
      <c r="BI110" s="425"/>
      <c r="BJ110" s="425"/>
      <c r="BK110" s="425"/>
      <c r="BL110" s="426"/>
      <c r="BM110" s="425"/>
      <c r="BN110" s="426"/>
      <c r="BO110" s="426"/>
      <c r="BP110" s="426"/>
      <c r="BQ110" s="426"/>
      <c r="BR110" s="426"/>
      <c r="BS110" s="430"/>
      <c r="BT110" s="425"/>
      <c r="BU110" s="425"/>
      <c r="BV110" s="425"/>
      <c r="BW110" s="426"/>
      <c r="BX110" s="426"/>
      <c r="BY110" s="426"/>
      <c r="BZ110" s="426"/>
      <c r="CA110" s="427"/>
      <c r="CB110" s="427"/>
      <c r="CC110" s="426"/>
      <c r="CD110" s="425"/>
      <c r="CE110" s="425"/>
      <c r="CF110" s="427"/>
      <c r="CG110" s="427"/>
      <c r="CH110" s="427"/>
      <c r="CI110" s="427"/>
      <c r="CJ110" s="425"/>
      <c r="CK110" s="425"/>
      <c r="CL110" s="425"/>
      <c r="CM110" s="425"/>
      <c r="CN110" s="425"/>
      <c r="CO110" s="425"/>
      <c r="CP110" s="427"/>
      <c r="CQ110" s="425"/>
      <c r="CR110" s="427"/>
      <c r="CS110" s="425"/>
      <c r="CT110" s="427"/>
      <c r="CU110" s="425"/>
      <c r="CV110" s="425"/>
      <c r="CW110" s="427"/>
      <c r="CX110" s="425"/>
      <c r="CY110" s="427"/>
      <c r="CZ110" s="425"/>
      <c r="DA110" s="427"/>
      <c r="DB110" s="425"/>
      <c r="DC110" s="425"/>
      <c r="DD110" s="425"/>
      <c r="DE110" s="425"/>
      <c r="DF110" s="425"/>
    </row>
    <row r="111">
      <c r="A111" s="425"/>
      <c r="B111" s="425"/>
      <c r="C111" s="425"/>
      <c r="D111" s="425"/>
      <c r="E111" s="425"/>
      <c r="F111" s="425"/>
      <c r="G111" s="426"/>
      <c r="H111" s="426"/>
      <c r="I111" s="427"/>
      <c r="J111" s="427"/>
      <c r="K111" s="427"/>
      <c r="L111" s="427"/>
      <c r="M111" s="427"/>
      <c r="N111" s="427"/>
      <c r="O111" s="427"/>
      <c r="P111" s="427"/>
      <c r="Q111" s="426"/>
      <c r="R111" s="427"/>
      <c r="S111" s="426"/>
      <c r="T111" s="425"/>
      <c r="U111" s="425"/>
      <c r="V111" s="425"/>
      <c r="W111" s="425"/>
      <c r="X111" s="425"/>
      <c r="Y111" s="425"/>
      <c r="Z111" s="427"/>
      <c r="AA111" s="426"/>
      <c r="AB111" s="427"/>
      <c r="AC111" s="426"/>
      <c r="AD111" s="427"/>
      <c r="AE111" s="426"/>
      <c r="AF111" s="427"/>
      <c r="AG111" s="426"/>
      <c r="AH111" s="428"/>
      <c r="AI111" s="426"/>
      <c r="AJ111" s="428"/>
      <c r="AK111" s="426"/>
      <c r="AL111" s="425"/>
      <c r="AM111" s="425"/>
      <c r="AN111" s="427"/>
      <c r="AO111" s="426"/>
      <c r="AP111" s="425"/>
      <c r="AQ111" s="429"/>
      <c r="AR111" s="427"/>
      <c r="AS111" s="425"/>
      <c r="AT111" s="425"/>
      <c r="AU111" s="425"/>
      <c r="AV111" s="425"/>
      <c r="AW111" s="425"/>
      <c r="AX111" s="425"/>
      <c r="AY111" s="427"/>
      <c r="AZ111" s="425"/>
      <c r="BA111" s="427"/>
      <c r="BB111" s="425"/>
      <c r="BC111" s="427"/>
      <c r="BD111" s="425"/>
      <c r="BE111" s="427"/>
      <c r="BF111" s="427"/>
      <c r="BG111" s="427"/>
      <c r="BH111" s="427"/>
      <c r="BI111" s="425"/>
      <c r="BJ111" s="425"/>
      <c r="BK111" s="425"/>
      <c r="BL111" s="426"/>
      <c r="BM111" s="425"/>
      <c r="BN111" s="426"/>
      <c r="BO111" s="426"/>
      <c r="BP111" s="426"/>
      <c r="BQ111" s="426"/>
      <c r="BR111" s="426"/>
      <c r="BS111" s="430"/>
      <c r="BT111" s="425"/>
      <c r="BU111" s="425"/>
      <c r="BV111" s="425"/>
      <c r="BW111" s="426"/>
      <c r="BX111" s="426"/>
      <c r="BY111" s="426"/>
      <c r="BZ111" s="426"/>
      <c r="CA111" s="427"/>
      <c r="CB111" s="427"/>
      <c r="CC111" s="426"/>
      <c r="CD111" s="425"/>
      <c r="CE111" s="425"/>
      <c r="CF111" s="427"/>
      <c r="CG111" s="427"/>
      <c r="CH111" s="427"/>
      <c r="CI111" s="427"/>
      <c r="CJ111" s="425"/>
      <c r="CK111" s="425"/>
      <c r="CL111" s="425"/>
      <c r="CM111" s="425"/>
      <c r="CN111" s="425"/>
      <c r="CO111" s="425"/>
      <c r="CP111" s="427"/>
      <c r="CQ111" s="425"/>
      <c r="CR111" s="427"/>
      <c r="CS111" s="425"/>
      <c r="CT111" s="427"/>
      <c r="CU111" s="425"/>
      <c r="CV111" s="425"/>
      <c r="CW111" s="427"/>
      <c r="CX111" s="425"/>
      <c r="CY111" s="427"/>
      <c r="CZ111" s="425"/>
      <c r="DA111" s="427"/>
      <c r="DB111" s="425"/>
      <c r="DC111" s="425"/>
      <c r="DD111" s="425"/>
      <c r="DE111" s="425"/>
      <c r="DF111" s="425"/>
    </row>
    <row r="112">
      <c r="A112" s="425"/>
      <c r="B112" s="425"/>
      <c r="C112" s="425"/>
      <c r="D112" s="425"/>
      <c r="E112" s="425"/>
      <c r="F112" s="425"/>
      <c r="G112" s="426"/>
      <c r="H112" s="426"/>
      <c r="I112" s="427"/>
      <c r="J112" s="427"/>
      <c r="K112" s="427"/>
      <c r="L112" s="427"/>
      <c r="M112" s="427"/>
      <c r="N112" s="427"/>
      <c r="O112" s="427"/>
      <c r="P112" s="427"/>
      <c r="Q112" s="426"/>
      <c r="R112" s="427"/>
      <c r="S112" s="426"/>
      <c r="T112" s="425"/>
      <c r="U112" s="425"/>
      <c r="V112" s="425"/>
      <c r="W112" s="425"/>
      <c r="X112" s="425"/>
      <c r="Y112" s="425"/>
      <c r="Z112" s="427"/>
      <c r="AA112" s="426"/>
      <c r="AB112" s="427"/>
      <c r="AC112" s="426"/>
      <c r="AD112" s="427"/>
      <c r="AE112" s="426"/>
      <c r="AF112" s="427"/>
      <c r="AG112" s="426"/>
      <c r="AH112" s="428"/>
      <c r="AI112" s="426"/>
      <c r="AJ112" s="428"/>
      <c r="AK112" s="426"/>
      <c r="AL112" s="425"/>
      <c r="AM112" s="425"/>
      <c r="AN112" s="427"/>
      <c r="AO112" s="426"/>
      <c r="AP112" s="425"/>
      <c r="AQ112" s="429"/>
      <c r="AR112" s="427"/>
      <c r="AS112" s="425"/>
      <c r="AT112" s="425"/>
      <c r="AU112" s="425"/>
      <c r="AV112" s="425"/>
      <c r="AW112" s="425"/>
      <c r="AX112" s="425"/>
      <c r="AY112" s="427"/>
      <c r="AZ112" s="425"/>
      <c r="BA112" s="427"/>
      <c r="BB112" s="425"/>
      <c r="BC112" s="427"/>
      <c r="BD112" s="425"/>
      <c r="BE112" s="427"/>
      <c r="BF112" s="427"/>
      <c r="BG112" s="427"/>
      <c r="BH112" s="427"/>
      <c r="BI112" s="425"/>
      <c r="BJ112" s="425"/>
      <c r="BK112" s="425"/>
      <c r="BL112" s="426"/>
      <c r="BM112" s="425"/>
      <c r="BN112" s="426"/>
      <c r="BO112" s="426"/>
      <c r="BP112" s="426"/>
      <c r="BQ112" s="426"/>
      <c r="BR112" s="426"/>
      <c r="BS112" s="430"/>
      <c r="BT112" s="425"/>
      <c r="BU112" s="425"/>
      <c r="BV112" s="425"/>
      <c r="BW112" s="426"/>
      <c r="BX112" s="426"/>
      <c r="BY112" s="426"/>
      <c r="BZ112" s="426"/>
      <c r="CA112" s="427"/>
      <c r="CB112" s="427"/>
      <c r="CC112" s="426"/>
      <c r="CD112" s="425"/>
      <c r="CE112" s="425"/>
      <c r="CF112" s="427"/>
      <c r="CG112" s="427"/>
      <c r="CH112" s="427"/>
      <c r="CI112" s="427"/>
      <c r="CJ112" s="425"/>
      <c r="CK112" s="425"/>
      <c r="CL112" s="425"/>
      <c r="CM112" s="425"/>
      <c r="CN112" s="425"/>
      <c r="CO112" s="425"/>
      <c r="CP112" s="427"/>
      <c r="CQ112" s="425"/>
      <c r="CR112" s="427"/>
      <c r="CS112" s="425"/>
      <c r="CT112" s="427"/>
      <c r="CU112" s="425"/>
      <c r="CV112" s="425"/>
      <c r="CW112" s="427"/>
      <c r="CX112" s="425"/>
      <c r="CY112" s="427"/>
      <c r="CZ112" s="425"/>
      <c r="DA112" s="427"/>
      <c r="DB112" s="425"/>
      <c r="DC112" s="425"/>
      <c r="DD112" s="425"/>
      <c r="DE112" s="425"/>
      <c r="DF112" s="425"/>
    </row>
    <row r="113">
      <c r="A113" s="425"/>
      <c r="B113" s="425"/>
      <c r="C113" s="425"/>
      <c r="D113" s="425"/>
      <c r="E113" s="425"/>
      <c r="F113" s="425"/>
      <c r="G113" s="426"/>
      <c r="H113" s="426"/>
      <c r="I113" s="427"/>
      <c r="J113" s="427"/>
      <c r="K113" s="427"/>
      <c r="L113" s="427"/>
      <c r="M113" s="427"/>
      <c r="N113" s="427"/>
      <c r="O113" s="427"/>
      <c r="P113" s="427"/>
      <c r="Q113" s="426"/>
      <c r="R113" s="427"/>
      <c r="S113" s="426"/>
      <c r="T113" s="425"/>
      <c r="U113" s="425"/>
      <c r="V113" s="425"/>
      <c r="W113" s="425"/>
      <c r="X113" s="425"/>
      <c r="Y113" s="425"/>
      <c r="Z113" s="427"/>
      <c r="AA113" s="426"/>
      <c r="AB113" s="427"/>
      <c r="AC113" s="426"/>
      <c r="AD113" s="427"/>
      <c r="AE113" s="426"/>
      <c r="AF113" s="427"/>
      <c r="AG113" s="426"/>
      <c r="AH113" s="428"/>
      <c r="AI113" s="426"/>
      <c r="AJ113" s="428"/>
      <c r="AK113" s="426"/>
      <c r="AL113" s="425"/>
      <c r="AM113" s="425"/>
      <c r="AN113" s="427"/>
      <c r="AO113" s="426"/>
      <c r="AP113" s="425"/>
      <c r="AQ113" s="429"/>
      <c r="AR113" s="427"/>
      <c r="AS113" s="425"/>
      <c r="AT113" s="425"/>
      <c r="AU113" s="425"/>
      <c r="AV113" s="425"/>
      <c r="AW113" s="425"/>
      <c r="AX113" s="425"/>
      <c r="AY113" s="427"/>
      <c r="AZ113" s="425"/>
      <c r="BA113" s="427"/>
      <c r="BB113" s="425"/>
      <c r="BC113" s="427"/>
      <c r="BD113" s="425"/>
      <c r="BE113" s="427"/>
      <c r="BF113" s="427"/>
      <c r="BG113" s="427"/>
      <c r="BH113" s="427"/>
      <c r="BI113" s="425"/>
      <c r="BJ113" s="425"/>
      <c r="BK113" s="425"/>
      <c r="BL113" s="426"/>
      <c r="BM113" s="425"/>
      <c r="BN113" s="426"/>
      <c r="BO113" s="426"/>
      <c r="BP113" s="426"/>
      <c r="BQ113" s="426"/>
      <c r="BR113" s="426"/>
      <c r="BS113" s="430"/>
      <c r="BT113" s="425"/>
      <c r="BU113" s="425"/>
      <c r="BV113" s="425"/>
      <c r="BW113" s="426"/>
      <c r="BX113" s="426"/>
      <c r="BY113" s="426"/>
      <c r="BZ113" s="426"/>
      <c r="CA113" s="427"/>
      <c r="CB113" s="427"/>
      <c r="CC113" s="426"/>
      <c r="CD113" s="425"/>
      <c r="CE113" s="425"/>
      <c r="CF113" s="427"/>
      <c r="CG113" s="427"/>
      <c r="CH113" s="427"/>
      <c r="CI113" s="427"/>
      <c r="CJ113" s="425"/>
      <c r="CK113" s="425"/>
      <c r="CL113" s="425"/>
      <c r="CM113" s="425"/>
      <c r="CN113" s="425"/>
      <c r="CO113" s="425"/>
      <c r="CP113" s="427"/>
      <c r="CQ113" s="425"/>
      <c r="CR113" s="427"/>
      <c r="CS113" s="425"/>
      <c r="CT113" s="427"/>
      <c r="CU113" s="425"/>
      <c r="CV113" s="425"/>
      <c r="CW113" s="427"/>
      <c r="CX113" s="425"/>
      <c r="CY113" s="427"/>
      <c r="CZ113" s="425"/>
      <c r="DA113" s="427"/>
      <c r="DB113" s="425"/>
      <c r="DC113" s="425"/>
      <c r="DD113" s="425"/>
      <c r="DE113" s="425"/>
      <c r="DF113" s="425"/>
    </row>
    <row r="114">
      <c r="A114" s="425"/>
      <c r="B114" s="425"/>
      <c r="C114" s="425"/>
      <c r="D114" s="425"/>
      <c r="E114" s="425"/>
      <c r="F114" s="425"/>
      <c r="G114" s="426"/>
      <c r="H114" s="426"/>
      <c r="I114" s="427"/>
      <c r="J114" s="427"/>
      <c r="K114" s="427"/>
      <c r="L114" s="427"/>
      <c r="M114" s="427"/>
      <c r="N114" s="427"/>
      <c r="O114" s="427"/>
      <c r="P114" s="427"/>
      <c r="Q114" s="426"/>
      <c r="R114" s="427"/>
      <c r="S114" s="426"/>
      <c r="T114" s="425"/>
      <c r="U114" s="425"/>
      <c r="V114" s="425"/>
      <c r="W114" s="425"/>
      <c r="X114" s="425"/>
      <c r="Y114" s="425"/>
      <c r="Z114" s="427"/>
      <c r="AA114" s="426"/>
      <c r="AB114" s="427"/>
      <c r="AC114" s="426"/>
      <c r="AD114" s="427"/>
      <c r="AE114" s="426"/>
      <c r="AF114" s="427"/>
      <c r="AG114" s="426"/>
      <c r="AH114" s="428"/>
      <c r="AI114" s="426"/>
      <c r="AJ114" s="428"/>
      <c r="AK114" s="426"/>
      <c r="AL114" s="425"/>
      <c r="AM114" s="425"/>
      <c r="AN114" s="427"/>
      <c r="AO114" s="426"/>
      <c r="AP114" s="425"/>
      <c r="AQ114" s="429"/>
      <c r="AR114" s="427"/>
      <c r="AS114" s="425"/>
      <c r="AT114" s="425"/>
      <c r="AU114" s="425"/>
      <c r="AV114" s="425"/>
      <c r="AW114" s="425"/>
      <c r="AX114" s="425"/>
      <c r="AY114" s="427"/>
      <c r="AZ114" s="425"/>
      <c r="BA114" s="427"/>
      <c r="BB114" s="425"/>
      <c r="BC114" s="427"/>
      <c r="BD114" s="425"/>
      <c r="BE114" s="427"/>
      <c r="BF114" s="427"/>
      <c r="BG114" s="427"/>
      <c r="BH114" s="427"/>
      <c r="BI114" s="425"/>
      <c r="BJ114" s="425"/>
      <c r="BK114" s="425"/>
      <c r="BL114" s="426"/>
      <c r="BM114" s="425"/>
      <c r="BN114" s="426"/>
      <c r="BO114" s="426"/>
      <c r="BP114" s="426"/>
      <c r="BQ114" s="426"/>
      <c r="BR114" s="426"/>
      <c r="BS114" s="430"/>
      <c r="BT114" s="425"/>
      <c r="BU114" s="425"/>
      <c r="BV114" s="425"/>
      <c r="BW114" s="426"/>
      <c r="BX114" s="426"/>
      <c r="BY114" s="426"/>
      <c r="BZ114" s="426"/>
      <c r="CA114" s="427"/>
      <c r="CB114" s="427"/>
      <c r="CC114" s="426"/>
      <c r="CD114" s="425"/>
      <c r="CE114" s="425"/>
      <c r="CF114" s="427"/>
      <c r="CG114" s="427"/>
      <c r="CH114" s="427"/>
      <c r="CI114" s="427"/>
      <c r="CJ114" s="425"/>
      <c r="CK114" s="425"/>
      <c r="CL114" s="425"/>
      <c r="CM114" s="425"/>
      <c r="CN114" s="425"/>
      <c r="CO114" s="425"/>
      <c r="CP114" s="427"/>
      <c r="CQ114" s="425"/>
      <c r="CR114" s="427"/>
      <c r="CS114" s="425"/>
      <c r="CT114" s="427"/>
      <c r="CU114" s="425"/>
      <c r="CV114" s="425"/>
      <c r="CW114" s="427"/>
      <c r="CX114" s="425"/>
      <c r="CY114" s="427"/>
      <c r="CZ114" s="425"/>
      <c r="DA114" s="427"/>
      <c r="DB114" s="425"/>
      <c r="DC114" s="425"/>
      <c r="DD114" s="425"/>
      <c r="DE114" s="425"/>
      <c r="DF114" s="425"/>
    </row>
    <row r="115">
      <c r="A115" s="425"/>
      <c r="B115" s="425"/>
      <c r="C115" s="425"/>
      <c r="D115" s="425"/>
      <c r="E115" s="425"/>
      <c r="F115" s="425"/>
      <c r="G115" s="426"/>
      <c r="H115" s="426"/>
      <c r="I115" s="427"/>
      <c r="J115" s="427"/>
      <c r="K115" s="427"/>
      <c r="L115" s="427"/>
      <c r="M115" s="427"/>
      <c r="N115" s="427"/>
      <c r="O115" s="427"/>
      <c r="P115" s="427"/>
      <c r="Q115" s="426"/>
      <c r="R115" s="427"/>
      <c r="S115" s="426"/>
      <c r="T115" s="425"/>
      <c r="U115" s="425"/>
      <c r="V115" s="425"/>
      <c r="W115" s="425"/>
      <c r="X115" s="425"/>
      <c r="Y115" s="425"/>
      <c r="Z115" s="427"/>
      <c r="AA115" s="426"/>
      <c r="AB115" s="427"/>
      <c r="AC115" s="426"/>
      <c r="AD115" s="427"/>
      <c r="AE115" s="426"/>
      <c r="AF115" s="427"/>
      <c r="AG115" s="426"/>
      <c r="AH115" s="428"/>
      <c r="AI115" s="426"/>
      <c r="AJ115" s="428"/>
      <c r="AK115" s="426"/>
      <c r="AL115" s="425"/>
      <c r="AM115" s="425"/>
      <c r="AN115" s="427"/>
      <c r="AO115" s="426"/>
      <c r="AP115" s="425"/>
      <c r="AQ115" s="429"/>
      <c r="AR115" s="427"/>
      <c r="AS115" s="425"/>
      <c r="AT115" s="425"/>
      <c r="AU115" s="425"/>
      <c r="AV115" s="425"/>
      <c r="AW115" s="425"/>
      <c r="AX115" s="425"/>
      <c r="AY115" s="427"/>
      <c r="AZ115" s="425"/>
      <c r="BA115" s="427"/>
      <c r="BB115" s="425"/>
      <c r="BC115" s="427"/>
      <c r="BD115" s="425"/>
      <c r="BE115" s="427"/>
      <c r="BF115" s="427"/>
      <c r="BG115" s="427"/>
      <c r="BH115" s="427"/>
      <c r="BI115" s="425"/>
      <c r="BJ115" s="425"/>
      <c r="BK115" s="425"/>
      <c r="BL115" s="426"/>
      <c r="BM115" s="425"/>
      <c r="BN115" s="426"/>
      <c r="BO115" s="426"/>
      <c r="BP115" s="426"/>
      <c r="BQ115" s="426"/>
      <c r="BR115" s="426"/>
      <c r="BS115" s="430"/>
      <c r="BT115" s="425"/>
      <c r="BU115" s="425"/>
      <c r="BV115" s="425"/>
      <c r="BW115" s="426"/>
      <c r="BX115" s="426"/>
      <c r="BY115" s="426"/>
      <c r="BZ115" s="426"/>
      <c r="CA115" s="427"/>
      <c r="CB115" s="427"/>
      <c r="CC115" s="426"/>
      <c r="CD115" s="425"/>
      <c r="CE115" s="425"/>
      <c r="CF115" s="427"/>
      <c r="CG115" s="427"/>
      <c r="CH115" s="427"/>
      <c r="CI115" s="427"/>
      <c r="CJ115" s="425"/>
      <c r="CK115" s="425"/>
      <c r="CL115" s="425"/>
      <c r="CM115" s="425"/>
      <c r="CN115" s="425"/>
      <c r="CO115" s="425"/>
      <c r="CP115" s="427"/>
      <c r="CQ115" s="425"/>
      <c r="CR115" s="427"/>
      <c r="CS115" s="425"/>
      <c r="CT115" s="427"/>
      <c r="CU115" s="425"/>
      <c r="CV115" s="425"/>
      <c r="CW115" s="427"/>
      <c r="CX115" s="425"/>
      <c r="CY115" s="427"/>
      <c r="CZ115" s="425"/>
      <c r="DA115" s="427"/>
      <c r="DB115" s="425"/>
      <c r="DC115" s="425"/>
      <c r="DD115" s="425"/>
      <c r="DE115" s="425"/>
      <c r="DF115" s="425"/>
    </row>
    <row r="116">
      <c r="A116" s="425"/>
      <c r="B116" s="425"/>
      <c r="C116" s="425"/>
      <c r="D116" s="425"/>
      <c r="E116" s="425"/>
      <c r="F116" s="425"/>
      <c r="G116" s="426"/>
      <c r="H116" s="426"/>
      <c r="I116" s="427"/>
      <c r="J116" s="427"/>
      <c r="K116" s="427"/>
      <c r="L116" s="427"/>
      <c r="M116" s="427"/>
      <c r="N116" s="427"/>
      <c r="O116" s="427"/>
      <c r="P116" s="427"/>
      <c r="Q116" s="426"/>
      <c r="R116" s="427"/>
      <c r="S116" s="426"/>
      <c r="T116" s="425"/>
      <c r="U116" s="425"/>
      <c r="V116" s="425"/>
      <c r="W116" s="425"/>
      <c r="X116" s="425"/>
      <c r="Y116" s="425"/>
      <c r="Z116" s="427"/>
      <c r="AA116" s="426"/>
      <c r="AB116" s="427"/>
      <c r="AC116" s="426"/>
      <c r="AD116" s="427"/>
      <c r="AE116" s="426"/>
      <c r="AF116" s="427"/>
      <c r="AG116" s="426"/>
      <c r="AH116" s="428"/>
      <c r="AI116" s="426"/>
      <c r="AJ116" s="428"/>
      <c r="AK116" s="426"/>
      <c r="AL116" s="425"/>
      <c r="AM116" s="425"/>
      <c r="AN116" s="427"/>
      <c r="AO116" s="426"/>
      <c r="AP116" s="425"/>
      <c r="AQ116" s="429"/>
      <c r="AR116" s="427"/>
      <c r="AS116" s="425"/>
      <c r="AT116" s="425"/>
      <c r="AU116" s="425"/>
      <c r="AV116" s="425"/>
      <c r="AW116" s="425"/>
      <c r="AX116" s="425"/>
      <c r="AY116" s="427"/>
      <c r="AZ116" s="425"/>
      <c r="BA116" s="427"/>
      <c r="BB116" s="425"/>
      <c r="BC116" s="427"/>
      <c r="BD116" s="425"/>
      <c r="BE116" s="427"/>
      <c r="BF116" s="427"/>
      <c r="BG116" s="427"/>
      <c r="BH116" s="427"/>
      <c r="BI116" s="425"/>
      <c r="BJ116" s="425"/>
      <c r="BK116" s="425"/>
      <c r="BL116" s="426"/>
      <c r="BM116" s="425"/>
      <c r="BN116" s="426"/>
      <c r="BO116" s="426"/>
      <c r="BP116" s="426"/>
      <c r="BQ116" s="426"/>
      <c r="BR116" s="426"/>
      <c r="BS116" s="430"/>
      <c r="BT116" s="425"/>
      <c r="BU116" s="425"/>
      <c r="BV116" s="425"/>
      <c r="BW116" s="426"/>
      <c r="BX116" s="426"/>
      <c r="BY116" s="426"/>
      <c r="BZ116" s="426"/>
      <c r="CA116" s="427"/>
      <c r="CB116" s="427"/>
      <c r="CC116" s="426"/>
      <c r="CD116" s="425"/>
      <c r="CE116" s="425"/>
      <c r="CF116" s="427"/>
      <c r="CG116" s="427"/>
      <c r="CH116" s="427"/>
      <c r="CI116" s="427"/>
      <c r="CJ116" s="425"/>
      <c r="CK116" s="425"/>
      <c r="CL116" s="425"/>
      <c r="CM116" s="425"/>
      <c r="CN116" s="425"/>
      <c r="CO116" s="425"/>
      <c r="CP116" s="427"/>
      <c r="CQ116" s="425"/>
      <c r="CR116" s="427"/>
      <c r="CS116" s="425"/>
      <c r="CT116" s="427"/>
      <c r="CU116" s="425"/>
      <c r="CV116" s="425"/>
      <c r="CW116" s="427"/>
      <c r="CX116" s="425"/>
      <c r="CY116" s="427"/>
      <c r="CZ116" s="425"/>
      <c r="DA116" s="427"/>
      <c r="DB116" s="425"/>
      <c r="DC116" s="425"/>
      <c r="DD116" s="425"/>
      <c r="DE116" s="425"/>
      <c r="DF116" s="425"/>
    </row>
    <row r="117">
      <c r="A117" s="425"/>
      <c r="B117" s="425"/>
      <c r="C117" s="425"/>
      <c r="D117" s="425"/>
      <c r="E117" s="425"/>
      <c r="F117" s="425"/>
      <c r="G117" s="426"/>
      <c r="H117" s="426"/>
      <c r="I117" s="427"/>
      <c r="J117" s="427"/>
      <c r="K117" s="427"/>
      <c r="L117" s="427"/>
      <c r="M117" s="427"/>
      <c r="N117" s="427"/>
      <c r="O117" s="427"/>
      <c r="P117" s="427"/>
      <c r="Q117" s="426"/>
      <c r="R117" s="427"/>
      <c r="S117" s="426"/>
      <c r="T117" s="425"/>
      <c r="U117" s="425"/>
      <c r="V117" s="425"/>
      <c r="W117" s="425"/>
      <c r="X117" s="425"/>
      <c r="Y117" s="425"/>
      <c r="Z117" s="427"/>
      <c r="AA117" s="426"/>
      <c r="AB117" s="427"/>
      <c r="AC117" s="426"/>
      <c r="AD117" s="427"/>
      <c r="AE117" s="426"/>
      <c r="AF117" s="427"/>
      <c r="AG117" s="426"/>
      <c r="AH117" s="428"/>
      <c r="AI117" s="426"/>
      <c r="AJ117" s="428"/>
      <c r="AK117" s="426"/>
      <c r="AL117" s="425"/>
      <c r="AM117" s="425"/>
      <c r="AN117" s="427"/>
      <c r="AO117" s="426"/>
      <c r="AP117" s="425"/>
      <c r="AQ117" s="429"/>
      <c r="AR117" s="427"/>
      <c r="AS117" s="425"/>
      <c r="AT117" s="425"/>
      <c r="AU117" s="425"/>
      <c r="AV117" s="425"/>
      <c r="AW117" s="425"/>
      <c r="AX117" s="425"/>
      <c r="AY117" s="427"/>
      <c r="AZ117" s="425"/>
      <c r="BA117" s="427"/>
      <c r="BB117" s="425"/>
      <c r="BC117" s="427"/>
      <c r="BD117" s="425"/>
      <c r="BE117" s="427"/>
      <c r="BF117" s="427"/>
      <c r="BG117" s="427"/>
      <c r="BH117" s="427"/>
      <c r="BI117" s="425"/>
      <c r="BJ117" s="425"/>
      <c r="BK117" s="425"/>
      <c r="BL117" s="426"/>
      <c r="BM117" s="425"/>
      <c r="BN117" s="426"/>
      <c r="BO117" s="426"/>
      <c r="BP117" s="426"/>
      <c r="BQ117" s="426"/>
      <c r="BR117" s="426"/>
      <c r="BS117" s="430"/>
      <c r="BT117" s="425"/>
      <c r="BU117" s="425"/>
      <c r="BV117" s="425"/>
      <c r="BW117" s="426"/>
      <c r="BX117" s="426"/>
      <c r="BY117" s="426"/>
      <c r="BZ117" s="426"/>
      <c r="CA117" s="427"/>
      <c r="CB117" s="427"/>
      <c r="CC117" s="426"/>
      <c r="CD117" s="425"/>
      <c r="CE117" s="425"/>
      <c r="CF117" s="427"/>
      <c r="CG117" s="427"/>
      <c r="CH117" s="427"/>
      <c r="CI117" s="427"/>
      <c r="CJ117" s="425"/>
      <c r="CK117" s="425"/>
      <c r="CL117" s="425"/>
      <c r="CM117" s="425"/>
      <c r="CN117" s="425"/>
      <c r="CO117" s="425"/>
      <c r="CP117" s="427"/>
      <c r="CQ117" s="425"/>
      <c r="CR117" s="427"/>
      <c r="CS117" s="425"/>
      <c r="CT117" s="427"/>
      <c r="CU117" s="425"/>
      <c r="CV117" s="425"/>
      <c r="CW117" s="427"/>
      <c r="CX117" s="425"/>
      <c r="CY117" s="427"/>
      <c r="CZ117" s="425"/>
      <c r="DA117" s="427"/>
      <c r="DB117" s="425"/>
      <c r="DC117" s="425"/>
      <c r="DD117" s="425"/>
      <c r="DE117" s="425"/>
      <c r="DF117" s="425"/>
    </row>
    <row r="118">
      <c r="A118" s="425"/>
      <c r="B118" s="425"/>
      <c r="C118" s="425"/>
      <c r="D118" s="425"/>
      <c r="E118" s="425"/>
      <c r="F118" s="425"/>
      <c r="G118" s="426"/>
      <c r="H118" s="426"/>
      <c r="I118" s="427"/>
      <c r="J118" s="427"/>
      <c r="K118" s="427"/>
      <c r="L118" s="427"/>
      <c r="M118" s="427"/>
      <c r="N118" s="427"/>
      <c r="O118" s="427"/>
      <c r="P118" s="427"/>
      <c r="Q118" s="426"/>
      <c r="R118" s="427"/>
      <c r="S118" s="426"/>
      <c r="T118" s="425"/>
      <c r="U118" s="425"/>
      <c r="V118" s="425"/>
      <c r="W118" s="425"/>
      <c r="X118" s="425"/>
      <c r="Y118" s="425"/>
      <c r="Z118" s="427"/>
      <c r="AA118" s="426"/>
      <c r="AB118" s="427"/>
      <c r="AC118" s="426"/>
      <c r="AD118" s="427"/>
      <c r="AE118" s="426"/>
      <c r="AF118" s="427"/>
      <c r="AG118" s="426"/>
      <c r="AH118" s="428"/>
      <c r="AI118" s="426"/>
      <c r="AJ118" s="428"/>
      <c r="AK118" s="426"/>
      <c r="AL118" s="425"/>
      <c r="AM118" s="425"/>
      <c r="AN118" s="427"/>
      <c r="AO118" s="426"/>
      <c r="AP118" s="425"/>
      <c r="AQ118" s="429"/>
      <c r="AR118" s="427"/>
      <c r="AS118" s="425"/>
      <c r="AT118" s="425"/>
      <c r="AU118" s="425"/>
      <c r="AV118" s="425"/>
      <c r="AW118" s="425"/>
      <c r="AX118" s="425"/>
      <c r="AY118" s="427"/>
      <c r="AZ118" s="425"/>
      <c r="BA118" s="427"/>
      <c r="BB118" s="425"/>
      <c r="BC118" s="427"/>
      <c r="BD118" s="425"/>
      <c r="BE118" s="427"/>
      <c r="BF118" s="427"/>
      <c r="BG118" s="427"/>
      <c r="BH118" s="427"/>
      <c r="BI118" s="425"/>
      <c r="BJ118" s="425"/>
      <c r="BK118" s="425"/>
      <c r="BL118" s="426"/>
      <c r="BM118" s="425"/>
      <c r="BN118" s="426"/>
      <c r="BO118" s="426"/>
      <c r="BP118" s="426"/>
      <c r="BQ118" s="426"/>
      <c r="BR118" s="426"/>
      <c r="BS118" s="430"/>
      <c r="BT118" s="425"/>
      <c r="BU118" s="425"/>
      <c r="BV118" s="425"/>
      <c r="BW118" s="426"/>
      <c r="BX118" s="426"/>
      <c r="BY118" s="426"/>
      <c r="BZ118" s="426"/>
      <c r="CA118" s="427"/>
      <c r="CB118" s="427"/>
      <c r="CC118" s="426"/>
      <c r="CD118" s="425"/>
      <c r="CE118" s="425"/>
      <c r="CF118" s="427"/>
      <c r="CG118" s="427"/>
      <c r="CH118" s="427"/>
      <c r="CI118" s="427"/>
      <c r="CJ118" s="425"/>
      <c r="CK118" s="425"/>
      <c r="CL118" s="425"/>
      <c r="CM118" s="425"/>
      <c r="CN118" s="425"/>
      <c r="CO118" s="425"/>
      <c r="CP118" s="427"/>
      <c r="CQ118" s="425"/>
      <c r="CR118" s="427"/>
      <c r="CS118" s="425"/>
      <c r="CT118" s="427"/>
      <c r="CU118" s="425"/>
      <c r="CV118" s="425"/>
      <c r="CW118" s="427"/>
      <c r="CX118" s="425"/>
      <c r="CY118" s="427"/>
      <c r="CZ118" s="425"/>
      <c r="DA118" s="427"/>
      <c r="DB118" s="425"/>
      <c r="DC118" s="425"/>
      <c r="DD118" s="425"/>
      <c r="DE118" s="425"/>
      <c r="DF118" s="425"/>
    </row>
    <row r="119">
      <c r="A119" s="425"/>
      <c r="B119" s="425"/>
      <c r="C119" s="425"/>
      <c r="D119" s="425"/>
      <c r="E119" s="425"/>
      <c r="F119" s="425"/>
      <c r="G119" s="426"/>
      <c r="H119" s="426"/>
      <c r="I119" s="427"/>
      <c r="J119" s="427"/>
      <c r="K119" s="427"/>
      <c r="L119" s="427"/>
      <c r="M119" s="427"/>
      <c r="N119" s="427"/>
      <c r="O119" s="427"/>
      <c r="P119" s="427"/>
      <c r="Q119" s="426"/>
      <c r="R119" s="427"/>
      <c r="S119" s="426"/>
      <c r="T119" s="425"/>
      <c r="U119" s="425"/>
      <c r="V119" s="425"/>
      <c r="W119" s="425"/>
      <c r="X119" s="425"/>
      <c r="Y119" s="425"/>
      <c r="Z119" s="427"/>
      <c r="AA119" s="426"/>
      <c r="AB119" s="427"/>
      <c r="AC119" s="426"/>
      <c r="AD119" s="427"/>
      <c r="AE119" s="426"/>
      <c r="AF119" s="427"/>
      <c r="AG119" s="426"/>
      <c r="AH119" s="428"/>
      <c r="AI119" s="426"/>
      <c r="AJ119" s="428"/>
      <c r="AK119" s="426"/>
      <c r="AL119" s="425"/>
      <c r="AM119" s="425"/>
      <c r="AN119" s="427"/>
      <c r="AO119" s="426"/>
      <c r="AP119" s="425"/>
      <c r="AQ119" s="429"/>
      <c r="AR119" s="427"/>
      <c r="AS119" s="425"/>
      <c r="AT119" s="425"/>
      <c r="AU119" s="425"/>
      <c r="AV119" s="425"/>
      <c r="AW119" s="425"/>
      <c r="AX119" s="425"/>
      <c r="AY119" s="427"/>
      <c r="AZ119" s="425"/>
      <c r="BA119" s="427"/>
      <c r="BB119" s="425"/>
      <c r="BC119" s="427"/>
      <c r="BD119" s="425"/>
      <c r="BE119" s="427"/>
      <c r="BF119" s="427"/>
      <c r="BG119" s="427"/>
      <c r="BH119" s="427"/>
      <c r="BI119" s="425"/>
      <c r="BJ119" s="425"/>
      <c r="BK119" s="425"/>
      <c r="BL119" s="426"/>
      <c r="BM119" s="425"/>
      <c r="BN119" s="426"/>
      <c r="BO119" s="426"/>
      <c r="BP119" s="426"/>
      <c r="BQ119" s="426"/>
      <c r="BR119" s="426"/>
      <c r="BS119" s="430"/>
      <c r="BT119" s="425"/>
      <c r="BU119" s="425"/>
      <c r="BV119" s="425"/>
      <c r="BW119" s="426"/>
      <c r="BX119" s="426"/>
      <c r="BY119" s="426"/>
      <c r="BZ119" s="426"/>
      <c r="CA119" s="427"/>
      <c r="CB119" s="427"/>
      <c r="CC119" s="426"/>
      <c r="CD119" s="425"/>
      <c r="CE119" s="425"/>
      <c r="CF119" s="427"/>
      <c r="CG119" s="427"/>
      <c r="CH119" s="427"/>
      <c r="CI119" s="427"/>
      <c r="CJ119" s="425"/>
      <c r="CK119" s="425"/>
      <c r="CL119" s="425"/>
      <c r="CM119" s="425"/>
      <c r="CN119" s="425"/>
      <c r="CO119" s="425"/>
      <c r="CP119" s="427"/>
      <c r="CQ119" s="425"/>
      <c r="CR119" s="427"/>
      <c r="CS119" s="425"/>
      <c r="CT119" s="427"/>
      <c r="CU119" s="425"/>
      <c r="CV119" s="425"/>
      <c r="CW119" s="427"/>
      <c r="CX119" s="425"/>
      <c r="CY119" s="427"/>
      <c r="CZ119" s="425"/>
      <c r="DA119" s="427"/>
      <c r="DB119" s="425"/>
      <c r="DC119" s="425"/>
      <c r="DD119" s="425"/>
      <c r="DE119" s="425"/>
      <c r="DF119" s="425"/>
    </row>
    <row r="120">
      <c r="A120" s="425"/>
      <c r="B120" s="425"/>
      <c r="C120" s="425"/>
      <c r="D120" s="425"/>
      <c r="E120" s="425"/>
      <c r="F120" s="425"/>
      <c r="G120" s="426"/>
      <c r="H120" s="426"/>
      <c r="I120" s="427"/>
      <c r="J120" s="427"/>
      <c r="K120" s="427"/>
      <c r="L120" s="427"/>
      <c r="M120" s="427"/>
      <c r="N120" s="427"/>
      <c r="O120" s="427"/>
      <c r="P120" s="427"/>
      <c r="Q120" s="426"/>
      <c r="R120" s="427"/>
      <c r="S120" s="426"/>
      <c r="T120" s="425"/>
      <c r="U120" s="425"/>
      <c r="V120" s="425"/>
      <c r="W120" s="425"/>
      <c r="X120" s="425"/>
      <c r="Y120" s="425"/>
      <c r="Z120" s="427"/>
      <c r="AA120" s="426"/>
      <c r="AB120" s="427"/>
      <c r="AC120" s="426"/>
      <c r="AD120" s="427"/>
      <c r="AE120" s="426"/>
      <c r="AF120" s="427"/>
      <c r="AG120" s="426"/>
      <c r="AH120" s="428"/>
      <c r="AI120" s="426"/>
      <c r="AJ120" s="428"/>
      <c r="AK120" s="426"/>
      <c r="AL120" s="425"/>
      <c r="AM120" s="425"/>
      <c r="AN120" s="427"/>
      <c r="AO120" s="426"/>
      <c r="AP120" s="425"/>
      <c r="AQ120" s="429"/>
      <c r="AR120" s="427"/>
      <c r="AS120" s="425"/>
      <c r="AT120" s="425"/>
      <c r="AU120" s="425"/>
      <c r="AV120" s="425"/>
      <c r="AW120" s="425"/>
      <c r="AX120" s="425"/>
      <c r="AY120" s="427"/>
      <c r="AZ120" s="425"/>
      <c r="BA120" s="427"/>
      <c r="BB120" s="425"/>
      <c r="BC120" s="427"/>
      <c r="BD120" s="425"/>
      <c r="BE120" s="427"/>
      <c r="BF120" s="427"/>
      <c r="BG120" s="427"/>
      <c r="BH120" s="427"/>
      <c r="BI120" s="425"/>
      <c r="BJ120" s="425"/>
      <c r="BK120" s="425"/>
      <c r="BL120" s="426"/>
      <c r="BM120" s="425"/>
      <c r="BN120" s="426"/>
      <c r="BO120" s="426"/>
      <c r="BP120" s="426"/>
      <c r="BQ120" s="426"/>
      <c r="BR120" s="426"/>
      <c r="BS120" s="430"/>
      <c r="BT120" s="425"/>
      <c r="BU120" s="425"/>
      <c r="BV120" s="425"/>
      <c r="BW120" s="426"/>
      <c r="BX120" s="426"/>
      <c r="BY120" s="426"/>
      <c r="BZ120" s="426"/>
      <c r="CA120" s="427"/>
      <c r="CB120" s="427"/>
      <c r="CC120" s="426"/>
      <c r="CD120" s="425"/>
      <c r="CE120" s="425"/>
      <c r="CF120" s="427"/>
      <c r="CG120" s="427"/>
      <c r="CH120" s="427"/>
      <c r="CI120" s="427"/>
      <c r="CJ120" s="425"/>
      <c r="CK120" s="425"/>
      <c r="CL120" s="425"/>
      <c r="CM120" s="425"/>
      <c r="CN120" s="425"/>
      <c r="CO120" s="425"/>
      <c r="CP120" s="427"/>
      <c r="CQ120" s="425"/>
      <c r="CR120" s="427"/>
      <c r="CS120" s="425"/>
      <c r="CT120" s="427"/>
      <c r="CU120" s="425"/>
      <c r="CV120" s="425"/>
      <c r="CW120" s="427"/>
      <c r="CX120" s="425"/>
      <c r="CY120" s="427"/>
      <c r="CZ120" s="425"/>
      <c r="DA120" s="427"/>
      <c r="DB120" s="425"/>
      <c r="DC120" s="425"/>
      <c r="DD120" s="425"/>
      <c r="DE120" s="425"/>
      <c r="DF120" s="425"/>
    </row>
    <row r="121">
      <c r="A121" s="425"/>
      <c r="B121" s="425"/>
      <c r="C121" s="425"/>
      <c r="D121" s="425"/>
      <c r="E121" s="425"/>
      <c r="F121" s="425"/>
      <c r="G121" s="426"/>
      <c r="H121" s="426"/>
      <c r="I121" s="427"/>
      <c r="J121" s="427"/>
      <c r="K121" s="427"/>
      <c r="L121" s="427"/>
      <c r="M121" s="427"/>
      <c r="N121" s="427"/>
      <c r="O121" s="427"/>
      <c r="P121" s="427"/>
      <c r="Q121" s="426"/>
      <c r="R121" s="427"/>
      <c r="S121" s="426"/>
      <c r="T121" s="425"/>
      <c r="U121" s="425"/>
      <c r="V121" s="425"/>
      <c r="W121" s="425"/>
      <c r="X121" s="425"/>
      <c r="Y121" s="425"/>
      <c r="Z121" s="427"/>
      <c r="AA121" s="426"/>
      <c r="AB121" s="427"/>
      <c r="AC121" s="426"/>
      <c r="AD121" s="427"/>
      <c r="AE121" s="426"/>
      <c r="AF121" s="427"/>
      <c r="AG121" s="426"/>
      <c r="AH121" s="428"/>
      <c r="AI121" s="426"/>
      <c r="AJ121" s="428"/>
      <c r="AK121" s="426"/>
      <c r="AL121" s="425"/>
      <c r="AM121" s="425"/>
      <c r="AN121" s="427"/>
      <c r="AO121" s="426"/>
      <c r="AP121" s="425"/>
      <c r="AQ121" s="429"/>
      <c r="AR121" s="427"/>
      <c r="AS121" s="425"/>
      <c r="AT121" s="425"/>
      <c r="AU121" s="425"/>
      <c r="AV121" s="425"/>
      <c r="AW121" s="425"/>
      <c r="AX121" s="425"/>
      <c r="AY121" s="427"/>
      <c r="AZ121" s="425"/>
      <c r="BA121" s="427"/>
      <c r="BB121" s="425"/>
      <c r="BC121" s="427"/>
      <c r="BD121" s="425"/>
      <c r="BE121" s="427"/>
      <c r="BF121" s="427"/>
      <c r="BG121" s="427"/>
      <c r="BH121" s="427"/>
      <c r="BI121" s="425"/>
      <c r="BJ121" s="425"/>
      <c r="BK121" s="425"/>
      <c r="BL121" s="426"/>
      <c r="BM121" s="425"/>
      <c r="BN121" s="426"/>
      <c r="BO121" s="426"/>
      <c r="BP121" s="426"/>
      <c r="BQ121" s="426"/>
      <c r="BR121" s="426"/>
      <c r="BS121" s="430"/>
      <c r="BT121" s="425"/>
      <c r="BU121" s="425"/>
      <c r="BV121" s="425"/>
      <c r="BW121" s="426"/>
      <c r="BX121" s="426"/>
      <c r="BY121" s="426"/>
      <c r="BZ121" s="426"/>
      <c r="CA121" s="427"/>
      <c r="CB121" s="427"/>
      <c r="CC121" s="426"/>
      <c r="CD121" s="425"/>
      <c r="CE121" s="425"/>
      <c r="CF121" s="427"/>
      <c r="CG121" s="427"/>
      <c r="CH121" s="427"/>
      <c r="CI121" s="427"/>
      <c r="CJ121" s="425"/>
      <c r="CK121" s="425"/>
      <c r="CL121" s="425"/>
      <c r="CM121" s="425"/>
      <c r="CN121" s="425"/>
      <c r="CO121" s="425"/>
      <c r="CP121" s="427"/>
      <c r="CQ121" s="425"/>
      <c r="CR121" s="427"/>
      <c r="CS121" s="425"/>
      <c r="CT121" s="427"/>
      <c r="CU121" s="425"/>
      <c r="CV121" s="425"/>
      <c r="CW121" s="427"/>
      <c r="CX121" s="425"/>
      <c r="CY121" s="427"/>
      <c r="CZ121" s="425"/>
      <c r="DA121" s="427"/>
      <c r="DB121" s="425"/>
      <c r="DC121" s="425"/>
      <c r="DD121" s="425"/>
      <c r="DE121" s="425"/>
      <c r="DF121" s="425"/>
    </row>
    <row r="122">
      <c r="A122" s="425"/>
      <c r="B122" s="425"/>
      <c r="C122" s="425"/>
      <c r="D122" s="425"/>
      <c r="E122" s="425"/>
      <c r="F122" s="425"/>
      <c r="G122" s="426"/>
      <c r="H122" s="426"/>
      <c r="I122" s="427"/>
      <c r="J122" s="427"/>
      <c r="K122" s="427"/>
      <c r="L122" s="427"/>
      <c r="M122" s="427"/>
      <c r="N122" s="427"/>
      <c r="O122" s="427"/>
      <c r="P122" s="427"/>
      <c r="Q122" s="426"/>
      <c r="R122" s="427"/>
      <c r="S122" s="426"/>
      <c r="T122" s="425"/>
      <c r="U122" s="425"/>
      <c r="V122" s="425"/>
      <c r="W122" s="425"/>
      <c r="X122" s="425"/>
      <c r="Y122" s="425"/>
      <c r="Z122" s="427"/>
      <c r="AA122" s="426"/>
      <c r="AB122" s="427"/>
      <c r="AC122" s="426"/>
      <c r="AD122" s="427"/>
      <c r="AE122" s="426"/>
      <c r="AF122" s="427"/>
      <c r="AG122" s="426"/>
      <c r="AH122" s="428"/>
      <c r="AI122" s="426"/>
      <c r="AJ122" s="428"/>
      <c r="AK122" s="426"/>
      <c r="AL122" s="425"/>
      <c r="AM122" s="425"/>
      <c r="AN122" s="427"/>
      <c r="AO122" s="426"/>
      <c r="AP122" s="425"/>
      <c r="AQ122" s="429"/>
      <c r="AR122" s="427"/>
      <c r="AS122" s="425"/>
      <c r="AT122" s="425"/>
      <c r="AU122" s="425"/>
      <c r="AV122" s="425"/>
      <c r="AW122" s="425"/>
      <c r="AX122" s="425"/>
      <c r="AY122" s="427"/>
      <c r="AZ122" s="425"/>
      <c r="BA122" s="427"/>
      <c r="BB122" s="425"/>
      <c r="BC122" s="427"/>
      <c r="BD122" s="425"/>
      <c r="BE122" s="427"/>
      <c r="BF122" s="427"/>
      <c r="BG122" s="427"/>
      <c r="BH122" s="427"/>
      <c r="BI122" s="425"/>
      <c r="BJ122" s="425"/>
      <c r="BK122" s="425"/>
      <c r="BL122" s="426"/>
      <c r="BM122" s="425"/>
      <c r="BN122" s="426"/>
      <c r="BO122" s="426"/>
      <c r="BP122" s="426"/>
      <c r="BQ122" s="426"/>
      <c r="BR122" s="426"/>
      <c r="BS122" s="430"/>
      <c r="BT122" s="425"/>
      <c r="BU122" s="425"/>
      <c r="BV122" s="425"/>
      <c r="BW122" s="426"/>
      <c r="BX122" s="426"/>
      <c r="BY122" s="426"/>
      <c r="BZ122" s="426"/>
      <c r="CA122" s="427"/>
      <c r="CB122" s="427"/>
      <c r="CC122" s="426"/>
      <c r="CD122" s="425"/>
      <c r="CE122" s="425"/>
      <c r="CF122" s="427"/>
      <c r="CG122" s="427"/>
      <c r="CH122" s="427"/>
      <c r="CI122" s="427"/>
      <c r="CJ122" s="425"/>
      <c r="CK122" s="425"/>
      <c r="CL122" s="425"/>
      <c r="CM122" s="425"/>
      <c r="CN122" s="425"/>
      <c r="CO122" s="425"/>
      <c r="CP122" s="427"/>
      <c r="CQ122" s="425"/>
      <c r="CR122" s="427"/>
      <c r="CS122" s="425"/>
      <c r="CT122" s="427"/>
      <c r="CU122" s="425"/>
      <c r="CV122" s="425"/>
      <c r="CW122" s="427"/>
      <c r="CX122" s="425"/>
      <c r="CY122" s="427"/>
      <c r="CZ122" s="425"/>
      <c r="DA122" s="427"/>
      <c r="DB122" s="425"/>
      <c r="DC122" s="425"/>
      <c r="DD122" s="425"/>
      <c r="DE122" s="425"/>
      <c r="DF122" s="425"/>
    </row>
    <row r="123">
      <c r="A123" s="425"/>
      <c r="B123" s="425"/>
      <c r="C123" s="425"/>
      <c r="D123" s="425"/>
      <c r="E123" s="425"/>
      <c r="F123" s="425"/>
      <c r="G123" s="426"/>
      <c r="H123" s="426"/>
      <c r="I123" s="427"/>
      <c r="J123" s="427"/>
      <c r="K123" s="427"/>
      <c r="L123" s="427"/>
      <c r="M123" s="427"/>
      <c r="N123" s="427"/>
      <c r="O123" s="427"/>
      <c r="P123" s="427"/>
      <c r="Q123" s="426"/>
      <c r="R123" s="427"/>
      <c r="S123" s="426"/>
      <c r="T123" s="425"/>
      <c r="U123" s="425"/>
      <c r="V123" s="425"/>
      <c r="W123" s="425"/>
      <c r="X123" s="425"/>
      <c r="Y123" s="425"/>
      <c r="Z123" s="427"/>
      <c r="AA123" s="426"/>
      <c r="AB123" s="427"/>
      <c r="AC123" s="426"/>
      <c r="AD123" s="427"/>
      <c r="AE123" s="426"/>
      <c r="AF123" s="427"/>
      <c r="AG123" s="426"/>
      <c r="AH123" s="428"/>
      <c r="AI123" s="426"/>
      <c r="AJ123" s="428"/>
      <c r="AK123" s="426"/>
      <c r="AL123" s="425"/>
      <c r="AM123" s="425"/>
      <c r="AN123" s="427"/>
      <c r="AO123" s="426"/>
      <c r="AP123" s="425"/>
      <c r="AQ123" s="429"/>
      <c r="AR123" s="427"/>
      <c r="AS123" s="425"/>
      <c r="AT123" s="425"/>
      <c r="AU123" s="425"/>
      <c r="AV123" s="425"/>
      <c r="AW123" s="425"/>
      <c r="AX123" s="425"/>
      <c r="AY123" s="427"/>
      <c r="AZ123" s="425"/>
      <c r="BA123" s="427"/>
      <c r="BB123" s="425"/>
      <c r="BC123" s="427"/>
      <c r="BD123" s="425"/>
      <c r="BE123" s="427"/>
      <c r="BF123" s="427"/>
      <c r="BG123" s="427"/>
      <c r="BH123" s="427"/>
      <c r="BI123" s="425"/>
      <c r="BJ123" s="425"/>
      <c r="BK123" s="425"/>
      <c r="BL123" s="426"/>
      <c r="BM123" s="425"/>
      <c r="BN123" s="426"/>
      <c r="BO123" s="426"/>
      <c r="BP123" s="426"/>
      <c r="BQ123" s="426"/>
      <c r="BR123" s="426"/>
      <c r="BS123" s="430"/>
      <c r="BT123" s="425"/>
      <c r="BU123" s="425"/>
      <c r="BV123" s="425"/>
      <c r="BW123" s="426"/>
      <c r="BX123" s="426"/>
      <c r="BY123" s="426"/>
      <c r="BZ123" s="426"/>
      <c r="CA123" s="427"/>
      <c r="CB123" s="427"/>
      <c r="CC123" s="426"/>
      <c r="CD123" s="425"/>
      <c r="CE123" s="425"/>
      <c r="CF123" s="427"/>
      <c r="CG123" s="427"/>
      <c r="CH123" s="427"/>
      <c r="CI123" s="427"/>
      <c r="CJ123" s="425"/>
      <c r="CK123" s="425"/>
      <c r="CL123" s="425"/>
      <c r="CM123" s="425"/>
      <c r="CN123" s="425"/>
      <c r="CO123" s="425"/>
      <c r="CP123" s="427"/>
      <c r="CQ123" s="425"/>
      <c r="CR123" s="427"/>
      <c r="CS123" s="425"/>
      <c r="CT123" s="427"/>
      <c r="CU123" s="425"/>
      <c r="CV123" s="425"/>
      <c r="CW123" s="427"/>
      <c r="CX123" s="425"/>
      <c r="CY123" s="427"/>
      <c r="CZ123" s="425"/>
      <c r="DA123" s="427"/>
      <c r="DB123" s="425"/>
      <c r="DC123" s="425"/>
      <c r="DD123" s="425"/>
      <c r="DE123" s="425"/>
      <c r="DF123" s="425"/>
    </row>
    <row r="124">
      <c r="A124" s="425"/>
      <c r="B124" s="425"/>
      <c r="C124" s="425"/>
      <c r="D124" s="425"/>
      <c r="E124" s="425"/>
      <c r="F124" s="425"/>
      <c r="G124" s="426"/>
      <c r="H124" s="426"/>
      <c r="I124" s="427"/>
      <c r="J124" s="427"/>
      <c r="K124" s="427"/>
      <c r="L124" s="427"/>
      <c r="M124" s="427"/>
      <c r="N124" s="427"/>
      <c r="O124" s="427"/>
      <c r="P124" s="427"/>
      <c r="Q124" s="426"/>
      <c r="R124" s="427"/>
      <c r="S124" s="426"/>
      <c r="T124" s="425"/>
      <c r="U124" s="425"/>
      <c r="V124" s="425"/>
      <c r="W124" s="425"/>
      <c r="X124" s="425"/>
      <c r="Y124" s="425"/>
      <c r="Z124" s="427"/>
      <c r="AA124" s="426"/>
      <c r="AB124" s="427"/>
      <c r="AC124" s="426"/>
      <c r="AD124" s="427"/>
      <c r="AE124" s="426"/>
      <c r="AF124" s="427"/>
      <c r="AG124" s="426"/>
      <c r="AH124" s="428"/>
      <c r="AI124" s="426"/>
      <c r="AJ124" s="428"/>
      <c r="AK124" s="426"/>
      <c r="AL124" s="425"/>
      <c r="AM124" s="425"/>
      <c r="AN124" s="427"/>
      <c r="AO124" s="426"/>
      <c r="AP124" s="425"/>
      <c r="AQ124" s="429"/>
      <c r="AR124" s="427"/>
      <c r="AS124" s="425"/>
      <c r="AT124" s="425"/>
      <c r="AU124" s="425"/>
      <c r="AV124" s="425"/>
      <c r="AW124" s="425"/>
      <c r="AX124" s="425"/>
      <c r="AY124" s="427"/>
      <c r="AZ124" s="425"/>
      <c r="BA124" s="427"/>
      <c r="BB124" s="425"/>
      <c r="BC124" s="427"/>
      <c r="BD124" s="425"/>
      <c r="BE124" s="427"/>
      <c r="BF124" s="427"/>
      <c r="BG124" s="427"/>
      <c r="BH124" s="427"/>
      <c r="BI124" s="425"/>
      <c r="BJ124" s="425"/>
      <c r="BK124" s="425"/>
      <c r="BL124" s="426"/>
      <c r="BM124" s="425"/>
      <c r="BN124" s="426"/>
      <c r="BO124" s="426"/>
      <c r="BP124" s="426"/>
      <c r="BQ124" s="426"/>
      <c r="BR124" s="426"/>
      <c r="BS124" s="430"/>
      <c r="BT124" s="425"/>
      <c r="BU124" s="425"/>
      <c r="BV124" s="425"/>
      <c r="BW124" s="426"/>
      <c r="BX124" s="426"/>
      <c r="BY124" s="426"/>
      <c r="BZ124" s="426"/>
      <c r="CA124" s="427"/>
      <c r="CB124" s="427"/>
      <c r="CC124" s="426"/>
      <c r="CD124" s="425"/>
      <c r="CE124" s="425"/>
      <c r="CF124" s="427"/>
      <c r="CG124" s="427"/>
      <c r="CH124" s="427"/>
      <c r="CI124" s="427"/>
      <c r="CJ124" s="425"/>
      <c r="CK124" s="425"/>
      <c r="CL124" s="425"/>
      <c r="CM124" s="425"/>
      <c r="CN124" s="425"/>
      <c r="CO124" s="425"/>
      <c r="CP124" s="427"/>
      <c r="CQ124" s="425"/>
      <c r="CR124" s="427"/>
      <c r="CS124" s="425"/>
      <c r="CT124" s="427"/>
      <c r="CU124" s="425"/>
      <c r="CV124" s="425"/>
      <c r="CW124" s="427"/>
      <c r="CX124" s="425"/>
      <c r="CY124" s="427"/>
      <c r="CZ124" s="425"/>
      <c r="DA124" s="427"/>
      <c r="DB124" s="425"/>
      <c r="DC124" s="425"/>
      <c r="DD124" s="425"/>
      <c r="DE124" s="425"/>
      <c r="DF124" s="425"/>
    </row>
    <row r="125">
      <c r="A125" s="425"/>
      <c r="B125" s="425"/>
      <c r="C125" s="425"/>
      <c r="D125" s="425"/>
      <c r="E125" s="425"/>
      <c r="F125" s="425"/>
      <c r="G125" s="426"/>
      <c r="H125" s="426"/>
      <c r="I125" s="427"/>
      <c r="J125" s="427"/>
      <c r="K125" s="427"/>
      <c r="L125" s="427"/>
      <c r="M125" s="427"/>
      <c r="N125" s="427"/>
      <c r="O125" s="427"/>
      <c r="P125" s="427"/>
      <c r="Q125" s="426"/>
      <c r="R125" s="427"/>
      <c r="S125" s="426"/>
      <c r="T125" s="425"/>
      <c r="U125" s="425"/>
      <c r="V125" s="425"/>
      <c r="W125" s="425"/>
      <c r="X125" s="425"/>
      <c r="Y125" s="425"/>
      <c r="Z125" s="427"/>
      <c r="AA125" s="426"/>
      <c r="AB125" s="427"/>
      <c r="AC125" s="426"/>
      <c r="AD125" s="427"/>
      <c r="AE125" s="426"/>
      <c r="AF125" s="427"/>
      <c r="AG125" s="426"/>
      <c r="AH125" s="428"/>
      <c r="AI125" s="426"/>
      <c r="AJ125" s="428"/>
      <c r="AK125" s="426"/>
      <c r="AL125" s="425"/>
      <c r="AM125" s="425"/>
      <c r="AN125" s="427"/>
      <c r="AO125" s="426"/>
      <c r="AP125" s="425"/>
      <c r="AQ125" s="429"/>
      <c r="AR125" s="427"/>
      <c r="AS125" s="425"/>
      <c r="AT125" s="425"/>
      <c r="AU125" s="425"/>
      <c r="AV125" s="425"/>
      <c r="AW125" s="425"/>
      <c r="AX125" s="425"/>
      <c r="AY125" s="427"/>
      <c r="AZ125" s="425"/>
      <c r="BA125" s="427"/>
      <c r="BB125" s="425"/>
      <c r="BC125" s="427"/>
      <c r="BD125" s="425"/>
      <c r="BE125" s="427"/>
      <c r="BF125" s="427"/>
      <c r="BG125" s="427"/>
      <c r="BH125" s="427"/>
      <c r="BI125" s="425"/>
      <c r="BJ125" s="425"/>
      <c r="BK125" s="425"/>
      <c r="BL125" s="426"/>
      <c r="BM125" s="425"/>
      <c r="BN125" s="426"/>
      <c r="BO125" s="426"/>
      <c r="BP125" s="426"/>
      <c r="BQ125" s="426"/>
      <c r="BR125" s="426"/>
      <c r="BS125" s="430"/>
      <c r="BT125" s="425"/>
      <c r="BU125" s="425"/>
      <c r="BV125" s="425"/>
      <c r="BW125" s="426"/>
      <c r="BX125" s="426"/>
      <c r="BY125" s="426"/>
      <c r="BZ125" s="426"/>
      <c r="CA125" s="427"/>
      <c r="CB125" s="427"/>
      <c r="CC125" s="426"/>
      <c r="CD125" s="425"/>
      <c r="CE125" s="425"/>
      <c r="CF125" s="427"/>
      <c r="CG125" s="427"/>
      <c r="CH125" s="427"/>
      <c r="CI125" s="427"/>
      <c r="CJ125" s="425"/>
      <c r="CK125" s="425"/>
      <c r="CL125" s="425"/>
      <c r="CM125" s="425"/>
      <c r="CN125" s="425"/>
      <c r="CO125" s="425"/>
      <c r="CP125" s="427"/>
      <c r="CQ125" s="425"/>
      <c r="CR125" s="427"/>
      <c r="CS125" s="425"/>
      <c r="CT125" s="427"/>
      <c r="CU125" s="425"/>
      <c r="CV125" s="425"/>
      <c r="CW125" s="427"/>
      <c r="CX125" s="425"/>
      <c r="CY125" s="427"/>
      <c r="CZ125" s="425"/>
      <c r="DA125" s="427"/>
      <c r="DB125" s="425"/>
      <c r="DC125" s="425"/>
      <c r="DD125" s="425"/>
      <c r="DE125" s="425"/>
      <c r="DF125" s="425"/>
    </row>
    <row r="126">
      <c r="A126" s="425"/>
      <c r="B126" s="425"/>
      <c r="C126" s="425"/>
      <c r="D126" s="425"/>
      <c r="E126" s="425"/>
      <c r="F126" s="425"/>
      <c r="G126" s="426"/>
      <c r="H126" s="426"/>
      <c r="I126" s="427"/>
      <c r="J126" s="427"/>
      <c r="K126" s="427"/>
      <c r="L126" s="427"/>
      <c r="M126" s="427"/>
      <c r="N126" s="427"/>
      <c r="O126" s="427"/>
      <c r="P126" s="427"/>
      <c r="Q126" s="426"/>
      <c r="R126" s="427"/>
      <c r="S126" s="426"/>
      <c r="T126" s="425"/>
      <c r="U126" s="425"/>
      <c r="V126" s="425"/>
      <c r="W126" s="425"/>
      <c r="X126" s="425"/>
      <c r="Y126" s="425"/>
      <c r="Z126" s="427"/>
      <c r="AA126" s="426"/>
      <c r="AB126" s="427"/>
      <c r="AC126" s="426"/>
      <c r="AD126" s="427"/>
      <c r="AE126" s="426"/>
      <c r="AF126" s="427"/>
      <c r="AG126" s="426"/>
      <c r="AH126" s="428"/>
      <c r="AI126" s="426"/>
      <c r="AJ126" s="428"/>
      <c r="AK126" s="426"/>
      <c r="AL126" s="425"/>
      <c r="AM126" s="425"/>
      <c r="AN126" s="427"/>
      <c r="AO126" s="426"/>
      <c r="AP126" s="425"/>
      <c r="AQ126" s="429"/>
      <c r="AR126" s="427"/>
      <c r="AS126" s="425"/>
      <c r="AT126" s="425"/>
      <c r="AU126" s="425"/>
      <c r="AV126" s="425"/>
      <c r="AW126" s="425"/>
      <c r="AX126" s="425"/>
      <c r="AY126" s="427"/>
      <c r="AZ126" s="425"/>
      <c r="BA126" s="427"/>
      <c r="BB126" s="425"/>
      <c r="BC126" s="427"/>
      <c r="BD126" s="425"/>
      <c r="BE126" s="427"/>
      <c r="BF126" s="427"/>
      <c r="BG126" s="427"/>
      <c r="BH126" s="427"/>
      <c r="BI126" s="425"/>
      <c r="BJ126" s="425"/>
      <c r="BK126" s="425"/>
      <c r="BL126" s="426"/>
      <c r="BM126" s="425"/>
      <c r="BN126" s="426"/>
      <c r="BO126" s="426"/>
      <c r="BP126" s="426"/>
      <c r="BQ126" s="426"/>
      <c r="BR126" s="426"/>
      <c r="BS126" s="430"/>
      <c r="BT126" s="425"/>
      <c r="BU126" s="425"/>
      <c r="BV126" s="425"/>
      <c r="BW126" s="426"/>
      <c r="BX126" s="426"/>
      <c r="BY126" s="426"/>
      <c r="BZ126" s="426"/>
      <c r="CA126" s="427"/>
      <c r="CB126" s="427"/>
      <c r="CC126" s="426"/>
      <c r="CD126" s="425"/>
      <c r="CE126" s="425"/>
      <c r="CF126" s="427"/>
      <c r="CG126" s="427"/>
      <c r="CH126" s="427"/>
      <c r="CI126" s="427"/>
      <c r="CJ126" s="425"/>
      <c r="CK126" s="425"/>
      <c r="CL126" s="425"/>
      <c r="CM126" s="425"/>
      <c r="CN126" s="425"/>
      <c r="CO126" s="425"/>
      <c r="CP126" s="427"/>
      <c r="CQ126" s="425"/>
      <c r="CR126" s="427"/>
      <c r="CS126" s="425"/>
      <c r="CT126" s="427"/>
      <c r="CU126" s="425"/>
      <c r="CV126" s="425"/>
      <c r="CW126" s="427"/>
      <c r="CX126" s="425"/>
      <c r="CY126" s="427"/>
      <c r="CZ126" s="425"/>
      <c r="DA126" s="427"/>
      <c r="DB126" s="425"/>
      <c r="DC126" s="425"/>
      <c r="DD126" s="425"/>
      <c r="DE126" s="425"/>
      <c r="DF126" s="425"/>
    </row>
    <row r="127">
      <c r="A127" s="425"/>
      <c r="B127" s="425"/>
      <c r="C127" s="425"/>
      <c r="D127" s="425"/>
      <c r="E127" s="425"/>
      <c r="F127" s="425"/>
      <c r="G127" s="426"/>
      <c r="H127" s="426"/>
      <c r="I127" s="427"/>
      <c r="J127" s="427"/>
      <c r="K127" s="427"/>
      <c r="L127" s="427"/>
      <c r="M127" s="427"/>
      <c r="N127" s="427"/>
      <c r="O127" s="427"/>
      <c r="P127" s="427"/>
      <c r="Q127" s="426"/>
      <c r="R127" s="427"/>
      <c r="S127" s="426"/>
      <c r="T127" s="425"/>
      <c r="U127" s="425"/>
      <c r="V127" s="425"/>
      <c r="W127" s="425"/>
      <c r="X127" s="425"/>
      <c r="Y127" s="425"/>
      <c r="Z127" s="427"/>
      <c r="AA127" s="426"/>
      <c r="AB127" s="427"/>
      <c r="AC127" s="426"/>
      <c r="AD127" s="427"/>
      <c r="AE127" s="426"/>
      <c r="AF127" s="427"/>
      <c r="AG127" s="426"/>
      <c r="AH127" s="428"/>
      <c r="AI127" s="426"/>
      <c r="AJ127" s="428"/>
      <c r="AK127" s="426"/>
      <c r="AL127" s="425"/>
      <c r="AM127" s="425"/>
      <c r="AN127" s="427"/>
      <c r="AO127" s="426"/>
      <c r="AP127" s="425"/>
      <c r="AQ127" s="429"/>
      <c r="AR127" s="427"/>
      <c r="AS127" s="425"/>
      <c r="AT127" s="425"/>
      <c r="AU127" s="425"/>
      <c r="AV127" s="425"/>
      <c r="AW127" s="425"/>
      <c r="AX127" s="425"/>
      <c r="AY127" s="427"/>
      <c r="AZ127" s="425"/>
      <c r="BA127" s="427"/>
      <c r="BB127" s="425"/>
      <c r="BC127" s="427"/>
      <c r="BD127" s="425"/>
      <c r="BE127" s="427"/>
      <c r="BF127" s="427"/>
      <c r="BG127" s="427"/>
      <c r="BH127" s="427"/>
      <c r="BI127" s="425"/>
      <c r="BJ127" s="425"/>
      <c r="BK127" s="425"/>
      <c r="BL127" s="426"/>
      <c r="BM127" s="425"/>
      <c r="BN127" s="426"/>
      <c r="BO127" s="426"/>
      <c r="BP127" s="426"/>
      <c r="BQ127" s="426"/>
      <c r="BR127" s="426"/>
      <c r="BS127" s="430"/>
      <c r="BT127" s="425"/>
      <c r="BU127" s="425"/>
      <c r="BV127" s="425"/>
      <c r="BW127" s="426"/>
      <c r="BX127" s="426"/>
      <c r="BY127" s="426"/>
      <c r="BZ127" s="426"/>
      <c r="CA127" s="427"/>
      <c r="CB127" s="427"/>
      <c r="CC127" s="426"/>
      <c r="CD127" s="425"/>
      <c r="CE127" s="425"/>
      <c r="CF127" s="427"/>
      <c r="CG127" s="427"/>
      <c r="CH127" s="427"/>
      <c r="CI127" s="427"/>
      <c r="CJ127" s="425"/>
      <c r="CK127" s="425"/>
      <c r="CL127" s="425"/>
      <c r="CM127" s="425"/>
      <c r="CN127" s="425"/>
      <c r="CO127" s="425"/>
      <c r="CP127" s="427"/>
      <c r="CQ127" s="425"/>
      <c r="CR127" s="427"/>
      <c r="CS127" s="425"/>
      <c r="CT127" s="427"/>
      <c r="CU127" s="425"/>
      <c r="CV127" s="425"/>
      <c r="CW127" s="427"/>
      <c r="CX127" s="425"/>
      <c r="CY127" s="427"/>
      <c r="CZ127" s="425"/>
      <c r="DA127" s="427"/>
      <c r="DB127" s="425"/>
      <c r="DC127" s="425"/>
      <c r="DD127" s="425"/>
      <c r="DE127" s="425"/>
      <c r="DF127" s="425"/>
    </row>
    <row r="128">
      <c r="A128" s="425"/>
      <c r="B128" s="425"/>
      <c r="C128" s="425"/>
      <c r="D128" s="425"/>
      <c r="E128" s="425"/>
      <c r="F128" s="425"/>
      <c r="G128" s="426"/>
      <c r="H128" s="426"/>
      <c r="I128" s="427"/>
      <c r="J128" s="427"/>
      <c r="K128" s="427"/>
      <c r="L128" s="427"/>
      <c r="M128" s="427"/>
      <c r="N128" s="427"/>
      <c r="O128" s="427"/>
      <c r="P128" s="427"/>
      <c r="Q128" s="426"/>
      <c r="R128" s="427"/>
      <c r="S128" s="426"/>
      <c r="T128" s="425"/>
      <c r="U128" s="425"/>
      <c r="V128" s="425"/>
      <c r="W128" s="425"/>
      <c r="X128" s="425"/>
      <c r="Y128" s="425"/>
      <c r="Z128" s="427"/>
      <c r="AA128" s="426"/>
      <c r="AB128" s="427"/>
      <c r="AC128" s="426"/>
      <c r="AD128" s="427"/>
      <c r="AE128" s="426"/>
      <c r="AF128" s="427"/>
      <c r="AG128" s="426"/>
      <c r="AH128" s="428"/>
      <c r="AI128" s="426"/>
      <c r="AJ128" s="428"/>
      <c r="AK128" s="426"/>
      <c r="AL128" s="425"/>
      <c r="AM128" s="425"/>
      <c r="AN128" s="427"/>
      <c r="AO128" s="426"/>
      <c r="AP128" s="425"/>
      <c r="AQ128" s="429"/>
      <c r="AR128" s="427"/>
      <c r="AS128" s="425"/>
      <c r="AT128" s="425"/>
      <c r="AU128" s="425"/>
      <c r="AV128" s="425"/>
      <c r="AW128" s="425"/>
      <c r="AX128" s="425"/>
      <c r="AY128" s="427"/>
      <c r="AZ128" s="425"/>
      <c r="BA128" s="427"/>
      <c r="BB128" s="425"/>
      <c r="BC128" s="427"/>
      <c r="BD128" s="425"/>
      <c r="BE128" s="427"/>
      <c r="BF128" s="427"/>
      <c r="BG128" s="427"/>
      <c r="BH128" s="427"/>
      <c r="BI128" s="425"/>
      <c r="BJ128" s="425"/>
      <c r="BK128" s="425"/>
      <c r="BL128" s="426"/>
      <c r="BM128" s="425"/>
      <c r="BN128" s="426"/>
      <c r="BO128" s="426"/>
      <c r="BP128" s="426"/>
      <c r="BQ128" s="426"/>
      <c r="BR128" s="426"/>
      <c r="BS128" s="430"/>
      <c r="BT128" s="425"/>
      <c r="BU128" s="425"/>
      <c r="BV128" s="425"/>
      <c r="BW128" s="426"/>
      <c r="BX128" s="426"/>
      <c r="BY128" s="426"/>
      <c r="BZ128" s="426"/>
      <c r="CA128" s="427"/>
      <c r="CB128" s="427"/>
      <c r="CC128" s="426"/>
      <c r="CD128" s="425"/>
      <c r="CE128" s="425"/>
      <c r="CF128" s="427"/>
      <c r="CG128" s="427"/>
      <c r="CH128" s="427"/>
      <c r="CI128" s="427"/>
      <c r="CJ128" s="425"/>
      <c r="CK128" s="425"/>
      <c r="CL128" s="425"/>
      <c r="CM128" s="425"/>
      <c r="CN128" s="425"/>
      <c r="CO128" s="425"/>
      <c r="CP128" s="427"/>
      <c r="CQ128" s="425"/>
      <c r="CR128" s="427"/>
      <c r="CS128" s="425"/>
      <c r="CT128" s="427"/>
      <c r="CU128" s="425"/>
      <c r="CV128" s="425"/>
      <c r="CW128" s="427"/>
      <c r="CX128" s="425"/>
      <c r="CY128" s="427"/>
      <c r="CZ128" s="425"/>
      <c r="DA128" s="427"/>
      <c r="DB128" s="425"/>
      <c r="DC128" s="425"/>
      <c r="DD128" s="425"/>
      <c r="DE128" s="425"/>
      <c r="DF128" s="425"/>
    </row>
    <row r="129">
      <c r="A129" s="425"/>
      <c r="B129" s="425"/>
      <c r="C129" s="425"/>
      <c r="D129" s="425"/>
      <c r="E129" s="425"/>
      <c r="F129" s="425"/>
      <c r="G129" s="426"/>
      <c r="H129" s="426"/>
      <c r="I129" s="427"/>
      <c r="J129" s="427"/>
      <c r="K129" s="427"/>
      <c r="L129" s="427"/>
      <c r="M129" s="427"/>
      <c r="N129" s="427"/>
      <c r="O129" s="427"/>
      <c r="P129" s="427"/>
      <c r="Q129" s="426"/>
      <c r="R129" s="427"/>
      <c r="S129" s="426"/>
      <c r="T129" s="425"/>
      <c r="U129" s="425"/>
      <c r="V129" s="425"/>
      <c r="W129" s="425"/>
      <c r="X129" s="425"/>
      <c r="Y129" s="425"/>
      <c r="Z129" s="427"/>
      <c r="AA129" s="426"/>
      <c r="AB129" s="427"/>
      <c r="AC129" s="426"/>
      <c r="AD129" s="427"/>
      <c r="AE129" s="426"/>
      <c r="AF129" s="427"/>
      <c r="AG129" s="426"/>
      <c r="AH129" s="428"/>
      <c r="AI129" s="426"/>
      <c r="AJ129" s="428"/>
      <c r="AK129" s="426"/>
      <c r="AL129" s="425"/>
      <c r="AM129" s="425"/>
      <c r="AN129" s="427"/>
      <c r="AO129" s="426"/>
      <c r="AP129" s="425"/>
      <c r="AQ129" s="429"/>
      <c r="AR129" s="427"/>
      <c r="AS129" s="425"/>
      <c r="AT129" s="425"/>
      <c r="AU129" s="425"/>
      <c r="AV129" s="425"/>
      <c r="AW129" s="425"/>
      <c r="AX129" s="425"/>
      <c r="AY129" s="427"/>
      <c r="AZ129" s="425"/>
      <c r="BA129" s="427"/>
      <c r="BB129" s="425"/>
      <c r="BC129" s="427"/>
      <c r="BD129" s="425"/>
      <c r="BE129" s="427"/>
      <c r="BF129" s="427"/>
      <c r="BG129" s="427"/>
      <c r="BH129" s="427"/>
      <c r="BI129" s="425"/>
      <c r="BJ129" s="425"/>
      <c r="BK129" s="425"/>
      <c r="BL129" s="426"/>
      <c r="BM129" s="425"/>
      <c r="BN129" s="426"/>
      <c r="BO129" s="426"/>
      <c r="BP129" s="426"/>
      <c r="BQ129" s="426"/>
      <c r="BR129" s="426"/>
      <c r="BS129" s="430"/>
      <c r="BT129" s="425"/>
      <c r="BU129" s="425"/>
      <c r="BV129" s="425"/>
      <c r="BW129" s="426"/>
      <c r="BX129" s="426"/>
      <c r="BY129" s="426"/>
      <c r="BZ129" s="426"/>
      <c r="CA129" s="427"/>
      <c r="CB129" s="427"/>
      <c r="CC129" s="426"/>
      <c r="CD129" s="425"/>
      <c r="CE129" s="425"/>
      <c r="CF129" s="427"/>
      <c r="CG129" s="427"/>
      <c r="CH129" s="427"/>
      <c r="CI129" s="427"/>
      <c r="CJ129" s="425"/>
      <c r="CK129" s="425"/>
      <c r="CL129" s="425"/>
      <c r="CM129" s="425"/>
      <c r="CN129" s="425"/>
      <c r="CO129" s="425"/>
      <c r="CP129" s="427"/>
      <c r="CQ129" s="425"/>
      <c r="CR129" s="427"/>
      <c r="CS129" s="425"/>
      <c r="CT129" s="427"/>
      <c r="CU129" s="425"/>
      <c r="CV129" s="425"/>
      <c r="CW129" s="427"/>
      <c r="CX129" s="425"/>
      <c r="CY129" s="427"/>
      <c r="CZ129" s="425"/>
      <c r="DA129" s="427"/>
      <c r="DB129" s="425"/>
      <c r="DC129" s="425"/>
      <c r="DD129" s="425"/>
      <c r="DE129" s="425"/>
      <c r="DF129" s="425"/>
    </row>
    <row r="130">
      <c r="A130" s="425"/>
      <c r="B130" s="425"/>
      <c r="C130" s="425"/>
      <c r="D130" s="425"/>
      <c r="E130" s="425"/>
      <c r="F130" s="425"/>
      <c r="G130" s="426"/>
      <c r="H130" s="426"/>
      <c r="I130" s="427"/>
      <c r="J130" s="427"/>
      <c r="K130" s="427"/>
      <c r="L130" s="427"/>
      <c r="M130" s="427"/>
      <c r="N130" s="427"/>
      <c r="O130" s="427"/>
      <c r="P130" s="427"/>
      <c r="Q130" s="426"/>
      <c r="R130" s="427"/>
      <c r="S130" s="426"/>
      <c r="T130" s="425"/>
      <c r="U130" s="425"/>
      <c r="V130" s="425"/>
      <c r="W130" s="425"/>
      <c r="X130" s="425"/>
      <c r="Y130" s="425"/>
      <c r="Z130" s="427"/>
      <c r="AA130" s="426"/>
      <c r="AB130" s="427"/>
      <c r="AC130" s="426"/>
      <c r="AD130" s="427"/>
      <c r="AE130" s="426"/>
      <c r="AF130" s="427"/>
      <c r="AG130" s="426"/>
      <c r="AH130" s="428"/>
      <c r="AI130" s="426"/>
      <c r="AJ130" s="428"/>
      <c r="AK130" s="426"/>
      <c r="AL130" s="425"/>
      <c r="AM130" s="425"/>
      <c r="AN130" s="427"/>
      <c r="AO130" s="426"/>
      <c r="AP130" s="425"/>
      <c r="AQ130" s="429"/>
      <c r="AR130" s="427"/>
      <c r="AS130" s="425"/>
      <c r="AT130" s="425"/>
      <c r="AU130" s="425"/>
      <c r="AV130" s="425"/>
      <c r="AW130" s="425"/>
      <c r="AX130" s="425"/>
      <c r="AY130" s="427"/>
      <c r="AZ130" s="425"/>
      <c r="BA130" s="427"/>
      <c r="BB130" s="425"/>
      <c r="BC130" s="427"/>
      <c r="BD130" s="425"/>
      <c r="BE130" s="427"/>
      <c r="BF130" s="427"/>
      <c r="BG130" s="427"/>
      <c r="BH130" s="427"/>
      <c r="BI130" s="425"/>
      <c r="BJ130" s="425"/>
      <c r="BK130" s="425"/>
      <c r="BL130" s="426"/>
      <c r="BM130" s="425"/>
      <c r="BN130" s="426"/>
      <c r="BO130" s="426"/>
      <c r="BP130" s="426"/>
      <c r="BQ130" s="426"/>
      <c r="BR130" s="426"/>
      <c r="BS130" s="430"/>
      <c r="BT130" s="425"/>
      <c r="BU130" s="425"/>
      <c r="BV130" s="425"/>
      <c r="BW130" s="426"/>
      <c r="BX130" s="426"/>
      <c r="BY130" s="426"/>
      <c r="BZ130" s="426"/>
      <c r="CA130" s="427"/>
      <c r="CB130" s="427"/>
      <c r="CC130" s="426"/>
      <c r="CD130" s="425"/>
      <c r="CE130" s="425"/>
      <c r="CF130" s="427"/>
      <c r="CG130" s="427"/>
      <c r="CH130" s="427"/>
      <c r="CI130" s="427"/>
      <c r="CJ130" s="425"/>
      <c r="CK130" s="425"/>
      <c r="CL130" s="425"/>
      <c r="CM130" s="425"/>
      <c r="CN130" s="425"/>
      <c r="CO130" s="425"/>
      <c r="CP130" s="427"/>
      <c r="CQ130" s="425"/>
      <c r="CR130" s="427"/>
      <c r="CS130" s="425"/>
      <c r="CT130" s="427"/>
      <c r="CU130" s="425"/>
      <c r="CV130" s="425"/>
      <c r="CW130" s="427"/>
      <c r="CX130" s="425"/>
      <c r="CY130" s="427"/>
      <c r="CZ130" s="425"/>
      <c r="DA130" s="427"/>
      <c r="DB130" s="425"/>
      <c r="DC130" s="425"/>
      <c r="DD130" s="425"/>
      <c r="DE130" s="425"/>
      <c r="DF130" s="425"/>
    </row>
    <row r="131">
      <c r="A131" s="425"/>
      <c r="B131" s="425"/>
      <c r="C131" s="425"/>
      <c r="D131" s="425"/>
      <c r="E131" s="425"/>
      <c r="F131" s="425"/>
      <c r="G131" s="426"/>
      <c r="H131" s="426"/>
      <c r="I131" s="427"/>
      <c r="J131" s="427"/>
      <c r="K131" s="427"/>
      <c r="L131" s="427"/>
      <c r="M131" s="427"/>
      <c r="N131" s="427"/>
      <c r="O131" s="427"/>
      <c r="P131" s="427"/>
      <c r="Q131" s="426"/>
      <c r="R131" s="427"/>
      <c r="S131" s="426"/>
      <c r="T131" s="425"/>
      <c r="U131" s="425"/>
      <c r="V131" s="425"/>
      <c r="W131" s="425"/>
      <c r="X131" s="425"/>
      <c r="Y131" s="425"/>
      <c r="Z131" s="427"/>
      <c r="AA131" s="426"/>
      <c r="AB131" s="427"/>
      <c r="AC131" s="426"/>
      <c r="AD131" s="427"/>
      <c r="AE131" s="426"/>
      <c r="AF131" s="427"/>
      <c r="AG131" s="426"/>
      <c r="AH131" s="428"/>
      <c r="AI131" s="426"/>
      <c r="AJ131" s="428"/>
      <c r="AK131" s="426"/>
      <c r="AL131" s="425"/>
      <c r="AM131" s="425"/>
      <c r="AN131" s="427"/>
      <c r="AO131" s="426"/>
      <c r="AP131" s="425"/>
      <c r="AQ131" s="429"/>
      <c r="AR131" s="427"/>
      <c r="AS131" s="425"/>
      <c r="AT131" s="425"/>
      <c r="AU131" s="425"/>
      <c r="AV131" s="425"/>
      <c r="AW131" s="425"/>
      <c r="AX131" s="425"/>
      <c r="AY131" s="427"/>
      <c r="AZ131" s="425"/>
      <c r="BA131" s="427"/>
      <c r="BB131" s="425"/>
      <c r="BC131" s="427"/>
      <c r="BD131" s="425"/>
      <c r="BE131" s="427"/>
      <c r="BF131" s="427"/>
      <c r="BG131" s="427"/>
      <c r="BH131" s="427"/>
      <c r="BI131" s="425"/>
      <c r="BJ131" s="425"/>
      <c r="BK131" s="425"/>
      <c r="BL131" s="426"/>
      <c r="BM131" s="425"/>
      <c r="BN131" s="426"/>
      <c r="BO131" s="426"/>
      <c r="BP131" s="426"/>
      <c r="BQ131" s="426"/>
      <c r="BR131" s="426"/>
      <c r="BS131" s="430"/>
      <c r="BT131" s="425"/>
      <c r="BU131" s="425"/>
      <c r="BV131" s="425"/>
      <c r="BW131" s="426"/>
      <c r="BX131" s="426"/>
      <c r="BY131" s="426"/>
      <c r="BZ131" s="426"/>
      <c r="CA131" s="427"/>
      <c r="CB131" s="427"/>
      <c r="CC131" s="426"/>
      <c r="CD131" s="425"/>
      <c r="CE131" s="425"/>
      <c r="CF131" s="427"/>
      <c r="CG131" s="427"/>
      <c r="CH131" s="427"/>
      <c r="CI131" s="427"/>
      <c r="CJ131" s="425"/>
      <c r="CK131" s="425"/>
      <c r="CL131" s="425"/>
      <c r="CM131" s="425"/>
      <c r="CN131" s="425"/>
      <c r="CO131" s="425"/>
      <c r="CP131" s="427"/>
      <c r="CQ131" s="425"/>
      <c r="CR131" s="427"/>
      <c r="CS131" s="425"/>
      <c r="CT131" s="427"/>
      <c r="CU131" s="425"/>
      <c r="CV131" s="425"/>
      <c r="CW131" s="427"/>
      <c r="CX131" s="425"/>
      <c r="CY131" s="427"/>
      <c r="CZ131" s="425"/>
      <c r="DA131" s="427"/>
      <c r="DB131" s="425"/>
      <c r="DC131" s="425"/>
      <c r="DD131" s="425"/>
      <c r="DE131" s="425"/>
      <c r="DF131" s="425"/>
    </row>
    <row r="132">
      <c r="A132" s="425"/>
      <c r="B132" s="425"/>
      <c r="C132" s="425"/>
      <c r="D132" s="425"/>
      <c r="E132" s="425"/>
      <c r="F132" s="425"/>
      <c r="G132" s="426"/>
      <c r="H132" s="426"/>
      <c r="I132" s="427"/>
      <c r="J132" s="427"/>
      <c r="K132" s="427"/>
      <c r="L132" s="427"/>
      <c r="M132" s="427"/>
      <c r="N132" s="427"/>
      <c r="O132" s="427"/>
      <c r="P132" s="427"/>
      <c r="Q132" s="426"/>
      <c r="R132" s="427"/>
      <c r="S132" s="426"/>
      <c r="T132" s="425"/>
      <c r="U132" s="425"/>
      <c r="V132" s="425"/>
      <c r="W132" s="425"/>
      <c r="X132" s="425"/>
      <c r="Y132" s="425"/>
      <c r="Z132" s="427"/>
      <c r="AA132" s="426"/>
      <c r="AB132" s="427"/>
      <c r="AC132" s="426"/>
      <c r="AD132" s="427"/>
      <c r="AE132" s="426"/>
      <c r="AF132" s="427"/>
      <c r="AG132" s="426"/>
      <c r="AH132" s="428"/>
      <c r="AI132" s="426"/>
      <c r="AJ132" s="428"/>
      <c r="AK132" s="426"/>
      <c r="AL132" s="425"/>
      <c r="AM132" s="425"/>
      <c r="AN132" s="427"/>
      <c r="AO132" s="426"/>
      <c r="AP132" s="425"/>
      <c r="AQ132" s="429"/>
      <c r="AR132" s="427"/>
      <c r="AS132" s="425"/>
      <c r="AT132" s="425"/>
      <c r="AU132" s="425"/>
      <c r="AV132" s="425"/>
      <c r="AW132" s="425"/>
      <c r="AX132" s="425"/>
      <c r="AY132" s="427"/>
      <c r="AZ132" s="425"/>
      <c r="BA132" s="427"/>
      <c r="BB132" s="425"/>
      <c r="BC132" s="427"/>
      <c r="BD132" s="425"/>
      <c r="BE132" s="427"/>
      <c r="BF132" s="427"/>
      <c r="BG132" s="427"/>
      <c r="BH132" s="427"/>
      <c r="BI132" s="425"/>
      <c r="BJ132" s="425"/>
      <c r="BK132" s="425"/>
      <c r="BL132" s="426"/>
      <c r="BM132" s="425"/>
      <c r="BN132" s="426"/>
      <c r="BO132" s="426"/>
      <c r="BP132" s="426"/>
      <c r="BQ132" s="426"/>
      <c r="BR132" s="426"/>
      <c r="BS132" s="430"/>
      <c r="BT132" s="425"/>
      <c r="BU132" s="425"/>
      <c r="BV132" s="425"/>
      <c r="BW132" s="426"/>
      <c r="BX132" s="426"/>
      <c r="BY132" s="426"/>
      <c r="BZ132" s="426"/>
      <c r="CA132" s="427"/>
      <c r="CB132" s="427"/>
      <c r="CC132" s="426"/>
      <c r="CD132" s="425"/>
      <c r="CE132" s="425"/>
      <c r="CF132" s="427"/>
      <c r="CG132" s="427"/>
      <c r="CH132" s="427"/>
      <c r="CI132" s="427"/>
      <c r="CJ132" s="425"/>
      <c r="CK132" s="425"/>
      <c r="CL132" s="425"/>
      <c r="CM132" s="425"/>
      <c r="CN132" s="425"/>
      <c r="CO132" s="425"/>
      <c r="CP132" s="427"/>
      <c r="CQ132" s="425"/>
      <c r="CR132" s="427"/>
      <c r="CS132" s="425"/>
      <c r="CT132" s="427"/>
      <c r="CU132" s="425"/>
      <c r="CV132" s="425"/>
      <c r="CW132" s="427"/>
      <c r="CX132" s="425"/>
      <c r="CY132" s="427"/>
      <c r="CZ132" s="425"/>
      <c r="DA132" s="427"/>
      <c r="DB132" s="425"/>
      <c r="DC132" s="425"/>
      <c r="DD132" s="425"/>
      <c r="DE132" s="425"/>
      <c r="DF132" s="425"/>
    </row>
    <row r="133">
      <c r="A133" s="425"/>
      <c r="B133" s="425"/>
      <c r="C133" s="425"/>
      <c r="D133" s="425"/>
      <c r="E133" s="425"/>
      <c r="F133" s="425"/>
      <c r="G133" s="426"/>
      <c r="H133" s="426"/>
      <c r="I133" s="427"/>
      <c r="J133" s="427"/>
      <c r="K133" s="427"/>
      <c r="L133" s="427"/>
      <c r="M133" s="427"/>
      <c r="N133" s="427"/>
      <c r="O133" s="427"/>
      <c r="P133" s="427"/>
      <c r="Q133" s="426"/>
      <c r="R133" s="427"/>
      <c r="S133" s="426"/>
      <c r="T133" s="425"/>
      <c r="U133" s="425"/>
      <c r="V133" s="425"/>
      <c r="W133" s="425"/>
      <c r="X133" s="425"/>
      <c r="Y133" s="425"/>
      <c r="Z133" s="427"/>
      <c r="AA133" s="426"/>
      <c r="AB133" s="427"/>
      <c r="AC133" s="426"/>
      <c r="AD133" s="427"/>
      <c r="AE133" s="426"/>
      <c r="AF133" s="427"/>
      <c r="AG133" s="426"/>
      <c r="AH133" s="428"/>
      <c r="AI133" s="426"/>
      <c r="AJ133" s="428"/>
      <c r="AK133" s="426"/>
      <c r="AL133" s="425"/>
      <c r="AM133" s="425"/>
      <c r="AN133" s="427"/>
      <c r="AO133" s="426"/>
      <c r="AP133" s="425"/>
      <c r="AQ133" s="429"/>
      <c r="AR133" s="427"/>
      <c r="AS133" s="425"/>
      <c r="AT133" s="425"/>
      <c r="AU133" s="425"/>
      <c r="AV133" s="425"/>
      <c r="AW133" s="425"/>
      <c r="AX133" s="425"/>
      <c r="AY133" s="427"/>
      <c r="AZ133" s="425"/>
      <c r="BA133" s="427"/>
      <c r="BB133" s="425"/>
      <c r="BC133" s="427"/>
      <c r="BD133" s="425"/>
      <c r="BE133" s="427"/>
      <c r="BF133" s="427"/>
      <c r="BG133" s="427"/>
      <c r="BH133" s="427"/>
      <c r="BI133" s="425"/>
      <c r="BJ133" s="425"/>
      <c r="BK133" s="425"/>
      <c r="BL133" s="426"/>
      <c r="BM133" s="425"/>
      <c r="BN133" s="426"/>
      <c r="BO133" s="426"/>
      <c r="BP133" s="426"/>
      <c r="BQ133" s="426"/>
      <c r="BR133" s="426"/>
      <c r="BS133" s="430"/>
      <c r="BT133" s="425"/>
      <c r="BU133" s="425"/>
      <c r="BV133" s="425"/>
      <c r="BW133" s="426"/>
      <c r="BX133" s="426"/>
      <c r="BY133" s="426"/>
      <c r="BZ133" s="426"/>
      <c r="CA133" s="427"/>
      <c r="CB133" s="427"/>
      <c r="CC133" s="426"/>
      <c r="CD133" s="425"/>
      <c r="CE133" s="425"/>
      <c r="CF133" s="427"/>
      <c r="CG133" s="427"/>
      <c r="CH133" s="427"/>
      <c r="CI133" s="427"/>
      <c r="CJ133" s="425"/>
      <c r="CK133" s="425"/>
      <c r="CL133" s="425"/>
      <c r="CM133" s="425"/>
      <c r="CN133" s="425"/>
      <c r="CO133" s="425"/>
      <c r="CP133" s="427"/>
      <c r="CQ133" s="425"/>
      <c r="CR133" s="427"/>
      <c r="CS133" s="425"/>
      <c r="CT133" s="427"/>
      <c r="CU133" s="425"/>
      <c r="CV133" s="425"/>
      <c r="CW133" s="427"/>
      <c r="CX133" s="425"/>
      <c r="CY133" s="427"/>
      <c r="CZ133" s="425"/>
      <c r="DA133" s="427"/>
      <c r="DB133" s="425"/>
      <c r="DC133" s="425"/>
      <c r="DD133" s="425"/>
      <c r="DE133" s="425"/>
      <c r="DF133" s="425"/>
    </row>
    <row r="134">
      <c r="A134" s="425"/>
      <c r="B134" s="425"/>
      <c r="C134" s="425"/>
      <c r="D134" s="425"/>
      <c r="E134" s="425"/>
      <c r="F134" s="425"/>
      <c r="G134" s="426"/>
      <c r="H134" s="426"/>
      <c r="I134" s="427"/>
      <c r="J134" s="427"/>
      <c r="K134" s="427"/>
      <c r="L134" s="427"/>
      <c r="M134" s="427"/>
      <c r="N134" s="427"/>
      <c r="O134" s="427"/>
      <c r="P134" s="427"/>
      <c r="Q134" s="426"/>
      <c r="R134" s="427"/>
      <c r="S134" s="426"/>
      <c r="T134" s="425"/>
      <c r="U134" s="425"/>
      <c r="V134" s="425"/>
      <c r="W134" s="425"/>
      <c r="X134" s="425"/>
      <c r="Y134" s="425"/>
      <c r="Z134" s="427"/>
      <c r="AA134" s="426"/>
      <c r="AB134" s="427"/>
      <c r="AC134" s="426"/>
      <c r="AD134" s="427"/>
      <c r="AE134" s="426"/>
      <c r="AF134" s="427"/>
      <c r="AG134" s="426"/>
      <c r="AH134" s="428"/>
      <c r="AI134" s="426"/>
      <c r="AJ134" s="428"/>
      <c r="AK134" s="426"/>
      <c r="AL134" s="425"/>
      <c r="AM134" s="425"/>
      <c r="AN134" s="427"/>
      <c r="AO134" s="426"/>
      <c r="AP134" s="425"/>
      <c r="AQ134" s="429"/>
      <c r="AR134" s="427"/>
      <c r="AS134" s="425"/>
      <c r="AT134" s="425"/>
      <c r="AU134" s="425"/>
      <c r="AV134" s="425"/>
      <c r="AW134" s="425"/>
      <c r="AX134" s="425"/>
      <c r="AY134" s="427"/>
      <c r="AZ134" s="425"/>
      <c r="BA134" s="427"/>
      <c r="BB134" s="425"/>
      <c r="BC134" s="427"/>
      <c r="BD134" s="425"/>
      <c r="BE134" s="427"/>
      <c r="BF134" s="427"/>
      <c r="BG134" s="427"/>
      <c r="BH134" s="427"/>
      <c r="BI134" s="425"/>
      <c r="BJ134" s="425"/>
      <c r="BK134" s="425"/>
      <c r="BL134" s="426"/>
      <c r="BM134" s="425"/>
      <c r="BN134" s="426"/>
      <c r="BO134" s="426"/>
      <c r="BP134" s="426"/>
      <c r="BQ134" s="426"/>
      <c r="BR134" s="426"/>
      <c r="BS134" s="430"/>
      <c r="BT134" s="425"/>
      <c r="BU134" s="425"/>
      <c r="BV134" s="425"/>
      <c r="BW134" s="426"/>
      <c r="BX134" s="426"/>
      <c r="BY134" s="426"/>
      <c r="BZ134" s="426"/>
      <c r="CA134" s="427"/>
      <c r="CB134" s="427"/>
      <c r="CC134" s="426"/>
      <c r="CD134" s="425"/>
      <c r="CE134" s="425"/>
      <c r="CF134" s="427"/>
      <c r="CG134" s="427"/>
      <c r="CH134" s="427"/>
      <c r="CI134" s="427"/>
      <c r="CJ134" s="425"/>
      <c r="CK134" s="425"/>
      <c r="CL134" s="425"/>
      <c r="CM134" s="425"/>
      <c r="CN134" s="425"/>
      <c r="CO134" s="425"/>
      <c r="CP134" s="427"/>
      <c r="CQ134" s="425"/>
      <c r="CR134" s="427"/>
      <c r="CS134" s="425"/>
      <c r="CT134" s="427"/>
      <c r="CU134" s="425"/>
      <c r="CV134" s="425"/>
      <c r="CW134" s="427"/>
      <c r="CX134" s="425"/>
      <c r="CY134" s="427"/>
      <c r="CZ134" s="425"/>
      <c r="DA134" s="427"/>
      <c r="DB134" s="425"/>
      <c r="DC134" s="425"/>
      <c r="DD134" s="425"/>
      <c r="DE134" s="425"/>
      <c r="DF134" s="425"/>
    </row>
    <row r="135">
      <c r="A135" s="425"/>
      <c r="B135" s="425"/>
      <c r="C135" s="425"/>
      <c r="D135" s="425"/>
      <c r="E135" s="425"/>
      <c r="F135" s="425"/>
      <c r="G135" s="426"/>
      <c r="H135" s="426"/>
      <c r="I135" s="427"/>
      <c r="J135" s="427"/>
      <c r="K135" s="427"/>
      <c r="L135" s="427"/>
      <c r="M135" s="427"/>
      <c r="N135" s="427"/>
      <c r="O135" s="427"/>
      <c r="P135" s="427"/>
      <c r="Q135" s="426"/>
      <c r="R135" s="427"/>
      <c r="S135" s="426"/>
      <c r="T135" s="425"/>
      <c r="U135" s="425"/>
      <c r="V135" s="425"/>
      <c r="W135" s="425"/>
      <c r="X135" s="425"/>
      <c r="Y135" s="425"/>
      <c r="Z135" s="427"/>
      <c r="AA135" s="426"/>
      <c r="AB135" s="427"/>
      <c r="AC135" s="426"/>
      <c r="AD135" s="427"/>
      <c r="AE135" s="426"/>
      <c r="AF135" s="427"/>
      <c r="AG135" s="426"/>
      <c r="AH135" s="428"/>
      <c r="AI135" s="426"/>
      <c r="AJ135" s="428"/>
      <c r="AK135" s="426"/>
      <c r="AL135" s="425"/>
      <c r="AM135" s="425"/>
      <c r="AN135" s="427"/>
      <c r="AO135" s="426"/>
      <c r="AP135" s="425"/>
      <c r="AQ135" s="429"/>
      <c r="AR135" s="427"/>
      <c r="AS135" s="425"/>
      <c r="AT135" s="425"/>
      <c r="AU135" s="425"/>
      <c r="AV135" s="425"/>
      <c r="AW135" s="425"/>
      <c r="AX135" s="425"/>
      <c r="AY135" s="427"/>
      <c r="AZ135" s="425"/>
      <c r="BA135" s="427"/>
      <c r="BB135" s="425"/>
      <c r="BC135" s="427"/>
      <c r="BD135" s="425"/>
      <c r="BE135" s="427"/>
      <c r="BF135" s="427"/>
      <c r="BG135" s="427"/>
      <c r="BH135" s="427"/>
      <c r="BI135" s="425"/>
      <c r="BJ135" s="425"/>
      <c r="BK135" s="425"/>
      <c r="BL135" s="426"/>
      <c r="BM135" s="425"/>
      <c r="BN135" s="426"/>
      <c r="BO135" s="426"/>
      <c r="BP135" s="426"/>
      <c r="BQ135" s="426"/>
      <c r="BR135" s="426"/>
      <c r="BS135" s="430"/>
      <c r="BT135" s="425"/>
      <c r="BU135" s="425"/>
      <c r="BV135" s="425"/>
      <c r="BW135" s="426"/>
      <c r="BX135" s="426"/>
      <c r="BY135" s="426"/>
      <c r="BZ135" s="426"/>
      <c r="CA135" s="427"/>
      <c r="CB135" s="427"/>
      <c r="CC135" s="426"/>
      <c r="CD135" s="425"/>
      <c r="CE135" s="425"/>
      <c r="CF135" s="427"/>
      <c r="CG135" s="427"/>
      <c r="CH135" s="427"/>
      <c r="CI135" s="427"/>
      <c r="CJ135" s="425"/>
      <c r="CK135" s="425"/>
      <c r="CL135" s="425"/>
      <c r="CM135" s="425"/>
      <c r="CN135" s="425"/>
      <c r="CO135" s="425"/>
      <c r="CP135" s="427"/>
      <c r="CQ135" s="425"/>
      <c r="CR135" s="427"/>
      <c r="CS135" s="425"/>
      <c r="CT135" s="427"/>
      <c r="CU135" s="425"/>
      <c r="CV135" s="425"/>
      <c r="CW135" s="427"/>
      <c r="CX135" s="425"/>
      <c r="CY135" s="427"/>
      <c r="CZ135" s="425"/>
      <c r="DA135" s="427"/>
      <c r="DB135" s="425"/>
      <c r="DC135" s="425"/>
      <c r="DD135" s="425"/>
      <c r="DE135" s="425"/>
      <c r="DF135" s="425"/>
    </row>
    <row r="136">
      <c r="A136" s="425"/>
      <c r="B136" s="425"/>
      <c r="C136" s="425"/>
      <c r="D136" s="425"/>
      <c r="E136" s="425"/>
      <c r="F136" s="425"/>
      <c r="G136" s="426"/>
      <c r="H136" s="426"/>
      <c r="I136" s="427"/>
      <c r="J136" s="427"/>
      <c r="K136" s="427"/>
      <c r="L136" s="427"/>
      <c r="M136" s="427"/>
      <c r="N136" s="427"/>
      <c r="O136" s="427"/>
      <c r="P136" s="427"/>
      <c r="Q136" s="426"/>
      <c r="R136" s="427"/>
      <c r="S136" s="426"/>
      <c r="T136" s="425"/>
      <c r="U136" s="425"/>
      <c r="V136" s="425"/>
      <c r="W136" s="425"/>
      <c r="X136" s="425"/>
      <c r="Y136" s="425"/>
      <c r="Z136" s="427"/>
      <c r="AA136" s="426"/>
      <c r="AB136" s="427"/>
      <c r="AC136" s="426"/>
      <c r="AD136" s="427"/>
      <c r="AE136" s="426"/>
      <c r="AF136" s="427"/>
      <c r="AG136" s="426"/>
      <c r="AH136" s="428"/>
      <c r="AI136" s="426"/>
      <c r="AJ136" s="428"/>
      <c r="AK136" s="426"/>
      <c r="AL136" s="425"/>
      <c r="AM136" s="425"/>
      <c r="AN136" s="427"/>
      <c r="AO136" s="426"/>
      <c r="AP136" s="425"/>
      <c r="AQ136" s="429"/>
      <c r="AR136" s="427"/>
      <c r="AS136" s="425"/>
      <c r="AT136" s="425"/>
      <c r="AU136" s="425"/>
      <c r="AV136" s="425"/>
      <c r="AW136" s="425"/>
      <c r="AX136" s="425"/>
      <c r="AY136" s="427"/>
      <c r="AZ136" s="425"/>
      <c r="BA136" s="427"/>
      <c r="BB136" s="425"/>
      <c r="BC136" s="427"/>
      <c r="BD136" s="425"/>
      <c r="BE136" s="427"/>
      <c r="BF136" s="427"/>
      <c r="BG136" s="427"/>
      <c r="BH136" s="427"/>
      <c r="BI136" s="425"/>
      <c r="BJ136" s="425"/>
      <c r="BK136" s="425"/>
      <c r="BL136" s="426"/>
      <c r="BM136" s="425"/>
      <c r="BN136" s="426"/>
      <c r="BO136" s="426"/>
      <c r="BP136" s="426"/>
      <c r="BQ136" s="426"/>
      <c r="BR136" s="426"/>
      <c r="BS136" s="430"/>
      <c r="BT136" s="425"/>
      <c r="BU136" s="425"/>
      <c r="BV136" s="425"/>
      <c r="BW136" s="426"/>
      <c r="BX136" s="426"/>
      <c r="BY136" s="426"/>
      <c r="BZ136" s="426"/>
      <c r="CA136" s="427"/>
      <c r="CB136" s="427"/>
      <c r="CC136" s="426"/>
      <c r="CD136" s="425"/>
      <c r="CE136" s="425"/>
      <c r="CF136" s="427"/>
      <c r="CG136" s="427"/>
      <c r="CH136" s="427"/>
      <c r="CI136" s="427"/>
      <c r="CJ136" s="425"/>
      <c r="CK136" s="425"/>
      <c r="CL136" s="425"/>
      <c r="CM136" s="425"/>
      <c r="CN136" s="425"/>
      <c r="CO136" s="425"/>
      <c r="CP136" s="427"/>
      <c r="CQ136" s="425"/>
      <c r="CR136" s="427"/>
      <c r="CS136" s="425"/>
      <c r="CT136" s="427"/>
      <c r="CU136" s="425"/>
      <c r="CV136" s="425"/>
      <c r="CW136" s="427"/>
      <c r="CX136" s="425"/>
      <c r="CY136" s="427"/>
      <c r="CZ136" s="425"/>
      <c r="DA136" s="427"/>
      <c r="DB136" s="425"/>
      <c r="DC136" s="425"/>
      <c r="DD136" s="425"/>
      <c r="DE136" s="425"/>
      <c r="DF136" s="425"/>
    </row>
    <row r="137">
      <c r="A137" s="425"/>
      <c r="B137" s="425"/>
      <c r="C137" s="425"/>
      <c r="D137" s="425"/>
      <c r="E137" s="425"/>
      <c r="F137" s="425"/>
      <c r="G137" s="426"/>
      <c r="H137" s="426"/>
      <c r="I137" s="427"/>
      <c r="J137" s="427"/>
      <c r="K137" s="427"/>
      <c r="L137" s="427"/>
      <c r="M137" s="427"/>
      <c r="N137" s="427"/>
      <c r="O137" s="427"/>
      <c r="P137" s="427"/>
      <c r="Q137" s="426"/>
      <c r="R137" s="427"/>
      <c r="S137" s="426"/>
      <c r="T137" s="425"/>
      <c r="U137" s="425"/>
      <c r="V137" s="425"/>
      <c r="W137" s="425"/>
      <c r="X137" s="425"/>
      <c r="Y137" s="425"/>
      <c r="Z137" s="427"/>
      <c r="AA137" s="426"/>
      <c r="AB137" s="427"/>
      <c r="AC137" s="426"/>
      <c r="AD137" s="427"/>
      <c r="AE137" s="426"/>
      <c r="AF137" s="427"/>
      <c r="AG137" s="426"/>
      <c r="AH137" s="428"/>
      <c r="AI137" s="426"/>
      <c r="AJ137" s="428"/>
      <c r="AK137" s="426"/>
      <c r="AL137" s="425"/>
      <c r="AM137" s="425"/>
      <c r="AN137" s="427"/>
      <c r="AO137" s="426"/>
      <c r="AP137" s="425"/>
      <c r="AQ137" s="429"/>
      <c r="AR137" s="427"/>
      <c r="AS137" s="425"/>
      <c r="AT137" s="425"/>
      <c r="AU137" s="425"/>
      <c r="AV137" s="425"/>
      <c r="AW137" s="425"/>
      <c r="AX137" s="425"/>
      <c r="AY137" s="427"/>
      <c r="AZ137" s="425"/>
      <c r="BA137" s="427"/>
      <c r="BB137" s="425"/>
      <c r="BC137" s="427"/>
      <c r="BD137" s="425"/>
      <c r="BE137" s="427"/>
      <c r="BF137" s="427"/>
      <c r="BG137" s="427"/>
      <c r="BH137" s="427"/>
      <c r="BI137" s="425"/>
      <c r="BJ137" s="425"/>
      <c r="BK137" s="425"/>
      <c r="BL137" s="426"/>
      <c r="BM137" s="425"/>
      <c r="BN137" s="426"/>
      <c r="BO137" s="426"/>
      <c r="BP137" s="426"/>
      <c r="BQ137" s="426"/>
      <c r="BR137" s="426"/>
      <c r="BS137" s="430"/>
      <c r="BT137" s="425"/>
      <c r="BU137" s="425"/>
      <c r="BV137" s="425"/>
      <c r="BW137" s="426"/>
      <c r="BX137" s="426"/>
      <c r="BY137" s="426"/>
      <c r="BZ137" s="426"/>
      <c r="CA137" s="427"/>
      <c r="CB137" s="427"/>
      <c r="CC137" s="426"/>
      <c r="CD137" s="425"/>
      <c r="CE137" s="425"/>
      <c r="CF137" s="427"/>
      <c r="CG137" s="427"/>
      <c r="CH137" s="427"/>
      <c r="CI137" s="427"/>
      <c r="CJ137" s="425"/>
      <c r="CK137" s="425"/>
      <c r="CL137" s="425"/>
      <c r="CM137" s="425"/>
      <c r="CN137" s="425"/>
      <c r="CO137" s="425"/>
      <c r="CP137" s="427"/>
      <c r="CQ137" s="425"/>
      <c r="CR137" s="427"/>
      <c r="CS137" s="425"/>
      <c r="CT137" s="427"/>
      <c r="CU137" s="425"/>
      <c r="CV137" s="425"/>
      <c r="CW137" s="427"/>
      <c r="CX137" s="425"/>
      <c r="CY137" s="427"/>
      <c r="CZ137" s="425"/>
      <c r="DA137" s="427"/>
      <c r="DB137" s="425"/>
      <c r="DC137" s="425"/>
      <c r="DD137" s="425"/>
      <c r="DE137" s="425"/>
      <c r="DF137" s="425"/>
    </row>
    <row r="138">
      <c r="A138" s="425"/>
      <c r="B138" s="425"/>
      <c r="C138" s="425"/>
      <c r="D138" s="425"/>
      <c r="E138" s="425"/>
      <c r="F138" s="425"/>
      <c r="G138" s="426"/>
      <c r="H138" s="426"/>
      <c r="I138" s="427"/>
      <c r="J138" s="427"/>
      <c r="K138" s="427"/>
      <c r="L138" s="427"/>
      <c r="M138" s="427"/>
      <c r="N138" s="427"/>
      <c r="O138" s="427"/>
      <c r="P138" s="427"/>
      <c r="Q138" s="426"/>
      <c r="R138" s="427"/>
      <c r="S138" s="426"/>
      <c r="T138" s="425"/>
      <c r="U138" s="425"/>
      <c r="V138" s="425"/>
      <c r="W138" s="425"/>
      <c r="X138" s="425"/>
      <c r="Y138" s="425"/>
      <c r="Z138" s="427"/>
      <c r="AA138" s="426"/>
      <c r="AB138" s="427"/>
      <c r="AC138" s="426"/>
      <c r="AD138" s="427"/>
      <c r="AE138" s="426"/>
      <c r="AF138" s="427"/>
      <c r="AG138" s="426"/>
      <c r="AH138" s="428"/>
      <c r="AI138" s="426"/>
      <c r="AJ138" s="428"/>
      <c r="AK138" s="426"/>
      <c r="AL138" s="425"/>
      <c r="AM138" s="425"/>
      <c r="AN138" s="427"/>
      <c r="AO138" s="426"/>
      <c r="AP138" s="425"/>
      <c r="AQ138" s="429"/>
      <c r="AR138" s="427"/>
      <c r="AS138" s="425"/>
      <c r="AT138" s="425"/>
      <c r="AU138" s="425"/>
      <c r="AV138" s="425"/>
      <c r="AW138" s="425"/>
      <c r="AX138" s="425"/>
      <c r="AY138" s="427"/>
      <c r="AZ138" s="425"/>
      <c r="BA138" s="427"/>
      <c r="BB138" s="425"/>
      <c r="BC138" s="427"/>
      <c r="BD138" s="425"/>
      <c r="BE138" s="427"/>
      <c r="BF138" s="427"/>
      <c r="BG138" s="427"/>
      <c r="BH138" s="427"/>
      <c r="BI138" s="425"/>
      <c r="BJ138" s="425"/>
      <c r="BK138" s="425"/>
      <c r="BL138" s="426"/>
      <c r="BM138" s="425"/>
      <c r="BN138" s="426"/>
      <c r="BO138" s="426"/>
      <c r="BP138" s="426"/>
      <c r="BQ138" s="426"/>
      <c r="BR138" s="426"/>
      <c r="BS138" s="430"/>
      <c r="BT138" s="425"/>
      <c r="BU138" s="425"/>
      <c r="BV138" s="425"/>
      <c r="BW138" s="426"/>
      <c r="BX138" s="426"/>
      <c r="BY138" s="426"/>
      <c r="BZ138" s="426"/>
      <c r="CA138" s="427"/>
      <c r="CB138" s="427"/>
      <c r="CC138" s="426"/>
      <c r="CD138" s="425"/>
      <c r="CE138" s="425"/>
      <c r="CF138" s="427"/>
      <c r="CG138" s="427"/>
      <c r="CH138" s="427"/>
      <c r="CI138" s="427"/>
      <c r="CJ138" s="425"/>
      <c r="CK138" s="425"/>
      <c r="CL138" s="425"/>
      <c r="CM138" s="425"/>
      <c r="CN138" s="425"/>
      <c r="CO138" s="425"/>
      <c r="CP138" s="427"/>
      <c r="CQ138" s="425"/>
      <c r="CR138" s="427"/>
      <c r="CS138" s="425"/>
      <c r="CT138" s="427"/>
      <c r="CU138" s="425"/>
      <c r="CV138" s="425"/>
      <c r="CW138" s="427"/>
      <c r="CX138" s="425"/>
      <c r="CY138" s="427"/>
      <c r="CZ138" s="425"/>
      <c r="DA138" s="427"/>
      <c r="DB138" s="425"/>
      <c r="DC138" s="425"/>
      <c r="DD138" s="425"/>
      <c r="DE138" s="425"/>
      <c r="DF138" s="425"/>
    </row>
    <row r="139">
      <c r="A139" s="425"/>
      <c r="B139" s="425"/>
      <c r="C139" s="425"/>
      <c r="D139" s="425"/>
      <c r="E139" s="425"/>
      <c r="F139" s="425"/>
      <c r="G139" s="426"/>
      <c r="H139" s="426"/>
      <c r="I139" s="427"/>
      <c r="J139" s="427"/>
      <c r="K139" s="427"/>
      <c r="L139" s="427"/>
      <c r="M139" s="427"/>
      <c r="N139" s="427"/>
      <c r="O139" s="427"/>
      <c r="P139" s="427"/>
      <c r="Q139" s="426"/>
      <c r="R139" s="427"/>
      <c r="S139" s="426"/>
      <c r="T139" s="425"/>
      <c r="U139" s="425"/>
      <c r="V139" s="425"/>
      <c r="W139" s="425"/>
      <c r="X139" s="425"/>
      <c r="Y139" s="425"/>
      <c r="Z139" s="427"/>
      <c r="AA139" s="426"/>
      <c r="AB139" s="427"/>
      <c r="AC139" s="426"/>
      <c r="AD139" s="427"/>
      <c r="AE139" s="426"/>
      <c r="AF139" s="427"/>
      <c r="AG139" s="426"/>
      <c r="AH139" s="428"/>
      <c r="AI139" s="426"/>
      <c r="AJ139" s="428"/>
      <c r="AK139" s="426"/>
      <c r="AL139" s="425"/>
      <c r="AM139" s="425"/>
      <c r="AN139" s="427"/>
      <c r="AO139" s="426"/>
      <c r="AP139" s="425"/>
      <c r="AQ139" s="429"/>
      <c r="AR139" s="427"/>
      <c r="AS139" s="425"/>
      <c r="AT139" s="425"/>
      <c r="AU139" s="425"/>
      <c r="AV139" s="425"/>
      <c r="AW139" s="425"/>
      <c r="AX139" s="425"/>
      <c r="AY139" s="427"/>
      <c r="AZ139" s="425"/>
      <c r="BA139" s="427"/>
      <c r="BB139" s="425"/>
      <c r="BC139" s="427"/>
      <c r="BD139" s="425"/>
      <c r="BE139" s="427"/>
      <c r="BF139" s="427"/>
      <c r="BG139" s="427"/>
      <c r="BH139" s="427"/>
      <c r="BI139" s="425"/>
      <c r="BJ139" s="425"/>
      <c r="BK139" s="425"/>
      <c r="BL139" s="426"/>
      <c r="BM139" s="425"/>
      <c r="BN139" s="426"/>
      <c r="BO139" s="426"/>
      <c r="BP139" s="426"/>
      <c r="BQ139" s="426"/>
      <c r="BR139" s="426"/>
      <c r="BS139" s="430"/>
      <c r="BT139" s="425"/>
      <c r="BU139" s="425"/>
      <c r="BV139" s="425"/>
      <c r="BW139" s="426"/>
      <c r="BX139" s="426"/>
      <c r="BY139" s="426"/>
      <c r="BZ139" s="426"/>
      <c r="CA139" s="427"/>
      <c r="CB139" s="427"/>
      <c r="CC139" s="426"/>
      <c r="CD139" s="425"/>
      <c r="CE139" s="425"/>
      <c r="CF139" s="427"/>
      <c r="CG139" s="427"/>
      <c r="CH139" s="427"/>
      <c r="CI139" s="427"/>
      <c r="CJ139" s="425"/>
      <c r="CK139" s="425"/>
      <c r="CL139" s="425"/>
      <c r="CM139" s="425"/>
      <c r="CN139" s="425"/>
      <c r="CO139" s="425"/>
      <c r="CP139" s="427"/>
      <c r="CQ139" s="425"/>
      <c r="CR139" s="427"/>
      <c r="CS139" s="425"/>
      <c r="CT139" s="427"/>
      <c r="CU139" s="425"/>
      <c r="CV139" s="425"/>
      <c r="CW139" s="427"/>
      <c r="CX139" s="425"/>
      <c r="CY139" s="427"/>
      <c r="CZ139" s="425"/>
      <c r="DA139" s="427"/>
      <c r="DB139" s="425"/>
      <c r="DC139" s="425"/>
      <c r="DD139" s="425"/>
      <c r="DE139" s="425"/>
      <c r="DF139" s="425"/>
    </row>
    <row r="140">
      <c r="A140" s="425"/>
      <c r="B140" s="425"/>
      <c r="C140" s="425"/>
      <c r="D140" s="425"/>
      <c r="E140" s="425"/>
      <c r="F140" s="425"/>
      <c r="G140" s="426"/>
      <c r="H140" s="426"/>
      <c r="I140" s="427"/>
      <c r="J140" s="427"/>
      <c r="K140" s="427"/>
      <c r="L140" s="427"/>
      <c r="M140" s="427"/>
      <c r="N140" s="427"/>
      <c r="O140" s="427"/>
      <c r="P140" s="427"/>
      <c r="Q140" s="426"/>
      <c r="R140" s="427"/>
      <c r="S140" s="426"/>
      <c r="T140" s="425"/>
      <c r="U140" s="425"/>
      <c r="V140" s="425"/>
      <c r="W140" s="425"/>
      <c r="X140" s="425"/>
      <c r="Y140" s="425"/>
      <c r="Z140" s="427"/>
      <c r="AA140" s="426"/>
      <c r="AB140" s="427"/>
      <c r="AC140" s="426"/>
      <c r="AD140" s="427"/>
      <c r="AE140" s="426"/>
      <c r="AF140" s="427"/>
      <c r="AG140" s="426"/>
      <c r="AH140" s="428"/>
      <c r="AI140" s="426"/>
      <c r="AJ140" s="428"/>
      <c r="AK140" s="426"/>
      <c r="AL140" s="425"/>
      <c r="AM140" s="425"/>
      <c r="AN140" s="427"/>
      <c r="AO140" s="426"/>
      <c r="AP140" s="425"/>
      <c r="AQ140" s="429"/>
      <c r="AR140" s="427"/>
      <c r="AS140" s="425"/>
      <c r="AT140" s="425"/>
      <c r="AU140" s="425"/>
      <c r="AV140" s="425"/>
      <c r="AW140" s="425"/>
      <c r="AX140" s="425"/>
      <c r="AY140" s="427"/>
      <c r="AZ140" s="425"/>
      <c r="BA140" s="427"/>
      <c r="BB140" s="425"/>
      <c r="BC140" s="427"/>
      <c r="BD140" s="425"/>
      <c r="BE140" s="427"/>
      <c r="BF140" s="427"/>
      <c r="BG140" s="427"/>
      <c r="BH140" s="427"/>
      <c r="BI140" s="425"/>
      <c r="BJ140" s="425"/>
      <c r="BK140" s="425"/>
      <c r="BL140" s="426"/>
      <c r="BM140" s="425"/>
      <c r="BN140" s="426"/>
      <c r="BO140" s="426"/>
      <c r="BP140" s="426"/>
      <c r="BQ140" s="426"/>
      <c r="BR140" s="426"/>
      <c r="BS140" s="430"/>
      <c r="BT140" s="425"/>
      <c r="BU140" s="425"/>
      <c r="BV140" s="425"/>
      <c r="BW140" s="426"/>
      <c r="BX140" s="426"/>
      <c r="BY140" s="426"/>
      <c r="BZ140" s="426"/>
      <c r="CA140" s="427"/>
      <c r="CB140" s="427"/>
      <c r="CC140" s="426"/>
      <c r="CD140" s="425"/>
      <c r="CE140" s="425"/>
      <c r="CF140" s="427"/>
      <c r="CG140" s="427"/>
      <c r="CH140" s="427"/>
      <c r="CI140" s="427"/>
      <c r="CJ140" s="425"/>
      <c r="CK140" s="425"/>
      <c r="CL140" s="425"/>
      <c r="CM140" s="425"/>
      <c r="CN140" s="425"/>
      <c r="CO140" s="425"/>
      <c r="CP140" s="427"/>
      <c r="CQ140" s="425"/>
      <c r="CR140" s="427"/>
      <c r="CS140" s="425"/>
      <c r="CT140" s="427"/>
      <c r="CU140" s="425"/>
      <c r="CV140" s="425"/>
      <c r="CW140" s="427"/>
      <c r="CX140" s="425"/>
      <c r="CY140" s="427"/>
      <c r="CZ140" s="425"/>
      <c r="DA140" s="427"/>
      <c r="DB140" s="425"/>
      <c r="DC140" s="425"/>
      <c r="DD140" s="425"/>
      <c r="DE140" s="425"/>
      <c r="DF140" s="425"/>
    </row>
    <row r="141">
      <c r="A141" s="425"/>
      <c r="B141" s="425"/>
      <c r="C141" s="425"/>
      <c r="D141" s="425"/>
      <c r="E141" s="425"/>
      <c r="F141" s="425"/>
      <c r="G141" s="426"/>
      <c r="H141" s="426"/>
      <c r="I141" s="427"/>
      <c r="J141" s="427"/>
      <c r="K141" s="427"/>
      <c r="L141" s="427"/>
      <c r="M141" s="427"/>
      <c r="N141" s="427"/>
      <c r="O141" s="427"/>
      <c r="P141" s="427"/>
      <c r="Q141" s="426"/>
      <c r="R141" s="427"/>
      <c r="S141" s="426"/>
      <c r="T141" s="425"/>
      <c r="U141" s="425"/>
      <c r="V141" s="425"/>
      <c r="W141" s="425"/>
      <c r="X141" s="425"/>
      <c r="Y141" s="425"/>
      <c r="Z141" s="427"/>
      <c r="AA141" s="426"/>
      <c r="AB141" s="427"/>
      <c r="AC141" s="426"/>
      <c r="AD141" s="427"/>
      <c r="AE141" s="426"/>
      <c r="AF141" s="427"/>
      <c r="AG141" s="426"/>
      <c r="AH141" s="428"/>
      <c r="AI141" s="426"/>
      <c r="AJ141" s="428"/>
      <c r="AK141" s="426"/>
      <c r="AL141" s="425"/>
      <c r="AM141" s="425"/>
      <c r="AN141" s="427"/>
      <c r="AO141" s="426"/>
      <c r="AP141" s="425"/>
      <c r="AQ141" s="429"/>
      <c r="AR141" s="427"/>
      <c r="AS141" s="425"/>
      <c r="AT141" s="425"/>
      <c r="AU141" s="425"/>
      <c r="AV141" s="425"/>
      <c r="AW141" s="425"/>
      <c r="AX141" s="425"/>
      <c r="AY141" s="427"/>
      <c r="AZ141" s="425"/>
      <c r="BA141" s="427"/>
      <c r="BB141" s="425"/>
      <c r="BC141" s="427"/>
      <c r="BD141" s="425"/>
      <c r="BE141" s="427"/>
      <c r="BF141" s="427"/>
      <c r="BG141" s="427"/>
      <c r="BH141" s="427"/>
      <c r="BI141" s="425"/>
      <c r="BJ141" s="425"/>
      <c r="BK141" s="425"/>
      <c r="BL141" s="426"/>
      <c r="BM141" s="425"/>
      <c r="BN141" s="426"/>
      <c r="BO141" s="426"/>
      <c r="BP141" s="426"/>
      <c r="BQ141" s="426"/>
      <c r="BR141" s="426"/>
      <c r="BS141" s="430"/>
      <c r="BT141" s="425"/>
      <c r="BU141" s="425"/>
      <c r="BV141" s="425"/>
      <c r="BW141" s="426"/>
      <c r="BX141" s="426"/>
      <c r="BY141" s="426"/>
      <c r="BZ141" s="426"/>
      <c r="CA141" s="427"/>
      <c r="CB141" s="427"/>
      <c r="CC141" s="426"/>
      <c r="CD141" s="425"/>
      <c r="CE141" s="425"/>
      <c r="CF141" s="427"/>
      <c r="CG141" s="427"/>
      <c r="CH141" s="427"/>
      <c r="CI141" s="427"/>
      <c r="CJ141" s="425"/>
      <c r="CK141" s="425"/>
      <c r="CL141" s="425"/>
      <c r="CM141" s="425"/>
      <c r="CN141" s="425"/>
      <c r="CO141" s="425"/>
      <c r="CP141" s="427"/>
      <c r="CQ141" s="425"/>
      <c r="CR141" s="427"/>
      <c r="CS141" s="425"/>
      <c r="CT141" s="427"/>
      <c r="CU141" s="425"/>
      <c r="CV141" s="425"/>
      <c r="CW141" s="427"/>
      <c r="CX141" s="425"/>
      <c r="CY141" s="427"/>
      <c r="CZ141" s="425"/>
      <c r="DA141" s="427"/>
      <c r="DB141" s="425"/>
      <c r="DC141" s="425"/>
      <c r="DD141" s="425"/>
      <c r="DE141" s="425"/>
      <c r="DF141" s="425"/>
    </row>
    <row r="142">
      <c r="A142" s="425"/>
      <c r="B142" s="425"/>
      <c r="C142" s="425"/>
      <c r="D142" s="425"/>
      <c r="E142" s="425"/>
      <c r="F142" s="425"/>
      <c r="G142" s="426"/>
      <c r="H142" s="426"/>
      <c r="I142" s="427"/>
      <c r="J142" s="427"/>
      <c r="K142" s="427"/>
      <c r="L142" s="427"/>
      <c r="M142" s="427"/>
      <c r="N142" s="427"/>
      <c r="O142" s="427"/>
      <c r="P142" s="427"/>
      <c r="Q142" s="426"/>
      <c r="R142" s="427"/>
      <c r="S142" s="426"/>
      <c r="T142" s="425"/>
      <c r="U142" s="425"/>
      <c r="V142" s="425"/>
      <c r="W142" s="425"/>
      <c r="X142" s="425"/>
      <c r="Y142" s="425"/>
      <c r="Z142" s="427"/>
      <c r="AA142" s="426"/>
      <c r="AB142" s="427"/>
      <c r="AC142" s="426"/>
      <c r="AD142" s="427"/>
      <c r="AE142" s="426"/>
      <c r="AF142" s="427"/>
      <c r="AG142" s="426"/>
      <c r="AH142" s="428"/>
      <c r="AI142" s="426"/>
      <c r="AJ142" s="428"/>
      <c r="AK142" s="426"/>
      <c r="AL142" s="425"/>
      <c r="AM142" s="425"/>
      <c r="AN142" s="427"/>
      <c r="AO142" s="426"/>
      <c r="AP142" s="425"/>
      <c r="AQ142" s="429"/>
      <c r="AR142" s="427"/>
      <c r="AS142" s="425"/>
      <c r="AT142" s="425"/>
      <c r="AU142" s="425"/>
      <c r="AV142" s="425"/>
      <c r="AW142" s="425"/>
      <c r="AX142" s="425"/>
      <c r="AY142" s="427"/>
      <c r="AZ142" s="425"/>
      <c r="BA142" s="427"/>
      <c r="BB142" s="425"/>
      <c r="BC142" s="427"/>
      <c r="BD142" s="425"/>
      <c r="BE142" s="427"/>
      <c r="BF142" s="427"/>
      <c r="BG142" s="427"/>
      <c r="BH142" s="427"/>
      <c r="BI142" s="425"/>
      <c r="BJ142" s="425"/>
      <c r="BK142" s="425"/>
      <c r="BL142" s="426"/>
      <c r="BM142" s="425"/>
      <c r="BN142" s="426"/>
      <c r="BO142" s="426"/>
      <c r="BP142" s="426"/>
      <c r="BQ142" s="426"/>
      <c r="BR142" s="426"/>
      <c r="BS142" s="430"/>
      <c r="BT142" s="425"/>
      <c r="BU142" s="425"/>
      <c r="BV142" s="425"/>
      <c r="BW142" s="426"/>
      <c r="BX142" s="426"/>
      <c r="BY142" s="426"/>
      <c r="BZ142" s="426"/>
      <c r="CA142" s="427"/>
      <c r="CB142" s="427"/>
      <c r="CC142" s="426"/>
      <c r="CD142" s="425"/>
      <c r="CE142" s="425"/>
      <c r="CF142" s="427"/>
      <c r="CG142" s="427"/>
      <c r="CH142" s="427"/>
      <c r="CI142" s="427"/>
      <c r="CJ142" s="425"/>
      <c r="CK142" s="425"/>
      <c r="CL142" s="425"/>
      <c r="CM142" s="425"/>
      <c r="CN142" s="425"/>
      <c r="CO142" s="425"/>
      <c r="CP142" s="427"/>
      <c r="CQ142" s="425"/>
      <c r="CR142" s="427"/>
      <c r="CS142" s="425"/>
      <c r="CT142" s="427"/>
      <c r="CU142" s="425"/>
      <c r="CV142" s="425"/>
      <c r="CW142" s="427"/>
      <c r="CX142" s="425"/>
      <c r="CY142" s="427"/>
      <c r="CZ142" s="425"/>
      <c r="DA142" s="427"/>
      <c r="DB142" s="425"/>
      <c r="DC142" s="425"/>
      <c r="DD142" s="425"/>
      <c r="DE142" s="425"/>
      <c r="DF142" s="425"/>
    </row>
    <row r="143">
      <c r="A143" s="425"/>
      <c r="B143" s="425"/>
      <c r="C143" s="425"/>
      <c r="D143" s="425"/>
      <c r="E143" s="425"/>
      <c r="F143" s="425"/>
      <c r="G143" s="426"/>
      <c r="H143" s="426"/>
      <c r="I143" s="427"/>
      <c r="J143" s="427"/>
      <c r="K143" s="427"/>
      <c r="L143" s="427"/>
      <c r="M143" s="427"/>
      <c r="N143" s="427"/>
      <c r="O143" s="427"/>
      <c r="P143" s="427"/>
      <c r="Q143" s="426"/>
      <c r="R143" s="427"/>
      <c r="S143" s="426"/>
      <c r="T143" s="425"/>
      <c r="U143" s="425"/>
      <c r="V143" s="425"/>
      <c r="W143" s="425"/>
      <c r="X143" s="425"/>
      <c r="Y143" s="425"/>
      <c r="Z143" s="427"/>
      <c r="AA143" s="426"/>
      <c r="AB143" s="427"/>
      <c r="AC143" s="426"/>
      <c r="AD143" s="427"/>
      <c r="AE143" s="426"/>
      <c r="AF143" s="427"/>
      <c r="AG143" s="426"/>
      <c r="AH143" s="428"/>
      <c r="AI143" s="426"/>
      <c r="AJ143" s="428"/>
      <c r="AK143" s="426"/>
      <c r="AL143" s="425"/>
      <c r="AM143" s="425"/>
      <c r="AN143" s="427"/>
      <c r="AO143" s="426"/>
      <c r="AP143" s="425"/>
      <c r="AQ143" s="429"/>
      <c r="AR143" s="427"/>
      <c r="AS143" s="425"/>
      <c r="AT143" s="425"/>
      <c r="AU143" s="425"/>
      <c r="AV143" s="425"/>
      <c r="AW143" s="425"/>
      <c r="AX143" s="425"/>
      <c r="AY143" s="427"/>
      <c r="AZ143" s="425"/>
      <c r="BA143" s="427"/>
      <c r="BB143" s="425"/>
      <c r="BC143" s="427"/>
      <c r="BD143" s="425"/>
      <c r="BE143" s="427"/>
      <c r="BF143" s="427"/>
      <c r="BG143" s="427"/>
      <c r="BH143" s="427"/>
      <c r="BI143" s="425"/>
      <c r="BJ143" s="425"/>
      <c r="BK143" s="425"/>
      <c r="BL143" s="426"/>
      <c r="BM143" s="425"/>
      <c r="BN143" s="426"/>
      <c r="BO143" s="426"/>
      <c r="BP143" s="426"/>
      <c r="BQ143" s="426"/>
      <c r="BR143" s="426"/>
      <c r="BS143" s="430"/>
      <c r="BT143" s="425"/>
      <c r="BU143" s="425"/>
      <c r="BV143" s="425"/>
      <c r="BW143" s="426"/>
      <c r="BX143" s="426"/>
      <c r="BY143" s="426"/>
      <c r="BZ143" s="426"/>
      <c r="CA143" s="427"/>
      <c r="CB143" s="427"/>
      <c r="CC143" s="426"/>
      <c r="CD143" s="425"/>
      <c r="CE143" s="425"/>
      <c r="CF143" s="427"/>
      <c r="CG143" s="427"/>
      <c r="CH143" s="427"/>
      <c r="CI143" s="427"/>
      <c r="CJ143" s="425"/>
      <c r="CK143" s="425"/>
      <c r="CL143" s="425"/>
      <c r="CM143" s="425"/>
      <c r="CN143" s="425"/>
      <c r="CO143" s="425"/>
      <c r="CP143" s="427"/>
      <c r="CQ143" s="425"/>
      <c r="CR143" s="427"/>
      <c r="CS143" s="425"/>
      <c r="CT143" s="427"/>
      <c r="CU143" s="425"/>
      <c r="CV143" s="425"/>
      <c r="CW143" s="427"/>
      <c r="CX143" s="425"/>
      <c r="CY143" s="427"/>
      <c r="CZ143" s="425"/>
      <c r="DA143" s="427"/>
      <c r="DB143" s="425"/>
      <c r="DC143" s="425"/>
      <c r="DD143" s="425"/>
      <c r="DE143" s="425"/>
      <c r="DF143" s="425"/>
    </row>
    <row r="144">
      <c r="A144" s="425"/>
      <c r="B144" s="425"/>
      <c r="C144" s="425"/>
      <c r="D144" s="425"/>
      <c r="E144" s="425"/>
      <c r="F144" s="425"/>
      <c r="G144" s="426"/>
      <c r="H144" s="426"/>
      <c r="I144" s="427"/>
      <c r="J144" s="427"/>
      <c r="K144" s="427"/>
      <c r="L144" s="427"/>
      <c r="M144" s="427"/>
      <c r="N144" s="427"/>
      <c r="O144" s="427"/>
      <c r="P144" s="427"/>
      <c r="Q144" s="426"/>
      <c r="R144" s="427"/>
      <c r="S144" s="426"/>
      <c r="T144" s="425"/>
      <c r="U144" s="425"/>
      <c r="V144" s="425"/>
      <c r="W144" s="425"/>
      <c r="X144" s="425"/>
      <c r="Y144" s="425"/>
      <c r="Z144" s="427"/>
      <c r="AA144" s="426"/>
      <c r="AB144" s="427"/>
      <c r="AC144" s="426"/>
      <c r="AD144" s="427"/>
      <c r="AE144" s="426"/>
      <c r="AF144" s="427"/>
      <c r="AG144" s="426"/>
      <c r="AH144" s="428"/>
      <c r="AI144" s="426"/>
      <c r="AJ144" s="428"/>
      <c r="AK144" s="426"/>
      <c r="AL144" s="425"/>
      <c r="AM144" s="425"/>
      <c r="AN144" s="427"/>
      <c r="AO144" s="426"/>
      <c r="AP144" s="425"/>
      <c r="AQ144" s="429"/>
      <c r="AR144" s="427"/>
      <c r="AS144" s="425"/>
      <c r="AT144" s="425"/>
      <c r="AU144" s="425"/>
      <c r="AV144" s="425"/>
      <c r="AW144" s="425"/>
      <c r="AX144" s="425"/>
      <c r="AY144" s="427"/>
      <c r="AZ144" s="425"/>
      <c r="BA144" s="427"/>
      <c r="BB144" s="425"/>
      <c r="BC144" s="427"/>
      <c r="BD144" s="425"/>
      <c r="BE144" s="427"/>
      <c r="BF144" s="427"/>
      <c r="BG144" s="427"/>
      <c r="BH144" s="427"/>
      <c r="BI144" s="425"/>
      <c r="BJ144" s="425"/>
      <c r="BK144" s="425"/>
      <c r="BL144" s="426"/>
      <c r="BM144" s="425"/>
      <c r="BN144" s="426"/>
      <c r="BO144" s="426"/>
      <c r="BP144" s="426"/>
      <c r="BQ144" s="426"/>
      <c r="BR144" s="426"/>
      <c r="BS144" s="430"/>
      <c r="BT144" s="425"/>
      <c r="BU144" s="425"/>
      <c r="BV144" s="425"/>
      <c r="BW144" s="426"/>
      <c r="BX144" s="426"/>
      <c r="BY144" s="426"/>
      <c r="BZ144" s="426"/>
      <c r="CA144" s="427"/>
      <c r="CB144" s="427"/>
      <c r="CC144" s="426"/>
      <c r="CD144" s="425"/>
      <c r="CE144" s="425"/>
      <c r="CF144" s="427"/>
      <c r="CG144" s="427"/>
      <c r="CH144" s="427"/>
      <c r="CI144" s="427"/>
      <c r="CJ144" s="425"/>
      <c r="CK144" s="425"/>
      <c r="CL144" s="425"/>
      <c r="CM144" s="425"/>
      <c r="CN144" s="425"/>
      <c r="CO144" s="425"/>
      <c r="CP144" s="427"/>
      <c r="CQ144" s="425"/>
      <c r="CR144" s="427"/>
      <c r="CS144" s="425"/>
      <c r="CT144" s="427"/>
      <c r="CU144" s="425"/>
      <c r="CV144" s="425"/>
      <c r="CW144" s="427"/>
      <c r="CX144" s="425"/>
      <c r="CY144" s="427"/>
      <c r="CZ144" s="425"/>
      <c r="DA144" s="427"/>
      <c r="DB144" s="425"/>
      <c r="DC144" s="425"/>
      <c r="DD144" s="425"/>
      <c r="DE144" s="425"/>
      <c r="DF144" s="425"/>
    </row>
    <row r="145">
      <c r="A145" s="425"/>
      <c r="B145" s="425"/>
      <c r="C145" s="425"/>
      <c r="D145" s="425"/>
      <c r="E145" s="425"/>
      <c r="F145" s="425"/>
      <c r="G145" s="426"/>
      <c r="H145" s="426"/>
      <c r="I145" s="427"/>
      <c r="J145" s="427"/>
      <c r="K145" s="427"/>
      <c r="L145" s="427"/>
      <c r="M145" s="427"/>
      <c r="N145" s="427"/>
      <c r="O145" s="427"/>
      <c r="P145" s="427"/>
      <c r="Q145" s="426"/>
      <c r="R145" s="427"/>
      <c r="S145" s="426"/>
      <c r="T145" s="425"/>
      <c r="U145" s="425"/>
      <c r="V145" s="425"/>
      <c r="W145" s="425"/>
      <c r="X145" s="425"/>
      <c r="Y145" s="425"/>
      <c r="Z145" s="427"/>
      <c r="AA145" s="426"/>
      <c r="AB145" s="427"/>
      <c r="AC145" s="426"/>
      <c r="AD145" s="427"/>
      <c r="AE145" s="426"/>
      <c r="AF145" s="427"/>
      <c r="AG145" s="426"/>
      <c r="AH145" s="428"/>
      <c r="AI145" s="426"/>
      <c r="AJ145" s="428"/>
      <c r="AK145" s="426"/>
      <c r="AL145" s="425"/>
      <c r="AM145" s="425"/>
      <c r="AN145" s="427"/>
      <c r="AO145" s="426"/>
      <c r="AP145" s="425"/>
      <c r="AQ145" s="429"/>
      <c r="AR145" s="427"/>
      <c r="AS145" s="425"/>
      <c r="AT145" s="425"/>
      <c r="AU145" s="425"/>
      <c r="AV145" s="425"/>
      <c r="AW145" s="425"/>
      <c r="AX145" s="425"/>
      <c r="AY145" s="427"/>
      <c r="AZ145" s="425"/>
      <c r="BA145" s="427"/>
      <c r="BB145" s="425"/>
      <c r="BC145" s="427"/>
      <c r="BD145" s="425"/>
      <c r="BE145" s="427"/>
      <c r="BF145" s="427"/>
      <c r="BG145" s="427"/>
      <c r="BH145" s="427"/>
      <c r="BI145" s="425"/>
      <c r="BJ145" s="425"/>
      <c r="BK145" s="425"/>
      <c r="BL145" s="426"/>
      <c r="BM145" s="425"/>
      <c r="BN145" s="426"/>
      <c r="BO145" s="426"/>
      <c r="BP145" s="426"/>
      <c r="BQ145" s="426"/>
      <c r="BR145" s="426"/>
      <c r="BS145" s="430"/>
      <c r="BT145" s="425"/>
      <c r="BU145" s="425"/>
      <c r="BV145" s="425"/>
      <c r="BW145" s="426"/>
      <c r="BX145" s="426"/>
      <c r="BY145" s="426"/>
      <c r="BZ145" s="426"/>
      <c r="CA145" s="427"/>
      <c r="CB145" s="427"/>
      <c r="CC145" s="426"/>
      <c r="CD145" s="425"/>
      <c r="CE145" s="425"/>
      <c r="CF145" s="427"/>
      <c r="CG145" s="427"/>
      <c r="CH145" s="427"/>
      <c r="CI145" s="427"/>
      <c r="CJ145" s="425"/>
      <c r="CK145" s="425"/>
      <c r="CL145" s="425"/>
      <c r="CM145" s="425"/>
      <c r="CN145" s="425"/>
      <c r="CO145" s="425"/>
      <c r="CP145" s="427"/>
      <c r="CQ145" s="425"/>
      <c r="CR145" s="427"/>
      <c r="CS145" s="425"/>
      <c r="CT145" s="427"/>
      <c r="CU145" s="425"/>
      <c r="CV145" s="425"/>
      <c r="CW145" s="427"/>
      <c r="CX145" s="425"/>
      <c r="CY145" s="427"/>
      <c r="CZ145" s="425"/>
      <c r="DA145" s="427"/>
      <c r="DB145" s="425"/>
      <c r="DC145" s="425"/>
      <c r="DD145" s="425"/>
      <c r="DE145" s="425"/>
      <c r="DF145" s="425"/>
    </row>
    <row r="146">
      <c r="A146" s="425"/>
      <c r="B146" s="425"/>
      <c r="C146" s="425"/>
      <c r="D146" s="425"/>
      <c r="E146" s="425"/>
      <c r="F146" s="425"/>
      <c r="G146" s="426"/>
      <c r="H146" s="426"/>
      <c r="I146" s="427"/>
      <c r="J146" s="427"/>
      <c r="K146" s="427"/>
      <c r="L146" s="427"/>
      <c r="M146" s="427"/>
      <c r="N146" s="427"/>
      <c r="O146" s="427"/>
      <c r="P146" s="427"/>
      <c r="Q146" s="426"/>
      <c r="R146" s="427"/>
      <c r="S146" s="426"/>
      <c r="T146" s="425"/>
      <c r="U146" s="425"/>
      <c r="V146" s="425"/>
      <c r="W146" s="425"/>
      <c r="X146" s="425"/>
      <c r="Y146" s="425"/>
      <c r="Z146" s="427"/>
      <c r="AA146" s="426"/>
      <c r="AB146" s="427"/>
      <c r="AC146" s="426"/>
      <c r="AD146" s="427"/>
      <c r="AE146" s="426"/>
      <c r="AF146" s="427"/>
      <c r="AG146" s="426"/>
      <c r="AH146" s="428"/>
      <c r="AI146" s="426"/>
      <c r="AJ146" s="428"/>
      <c r="AK146" s="426"/>
      <c r="AL146" s="425"/>
      <c r="AM146" s="425"/>
      <c r="AN146" s="427"/>
      <c r="AO146" s="426"/>
      <c r="AP146" s="425"/>
      <c r="AQ146" s="429"/>
      <c r="AR146" s="427"/>
      <c r="AS146" s="425"/>
      <c r="AT146" s="425"/>
      <c r="AU146" s="425"/>
      <c r="AV146" s="425"/>
      <c r="AW146" s="425"/>
      <c r="AX146" s="425"/>
      <c r="AY146" s="427"/>
      <c r="AZ146" s="425"/>
      <c r="BA146" s="427"/>
      <c r="BB146" s="425"/>
      <c r="BC146" s="427"/>
      <c r="BD146" s="425"/>
      <c r="BE146" s="427"/>
      <c r="BF146" s="427"/>
      <c r="BG146" s="427"/>
      <c r="BH146" s="427"/>
      <c r="BI146" s="425"/>
      <c r="BJ146" s="425"/>
      <c r="BK146" s="425"/>
      <c r="BL146" s="426"/>
      <c r="BM146" s="425"/>
      <c r="BN146" s="426"/>
      <c r="BO146" s="426"/>
      <c r="BP146" s="426"/>
      <c r="BQ146" s="426"/>
      <c r="BR146" s="426"/>
      <c r="BS146" s="430"/>
      <c r="BT146" s="425"/>
      <c r="BU146" s="425"/>
      <c r="BV146" s="425"/>
      <c r="BW146" s="426"/>
      <c r="BX146" s="426"/>
      <c r="BY146" s="426"/>
      <c r="BZ146" s="426"/>
      <c r="CA146" s="427"/>
      <c r="CB146" s="427"/>
      <c r="CC146" s="426"/>
      <c r="CD146" s="425"/>
      <c r="CE146" s="425"/>
      <c r="CF146" s="427"/>
      <c r="CG146" s="427"/>
      <c r="CH146" s="427"/>
      <c r="CI146" s="427"/>
      <c r="CJ146" s="425"/>
      <c r="CK146" s="425"/>
      <c r="CL146" s="425"/>
      <c r="CM146" s="425"/>
      <c r="CN146" s="425"/>
      <c r="CO146" s="425"/>
      <c r="CP146" s="427"/>
      <c r="CQ146" s="425"/>
      <c r="CR146" s="427"/>
      <c r="CS146" s="425"/>
      <c r="CT146" s="427"/>
      <c r="CU146" s="425"/>
      <c r="CV146" s="425"/>
      <c r="CW146" s="427"/>
      <c r="CX146" s="425"/>
      <c r="CY146" s="427"/>
      <c r="CZ146" s="425"/>
      <c r="DA146" s="427"/>
      <c r="DB146" s="425"/>
      <c r="DC146" s="425"/>
      <c r="DD146" s="425"/>
      <c r="DE146" s="425"/>
      <c r="DF146" s="425"/>
    </row>
    <row r="147">
      <c r="A147" s="425"/>
      <c r="B147" s="425"/>
      <c r="C147" s="425"/>
      <c r="D147" s="425"/>
      <c r="E147" s="425"/>
      <c r="F147" s="425"/>
      <c r="G147" s="426"/>
      <c r="H147" s="426"/>
      <c r="I147" s="427"/>
      <c r="J147" s="427"/>
      <c r="K147" s="427"/>
      <c r="L147" s="427"/>
      <c r="M147" s="427"/>
      <c r="N147" s="427"/>
      <c r="O147" s="427"/>
      <c r="P147" s="427"/>
      <c r="Q147" s="426"/>
      <c r="R147" s="427"/>
      <c r="S147" s="426"/>
      <c r="T147" s="425"/>
      <c r="U147" s="425"/>
      <c r="V147" s="425"/>
      <c r="W147" s="425"/>
      <c r="X147" s="425"/>
      <c r="Y147" s="425"/>
      <c r="Z147" s="427"/>
      <c r="AA147" s="426"/>
      <c r="AB147" s="427"/>
      <c r="AC147" s="426"/>
      <c r="AD147" s="427"/>
      <c r="AE147" s="426"/>
      <c r="AF147" s="427"/>
      <c r="AG147" s="426"/>
      <c r="AH147" s="428"/>
      <c r="AI147" s="426"/>
      <c r="AJ147" s="428"/>
      <c r="AK147" s="426"/>
      <c r="AL147" s="425"/>
      <c r="AM147" s="425"/>
      <c r="AN147" s="427"/>
      <c r="AO147" s="426"/>
      <c r="AP147" s="425"/>
      <c r="AQ147" s="429"/>
      <c r="AR147" s="427"/>
      <c r="AS147" s="425"/>
      <c r="AT147" s="425"/>
      <c r="AU147" s="425"/>
      <c r="AV147" s="425"/>
      <c r="AW147" s="425"/>
      <c r="AX147" s="425"/>
      <c r="AY147" s="427"/>
      <c r="AZ147" s="425"/>
      <c r="BA147" s="427"/>
      <c r="BB147" s="425"/>
      <c r="BC147" s="427"/>
      <c r="BD147" s="425"/>
      <c r="BE147" s="427"/>
      <c r="BF147" s="427"/>
      <c r="BG147" s="427"/>
      <c r="BH147" s="427"/>
      <c r="BI147" s="425"/>
      <c r="BJ147" s="425"/>
      <c r="BK147" s="425"/>
      <c r="BL147" s="426"/>
      <c r="BM147" s="425"/>
      <c r="BN147" s="426"/>
      <c r="BO147" s="426"/>
      <c r="BP147" s="426"/>
      <c r="BQ147" s="426"/>
      <c r="BR147" s="426"/>
      <c r="BS147" s="430"/>
      <c r="BT147" s="425"/>
      <c r="BU147" s="425"/>
      <c r="BV147" s="425"/>
      <c r="BW147" s="426"/>
      <c r="BX147" s="426"/>
      <c r="BY147" s="426"/>
      <c r="BZ147" s="426"/>
      <c r="CA147" s="427"/>
      <c r="CB147" s="427"/>
      <c r="CC147" s="426"/>
      <c r="CD147" s="425"/>
      <c r="CE147" s="425"/>
      <c r="CF147" s="427"/>
      <c r="CG147" s="427"/>
      <c r="CH147" s="427"/>
      <c r="CI147" s="427"/>
      <c r="CJ147" s="425"/>
      <c r="CK147" s="425"/>
      <c r="CL147" s="425"/>
      <c r="CM147" s="425"/>
      <c r="CN147" s="425"/>
      <c r="CO147" s="425"/>
      <c r="CP147" s="427"/>
      <c r="CQ147" s="425"/>
      <c r="CR147" s="427"/>
      <c r="CS147" s="425"/>
      <c r="CT147" s="427"/>
      <c r="CU147" s="425"/>
      <c r="CV147" s="425"/>
      <c r="CW147" s="427"/>
      <c r="CX147" s="425"/>
      <c r="CY147" s="427"/>
      <c r="CZ147" s="425"/>
      <c r="DA147" s="427"/>
      <c r="DB147" s="425"/>
      <c r="DC147" s="425"/>
      <c r="DD147" s="425"/>
      <c r="DE147" s="425"/>
      <c r="DF147" s="425"/>
    </row>
    <row r="148">
      <c r="A148" s="425"/>
      <c r="B148" s="425"/>
      <c r="C148" s="425"/>
      <c r="D148" s="425"/>
      <c r="E148" s="425"/>
      <c r="F148" s="425"/>
      <c r="G148" s="426"/>
      <c r="H148" s="426"/>
      <c r="I148" s="427"/>
      <c r="J148" s="427"/>
      <c r="K148" s="427"/>
      <c r="L148" s="427"/>
      <c r="M148" s="427"/>
      <c r="N148" s="427"/>
      <c r="O148" s="427"/>
      <c r="P148" s="427"/>
      <c r="Q148" s="426"/>
      <c r="R148" s="427"/>
      <c r="S148" s="426"/>
      <c r="T148" s="425"/>
      <c r="U148" s="425"/>
      <c r="V148" s="425"/>
      <c r="W148" s="425"/>
      <c r="X148" s="425"/>
      <c r="Y148" s="425"/>
      <c r="Z148" s="427"/>
      <c r="AA148" s="426"/>
      <c r="AB148" s="427"/>
      <c r="AC148" s="426"/>
      <c r="AD148" s="427"/>
      <c r="AE148" s="426"/>
      <c r="AF148" s="427"/>
      <c r="AG148" s="426"/>
      <c r="AH148" s="428"/>
      <c r="AI148" s="426"/>
      <c r="AJ148" s="428"/>
      <c r="AK148" s="426"/>
      <c r="AL148" s="425"/>
      <c r="AM148" s="425"/>
      <c r="AN148" s="427"/>
      <c r="AO148" s="426"/>
      <c r="AP148" s="425"/>
      <c r="AQ148" s="429"/>
      <c r="AR148" s="427"/>
      <c r="AS148" s="425"/>
      <c r="AT148" s="425"/>
      <c r="AU148" s="425"/>
      <c r="AV148" s="425"/>
      <c r="AW148" s="425"/>
      <c r="AX148" s="425"/>
      <c r="AY148" s="427"/>
      <c r="AZ148" s="425"/>
      <c r="BA148" s="427"/>
      <c r="BB148" s="425"/>
      <c r="BC148" s="427"/>
      <c r="BD148" s="425"/>
      <c r="BE148" s="427"/>
      <c r="BF148" s="427"/>
      <c r="BG148" s="427"/>
      <c r="BH148" s="427"/>
      <c r="BI148" s="425"/>
      <c r="BJ148" s="425"/>
      <c r="BK148" s="425"/>
      <c r="BL148" s="426"/>
      <c r="BM148" s="425"/>
      <c r="BN148" s="426"/>
      <c r="BO148" s="426"/>
      <c r="BP148" s="426"/>
      <c r="BQ148" s="426"/>
      <c r="BR148" s="426"/>
      <c r="BS148" s="430"/>
      <c r="BT148" s="425"/>
      <c r="BU148" s="425"/>
      <c r="BV148" s="425"/>
      <c r="BW148" s="426"/>
      <c r="BX148" s="426"/>
      <c r="BY148" s="426"/>
      <c r="BZ148" s="426"/>
      <c r="CA148" s="427"/>
      <c r="CB148" s="427"/>
      <c r="CC148" s="426"/>
      <c r="CD148" s="425"/>
      <c r="CE148" s="425"/>
      <c r="CF148" s="427"/>
      <c r="CG148" s="427"/>
      <c r="CH148" s="427"/>
      <c r="CI148" s="427"/>
      <c r="CJ148" s="425"/>
      <c r="CK148" s="425"/>
      <c r="CL148" s="425"/>
      <c r="CM148" s="425"/>
      <c r="CN148" s="425"/>
      <c r="CO148" s="425"/>
      <c r="CP148" s="427"/>
      <c r="CQ148" s="425"/>
      <c r="CR148" s="427"/>
      <c r="CS148" s="425"/>
      <c r="CT148" s="427"/>
      <c r="CU148" s="425"/>
      <c r="CV148" s="425"/>
      <c r="CW148" s="427"/>
      <c r="CX148" s="425"/>
      <c r="CY148" s="427"/>
      <c r="CZ148" s="425"/>
      <c r="DA148" s="427"/>
      <c r="DB148" s="425"/>
      <c r="DC148" s="425"/>
      <c r="DD148" s="425"/>
      <c r="DE148" s="425"/>
      <c r="DF148" s="425"/>
    </row>
    <row r="149">
      <c r="A149" s="425"/>
      <c r="B149" s="425"/>
      <c r="C149" s="425"/>
      <c r="D149" s="425"/>
      <c r="E149" s="425"/>
      <c r="F149" s="425"/>
      <c r="G149" s="426"/>
      <c r="H149" s="426"/>
      <c r="I149" s="427"/>
      <c r="J149" s="427"/>
      <c r="K149" s="427"/>
      <c r="L149" s="427"/>
      <c r="M149" s="427"/>
      <c r="N149" s="427"/>
      <c r="O149" s="427"/>
      <c r="P149" s="427"/>
      <c r="Q149" s="426"/>
      <c r="R149" s="427"/>
      <c r="S149" s="426"/>
      <c r="T149" s="425"/>
      <c r="U149" s="425"/>
      <c r="V149" s="425"/>
      <c r="W149" s="425"/>
      <c r="X149" s="425"/>
      <c r="Y149" s="425"/>
      <c r="Z149" s="427"/>
      <c r="AA149" s="426"/>
      <c r="AB149" s="427"/>
      <c r="AC149" s="426"/>
      <c r="AD149" s="427"/>
      <c r="AE149" s="426"/>
      <c r="AF149" s="427"/>
      <c r="AG149" s="426"/>
      <c r="AH149" s="428"/>
      <c r="AI149" s="426"/>
      <c r="AJ149" s="428"/>
      <c r="AK149" s="426"/>
      <c r="AL149" s="425"/>
      <c r="AM149" s="425"/>
      <c r="AN149" s="427"/>
      <c r="AO149" s="426"/>
      <c r="AP149" s="425"/>
      <c r="AQ149" s="429"/>
      <c r="AR149" s="427"/>
      <c r="AS149" s="425"/>
      <c r="AT149" s="425"/>
      <c r="AU149" s="425"/>
      <c r="AV149" s="425"/>
      <c r="AW149" s="425"/>
      <c r="AX149" s="425"/>
      <c r="AY149" s="427"/>
      <c r="AZ149" s="425"/>
      <c r="BA149" s="427"/>
      <c r="BB149" s="425"/>
      <c r="BC149" s="427"/>
      <c r="BD149" s="425"/>
      <c r="BE149" s="427"/>
      <c r="BF149" s="427"/>
      <c r="BG149" s="427"/>
      <c r="BH149" s="427"/>
      <c r="BI149" s="425"/>
      <c r="BJ149" s="425"/>
      <c r="BK149" s="425"/>
      <c r="BL149" s="426"/>
      <c r="BM149" s="425"/>
      <c r="BN149" s="426"/>
      <c r="BO149" s="426"/>
      <c r="BP149" s="426"/>
      <c r="BQ149" s="426"/>
      <c r="BR149" s="426"/>
      <c r="BS149" s="430"/>
      <c r="BT149" s="425"/>
      <c r="BU149" s="425"/>
      <c r="BV149" s="425"/>
      <c r="BW149" s="426"/>
      <c r="BX149" s="426"/>
      <c r="BY149" s="426"/>
      <c r="BZ149" s="426"/>
      <c r="CA149" s="427"/>
      <c r="CB149" s="427"/>
      <c r="CC149" s="426"/>
      <c r="CD149" s="425"/>
      <c r="CE149" s="425"/>
      <c r="CF149" s="427"/>
      <c r="CG149" s="427"/>
      <c r="CH149" s="427"/>
      <c r="CI149" s="427"/>
      <c r="CJ149" s="425"/>
      <c r="CK149" s="425"/>
      <c r="CL149" s="425"/>
      <c r="CM149" s="425"/>
      <c r="CN149" s="425"/>
      <c r="CO149" s="425"/>
      <c r="CP149" s="427"/>
      <c r="CQ149" s="425"/>
      <c r="CR149" s="427"/>
      <c r="CS149" s="425"/>
      <c r="CT149" s="427"/>
      <c r="CU149" s="425"/>
      <c r="CV149" s="425"/>
      <c r="CW149" s="427"/>
      <c r="CX149" s="425"/>
      <c r="CY149" s="427"/>
      <c r="CZ149" s="425"/>
      <c r="DA149" s="427"/>
      <c r="DB149" s="425"/>
      <c r="DC149" s="425"/>
      <c r="DD149" s="425"/>
      <c r="DE149" s="425"/>
      <c r="DF149" s="425"/>
    </row>
    <row r="150">
      <c r="A150" s="425"/>
      <c r="B150" s="425"/>
      <c r="C150" s="425"/>
      <c r="D150" s="425"/>
      <c r="E150" s="425"/>
      <c r="F150" s="425"/>
      <c r="G150" s="426"/>
      <c r="H150" s="426"/>
      <c r="I150" s="427"/>
      <c r="J150" s="427"/>
      <c r="K150" s="427"/>
      <c r="L150" s="427"/>
      <c r="M150" s="427"/>
      <c r="N150" s="427"/>
      <c r="O150" s="427"/>
      <c r="P150" s="427"/>
      <c r="Q150" s="426"/>
      <c r="R150" s="427"/>
      <c r="S150" s="426"/>
      <c r="T150" s="425"/>
      <c r="U150" s="425"/>
      <c r="V150" s="425"/>
      <c r="W150" s="425"/>
      <c r="X150" s="425"/>
      <c r="Y150" s="425"/>
      <c r="Z150" s="427"/>
      <c r="AA150" s="426"/>
      <c r="AB150" s="427"/>
      <c r="AC150" s="426"/>
      <c r="AD150" s="427"/>
      <c r="AE150" s="426"/>
      <c r="AF150" s="427"/>
      <c r="AG150" s="426"/>
      <c r="AH150" s="428"/>
      <c r="AI150" s="426"/>
      <c r="AJ150" s="428"/>
      <c r="AK150" s="426"/>
      <c r="AL150" s="425"/>
      <c r="AM150" s="425"/>
      <c r="AN150" s="427"/>
      <c r="AO150" s="426"/>
      <c r="AP150" s="425"/>
      <c r="AQ150" s="429"/>
      <c r="AR150" s="427"/>
      <c r="AS150" s="425"/>
      <c r="AT150" s="425"/>
      <c r="AU150" s="425"/>
      <c r="AV150" s="425"/>
      <c r="AW150" s="425"/>
      <c r="AX150" s="425"/>
      <c r="AY150" s="427"/>
      <c r="AZ150" s="425"/>
      <c r="BA150" s="427"/>
      <c r="BB150" s="425"/>
      <c r="BC150" s="427"/>
      <c r="BD150" s="425"/>
      <c r="BE150" s="427"/>
      <c r="BF150" s="427"/>
      <c r="BG150" s="427"/>
      <c r="BH150" s="427"/>
      <c r="BI150" s="425"/>
      <c r="BJ150" s="425"/>
      <c r="BK150" s="425"/>
      <c r="BL150" s="426"/>
      <c r="BM150" s="425"/>
      <c r="BN150" s="426"/>
      <c r="BO150" s="426"/>
      <c r="BP150" s="426"/>
      <c r="BQ150" s="426"/>
      <c r="BR150" s="426"/>
      <c r="BS150" s="430"/>
      <c r="BT150" s="425"/>
      <c r="BU150" s="425"/>
      <c r="BV150" s="425"/>
      <c r="BW150" s="426"/>
      <c r="BX150" s="426"/>
      <c r="BY150" s="426"/>
      <c r="BZ150" s="426"/>
      <c r="CA150" s="427"/>
      <c r="CB150" s="427"/>
      <c r="CC150" s="426"/>
      <c r="CD150" s="425"/>
      <c r="CE150" s="425"/>
      <c r="CF150" s="427"/>
      <c r="CG150" s="427"/>
      <c r="CH150" s="427"/>
      <c r="CI150" s="427"/>
      <c r="CJ150" s="425"/>
      <c r="CK150" s="425"/>
      <c r="CL150" s="425"/>
      <c r="CM150" s="425"/>
      <c r="CN150" s="425"/>
      <c r="CO150" s="425"/>
      <c r="CP150" s="427"/>
      <c r="CQ150" s="425"/>
      <c r="CR150" s="427"/>
      <c r="CS150" s="425"/>
      <c r="CT150" s="427"/>
      <c r="CU150" s="425"/>
      <c r="CV150" s="425"/>
      <c r="CW150" s="427"/>
      <c r="CX150" s="425"/>
      <c r="CY150" s="427"/>
      <c r="CZ150" s="425"/>
      <c r="DA150" s="427"/>
      <c r="DB150" s="425"/>
      <c r="DC150" s="425"/>
      <c r="DD150" s="425"/>
      <c r="DE150" s="425"/>
      <c r="DF150" s="425"/>
    </row>
    <row r="151">
      <c r="A151" s="425"/>
      <c r="B151" s="425"/>
      <c r="C151" s="425"/>
      <c r="D151" s="425"/>
      <c r="E151" s="425"/>
      <c r="F151" s="425"/>
      <c r="G151" s="426"/>
      <c r="H151" s="426"/>
      <c r="I151" s="427"/>
      <c r="J151" s="427"/>
      <c r="K151" s="427"/>
      <c r="L151" s="427"/>
      <c r="M151" s="427"/>
      <c r="N151" s="427"/>
      <c r="O151" s="427"/>
      <c r="P151" s="427"/>
      <c r="Q151" s="426"/>
      <c r="R151" s="427"/>
      <c r="S151" s="426"/>
      <c r="T151" s="425"/>
      <c r="U151" s="425"/>
      <c r="V151" s="425"/>
      <c r="W151" s="425"/>
      <c r="X151" s="425"/>
      <c r="Y151" s="425"/>
      <c r="Z151" s="427"/>
      <c r="AA151" s="426"/>
      <c r="AB151" s="427"/>
      <c r="AC151" s="426"/>
      <c r="AD151" s="427"/>
      <c r="AE151" s="426"/>
      <c r="AF151" s="427"/>
      <c r="AG151" s="426"/>
      <c r="AH151" s="428"/>
      <c r="AI151" s="426"/>
      <c r="AJ151" s="428"/>
      <c r="AK151" s="426"/>
      <c r="AL151" s="425"/>
      <c r="AM151" s="425"/>
      <c r="AN151" s="427"/>
      <c r="AO151" s="426"/>
      <c r="AP151" s="425"/>
      <c r="AQ151" s="429"/>
      <c r="AR151" s="427"/>
      <c r="AS151" s="425"/>
      <c r="AT151" s="425"/>
      <c r="AU151" s="425"/>
      <c r="AV151" s="425"/>
      <c r="AW151" s="425"/>
      <c r="AX151" s="425"/>
      <c r="AY151" s="427"/>
      <c r="AZ151" s="425"/>
      <c r="BA151" s="427"/>
      <c r="BB151" s="425"/>
      <c r="BC151" s="427"/>
      <c r="BD151" s="425"/>
      <c r="BE151" s="427"/>
      <c r="BF151" s="427"/>
      <c r="BG151" s="427"/>
      <c r="BH151" s="427"/>
      <c r="BI151" s="425"/>
      <c r="BJ151" s="425"/>
      <c r="BK151" s="425"/>
      <c r="BL151" s="426"/>
      <c r="BM151" s="425"/>
      <c r="BN151" s="426"/>
      <c r="BO151" s="426"/>
      <c r="BP151" s="426"/>
      <c r="BQ151" s="426"/>
      <c r="BR151" s="426"/>
      <c r="BS151" s="430"/>
      <c r="BT151" s="425"/>
      <c r="BU151" s="425"/>
      <c r="BV151" s="425"/>
      <c r="BW151" s="426"/>
      <c r="BX151" s="426"/>
      <c r="BY151" s="426"/>
      <c r="BZ151" s="426"/>
      <c r="CA151" s="427"/>
      <c r="CB151" s="427"/>
      <c r="CC151" s="426"/>
      <c r="CD151" s="425"/>
      <c r="CE151" s="425"/>
      <c r="CF151" s="427"/>
      <c r="CG151" s="427"/>
      <c r="CH151" s="427"/>
      <c r="CI151" s="427"/>
      <c r="CJ151" s="425"/>
      <c r="CK151" s="425"/>
      <c r="CL151" s="425"/>
      <c r="CM151" s="425"/>
      <c r="CN151" s="425"/>
      <c r="CO151" s="425"/>
      <c r="CP151" s="427"/>
      <c r="CQ151" s="425"/>
      <c r="CR151" s="427"/>
      <c r="CS151" s="425"/>
      <c r="CT151" s="427"/>
      <c r="CU151" s="425"/>
      <c r="CV151" s="425"/>
      <c r="CW151" s="427"/>
      <c r="CX151" s="425"/>
      <c r="CY151" s="427"/>
      <c r="CZ151" s="425"/>
      <c r="DA151" s="427"/>
      <c r="DB151" s="425"/>
      <c r="DC151" s="425"/>
      <c r="DD151" s="425"/>
      <c r="DE151" s="425"/>
      <c r="DF151" s="425"/>
    </row>
    <row r="152">
      <c r="A152" s="425"/>
      <c r="B152" s="425"/>
      <c r="C152" s="425"/>
      <c r="D152" s="425"/>
      <c r="E152" s="425"/>
      <c r="F152" s="425"/>
      <c r="G152" s="426"/>
      <c r="H152" s="426"/>
      <c r="I152" s="427"/>
      <c r="J152" s="427"/>
      <c r="K152" s="427"/>
      <c r="L152" s="427"/>
      <c r="M152" s="427"/>
      <c r="N152" s="427"/>
      <c r="O152" s="427"/>
      <c r="P152" s="427"/>
      <c r="Q152" s="426"/>
      <c r="R152" s="427"/>
      <c r="S152" s="426"/>
      <c r="T152" s="425"/>
      <c r="U152" s="425"/>
      <c r="V152" s="425"/>
      <c r="W152" s="425"/>
      <c r="X152" s="425"/>
      <c r="Y152" s="425"/>
      <c r="Z152" s="427"/>
      <c r="AA152" s="426"/>
      <c r="AB152" s="427"/>
      <c r="AC152" s="426"/>
      <c r="AD152" s="427"/>
      <c r="AE152" s="426"/>
      <c r="AF152" s="427"/>
      <c r="AG152" s="426"/>
      <c r="AH152" s="428"/>
      <c r="AI152" s="426"/>
      <c r="AJ152" s="428"/>
      <c r="AK152" s="426"/>
      <c r="AL152" s="425"/>
      <c r="AM152" s="425"/>
      <c r="AN152" s="427"/>
      <c r="AO152" s="426"/>
      <c r="AP152" s="425"/>
      <c r="AQ152" s="429"/>
      <c r="AR152" s="427"/>
      <c r="AS152" s="425"/>
      <c r="AT152" s="425"/>
      <c r="AU152" s="425"/>
      <c r="AV152" s="425"/>
      <c r="AW152" s="425"/>
      <c r="AX152" s="425"/>
      <c r="AY152" s="427"/>
      <c r="AZ152" s="425"/>
      <c r="BA152" s="427"/>
      <c r="BB152" s="425"/>
      <c r="BC152" s="427"/>
      <c r="BD152" s="425"/>
      <c r="BE152" s="427"/>
      <c r="BF152" s="427"/>
      <c r="BG152" s="427"/>
      <c r="BH152" s="427"/>
      <c r="BI152" s="425"/>
      <c r="BJ152" s="425"/>
      <c r="BK152" s="425"/>
      <c r="BL152" s="426"/>
      <c r="BM152" s="425"/>
      <c r="BN152" s="426"/>
      <c r="BO152" s="426"/>
      <c r="BP152" s="426"/>
      <c r="BQ152" s="426"/>
      <c r="BR152" s="426"/>
      <c r="BS152" s="430"/>
      <c r="BT152" s="425"/>
      <c r="BU152" s="425"/>
      <c r="BV152" s="425"/>
      <c r="BW152" s="426"/>
      <c r="BX152" s="426"/>
      <c r="BY152" s="426"/>
      <c r="BZ152" s="426"/>
      <c r="CA152" s="427"/>
      <c r="CB152" s="427"/>
      <c r="CC152" s="426"/>
      <c r="CD152" s="425"/>
      <c r="CE152" s="425"/>
      <c r="CF152" s="427"/>
      <c r="CG152" s="427"/>
      <c r="CH152" s="427"/>
      <c r="CI152" s="427"/>
      <c r="CJ152" s="425"/>
      <c r="CK152" s="425"/>
      <c r="CL152" s="425"/>
      <c r="CM152" s="425"/>
      <c r="CN152" s="425"/>
      <c r="CO152" s="425"/>
      <c r="CP152" s="427"/>
      <c r="CQ152" s="425"/>
      <c r="CR152" s="427"/>
      <c r="CS152" s="425"/>
      <c r="CT152" s="427"/>
      <c r="CU152" s="425"/>
      <c r="CV152" s="425"/>
      <c r="CW152" s="427"/>
      <c r="CX152" s="425"/>
      <c r="CY152" s="427"/>
      <c r="CZ152" s="425"/>
      <c r="DA152" s="427"/>
      <c r="DB152" s="425"/>
      <c r="DC152" s="425"/>
      <c r="DD152" s="425"/>
      <c r="DE152" s="425"/>
      <c r="DF152" s="425"/>
    </row>
    <row r="153">
      <c r="A153" s="425"/>
      <c r="B153" s="425"/>
      <c r="C153" s="425"/>
      <c r="D153" s="425"/>
      <c r="E153" s="425"/>
      <c r="F153" s="425"/>
      <c r="G153" s="426"/>
      <c r="H153" s="426"/>
      <c r="I153" s="427"/>
      <c r="J153" s="427"/>
      <c r="K153" s="427"/>
      <c r="L153" s="427"/>
      <c r="M153" s="427"/>
      <c r="N153" s="427"/>
      <c r="O153" s="427"/>
      <c r="P153" s="427"/>
      <c r="Q153" s="426"/>
      <c r="R153" s="427"/>
      <c r="S153" s="426"/>
      <c r="T153" s="425"/>
      <c r="U153" s="425"/>
      <c r="V153" s="425"/>
      <c r="W153" s="425"/>
      <c r="X153" s="425"/>
      <c r="Y153" s="425"/>
      <c r="Z153" s="427"/>
      <c r="AA153" s="426"/>
      <c r="AB153" s="427"/>
      <c r="AC153" s="426"/>
      <c r="AD153" s="427"/>
      <c r="AE153" s="426"/>
      <c r="AF153" s="427"/>
      <c r="AG153" s="426"/>
      <c r="AH153" s="428"/>
      <c r="AI153" s="426"/>
      <c r="AJ153" s="428"/>
      <c r="AK153" s="426"/>
      <c r="AL153" s="425"/>
      <c r="AM153" s="425"/>
      <c r="AN153" s="427"/>
      <c r="AO153" s="426"/>
      <c r="AP153" s="425"/>
      <c r="AQ153" s="429"/>
      <c r="AR153" s="427"/>
      <c r="AS153" s="425"/>
      <c r="AT153" s="425"/>
      <c r="AU153" s="425"/>
      <c r="AV153" s="425"/>
      <c r="AW153" s="425"/>
      <c r="AX153" s="425"/>
      <c r="AY153" s="427"/>
      <c r="AZ153" s="425"/>
      <c r="BA153" s="427"/>
      <c r="BB153" s="425"/>
      <c r="BC153" s="427"/>
      <c r="BD153" s="425"/>
      <c r="BE153" s="427"/>
      <c r="BF153" s="427"/>
      <c r="BG153" s="427"/>
      <c r="BH153" s="427"/>
      <c r="BI153" s="425"/>
      <c r="BJ153" s="425"/>
      <c r="BK153" s="425"/>
      <c r="BL153" s="426"/>
      <c r="BM153" s="425"/>
      <c r="BN153" s="426"/>
      <c r="BO153" s="426"/>
      <c r="BP153" s="426"/>
      <c r="BQ153" s="426"/>
      <c r="BR153" s="426"/>
      <c r="BS153" s="430"/>
      <c r="BT153" s="425"/>
      <c r="BU153" s="425"/>
      <c r="BV153" s="425"/>
      <c r="BW153" s="426"/>
      <c r="BX153" s="426"/>
      <c r="BY153" s="426"/>
      <c r="BZ153" s="426"/>
      <c r="CA153" s="427"/>
      <c r="CB153" s="427"/>
      <c r="CC153" s="426"/>
      <c r="CD153" s="425"/>
      <c r="CE153" s="425"/>
      <c r="CF153" s="427"/>
      <c r="CG153" s="427"/>
      <c r="CH153" s="427"/>
      <c r="CI153" s="427"/>
      <c r="CJ153" s="425"/>
      <c r="CK153" s="425"/>
      <c r="CL153" s="425"/>
      <c r="CM153" s="425"/>
      <c r="CN153" s="425"/>
      <c r="CO153" s="425"/>
      <c r="CP153" s="427"/>
      <c r="CQ153" s="425"/>
      <c r="CR153" s="427"/>
      <c r="CS153" s="425"/>
      <c r="CT153" s="427"/>
      <c r="CU153" s="425"/>
      <c r="CV153" s="425"/>
      <c r="CW153" s="427"/>
      <c r="CX153" s="425"/>
      <c r="CY153" s="427"/>
      <c r="CZ153" s="425"/>
      <c r="DA153" s="427"/>
      <c r="DB153" s="425"/>
      <c r="DC153" s="425"/>
      <c r="DD153" s="425"/>
      <c r="DE153" s="425"/>
      <c r="DF153" s="425"/>
    </row>
    <row r="154">
      <c r="A154" s="425"/>
      <c r="B154" s="425"/>
      <c r="C154" s="425"/>
      <c r="D154" s="425"/>
      <c r="E154" s="425"/>
      <c r="F154" s="425"/>
      <c r="G154" s="426"/>
      <c r="H154" s="426"/>
      <c r="I154" s="427"/>
      <c r="J154" s="427"/>
      <c r="K154" s="427"/>
      <c r="L154" s="427"/>
      <c r="M154" s="427"/>
      <c r="N154" s="427"/>
      <c r="O154" s="427"/>
      <c r="P154" s="427"/>
      <c r="Q154" s="426"/>
      <c r="R154" s="427"/>
      <c r="S154" s="426"/>
      <c r="T154" s="425"/>
      <c r="U154" s="425"/>
      <c r="V154" s="425"/>
      <c r="W154" s="425"/>
      <c r="X154" s="425"/>
      <c r="Y154" s="425"/>
      <c r="Z154" s="427"/>
      <c r="AA154" s="426"/>
      <c r="AB154" s="427"/>
      <c r="AC154" s="426"/>
      <c r="AD154" s="427"/>
      <c r="AE154" s="426"/>
      <c r="AF154" s="427"/>
      <c r="AG154" s="426"/>
      <c r="AH154" s="428"/>
      <c r="AI154" s="426"/>
      <c r="AJ154" s="428"/>
      <c r="AK154" s="426"/>
      <c r="AL154" s="425"/>
      <c r="AM154" s="425"/>
      <c r="AN154" s="427"/>
      <c r="AO154" s="426"/>
      <c r="AP154" s="425"/>
      <c r="AQ154" s="429"/>
      <c r="AR154" s="427"/>
      <c r="AS154" s="425"/>
      <c r="AT154" s="425"/>
      <c r="AU154" s="425"/>
      <c r="AV154" s="425"/>
      <c r="AW154" s="425"/>
      <c r="AX154" s="425"/>
      <c r="AY154" s="427"/>
      <c r="AZ154" s="425"/>
      <c r="BA154" s="427"/>
      <c r="BB154" s="425"/>
      <c r="BC154" s="427"/>
      <c r="BD154" s="425"/>
      <c r="BE154" s="427"/>
      <c r="BF154" s="427"/>
      <c r="BG154" s="427"/>
      <c r="BH154" s="427"/>
      <c r="BI154" s="425"/>
      <c r="BJ154" s="425"/>
      <c r="BK154" s="425"/>
      <c r="BL154" s="426"/>
      <c r="BM154" s="425"/>
      <c r="BN154" s="426"/>
      <c r="BO154" s="426"/>
      <c r="BP154" s="426"/>
      <c r="BQ154" s="426"/>
      <c r="BR154" s="426"/>
      <c r="BS154" s="430"/>
      <c r="BT154" s="425"/>
      <c r="BU154" s="425"/>
      <c r="BV154" s="425"/>
      <c r="BW154" s="426"/>
      <c r="BX154" s="426"/>
      <c r="BY154" s="426"/>
      <c r="BZ154" s="426"/>
      <c r="CA154" s="427"/>
      <c r="CB154" s="427"/>
      <c r="CC154" s="426"/>
      <c r="CD154" s="425"/>
      <c r="CE154" s="425"/>
      <c r="CF154" s="427"/>
      <c r="CG154" s="427"/>
      <c r="CH154" s="427"/>
      <c r="CI154" s="427"/>
      <c r="CJ154" s="425"/>
      <c r="CK154" s="425"/>
      <c r="CL154" s="425"/>
      <c r="CM154" s="425"/>
      <c r="CN154" s="425"/>
      <c r="CO154" s="425"/>
      <c r="CP154" s="427"/>
      <c r="CQ154" s="425"/>
      <c r="CR154" s="427"/>
      <c r="CS154" s="425"/>
      <c r="CT154" s="427"/>
      <c r="CU154" s="425"/>
      <c r="CV154" s="425"/>
      <c r="CW154" s="427"/>
      <c r="CX154" s="425"/>
      <c r="CY154" s="427"/>
      <c r="CZ154" s="425"/>
      <c r="DA154" s="427"/>
      <c r="DB154" s="425"/>
      <c r="DC154" s="425"/>
      <c r="DD154" s="425"/>
      <c r="DE154" s="425"/>
      <c r="DF154" s="425"/>
    </row>
    <row r="155">
      <c r="A155" s="425"/>
      <c r="B155" s="425"/>
      <c r="C155" s="425"/>
      <c r="D155" s="425"/>
      <c r="E155" s="425"/>
      <c r="F155" s="425"/>
      <c r="G155" s="426"/>
      <c r="H155" s="426"/>
      <c r="I155" s="427"/>
      <c r="J155" s="427"/>
      <c r="K155" s="427"/>
      <c r="L155" s="427"/>
      <c r="M155" s="427"/>
      <c r="N155" s="427"/>
      <c r="O155" s="427"/>
      <c r="P155" s="427"/>
      <c r="Q155" s="426"/>
      <c r="R155" s="427"/>
      <c r="S155" s="426"/>
      <c r="T155" s="425"/>
      <c r="U155" s="425"/>
      <c r="V155" s="425"/>
      <c r="W155" s="425"/>
      <c r="X155" s="425"/>
      <c r="Y155" s="425"/>
      <c r="Z155" s="427"/>
      <c r="AA155" s="426"/>
      <c r="AB155" s="427"/>
      <c r="AC155" s="426"/>
      <c r="AD155" s="427"/>
      <c r="AE155" s="426"/>
      <c r="AF155" s="427"/>
      <c r="AG155" s="426"/>
      <c r="AH155" s="428"/>
      <c r="AI155" s="426"/>
      <c r="AJ155" s="428"/>
      <c r="AK155" s="426"/>
      <c r="AL155" s="425"/>
      <c r="AM155" s="425"/>
      <c r="AN155" s="427"/>
      <c r="AO155" s="426"/>
      <c r="AP155" s="425"/>
      <c r="AQ155" s="429"/>
      <c r="AR155" s="427"/>
      <c r="AS155" s="425"/>
      <c r="AT155" s="425"/>
      <c r="AU155" s="425"/>
      <c r="AV155" s="425"/>
      <c r="AW155" s="425"/>
      <c r="AX155" s="425"/>
      <c r="AY155" s="427"/>
      <c r="AZ155" s="425"/>
      <c r="BA155" s="427"/>
      <c r="BB155" s="425"/>
      <c r="BC155" s="427"/>
      <c r="BD155" s="425"/>
      <c r="BE155" s="427"/>
      <c r="BF155" s="427"/>
      <c r="BG155" s="427"/>
      <c r="BH155" s="427"/>
      <c r="BI155" s="425"/>
      <c r="BJ155" s="425"/>
      <c r="BK155" s="425"/>
      <c r="BL155" s="426"/>
      <c r="BM155" s="425"/>
      <c r="BN155" s="426"/>
      <c r="BO155" s="426"/>
      <c r="BP155" s="426"/>
      <c r="BQ155" s="426"/>
      <c r="BR155" s="426"/>
      <c r="BS155" s="430"/>
      <c r="BT155" s="425"/>
      <c r="BU155" s="425"/>
      <c r="BV155" s="425"/>
      <c r="BW155" s="426"/>
      <c r="BX155" s="426"/>
      <c r="BY155" s="426"/>
      <c r="BZ155" s="426"/>
      <c r="CA155" s="427"/>
      <c r="CB155" s="427"/>
      <c r="CC155" s="426"/>
      <c r="CD155" s="425"/>
      <c r="CE155" s="425"/>
      <c r="CF155" s="427"/>
      <c r="CG155" s="427"/>
      <c r="CH155" s="427"/>
      <c r="CI155" s="427"/>
      <c r="CJ155" s="425"/>
      <c r="CK155" s="425"/>
      <c r="CL155" s="425"/>
      <c r="CM155" s="425"/>
      <c r="CN155" s="425"/>
      <c r="CO155" s="425"/>
      <c r="CP155" s="427"/>
      <c r="CQ155" s="425"/>
      <c r="CR155" s="427"/>
      <c r="CS155" s="425"/>
      <c r="CT155" s="427"/>
      <c r="CU155" s="425"/>
      <c r="CV155" s="425"/>
      <c r="CW155" s="427"/>
      <c r="CX155" s="425"/>
      <c r="CY155" s="427"/>
      <c r="CZ155" s="425"/>
      <c r="DA155" s="427"/>
      <c r="DB155" s="425"/>
      <c r="DC155" s="425"/>
      <c r="DD155" s="425"/>
      <c r="DE155" s="425"/>
      <c r="DF155" s="425"/>
    </row>
    <row r="156">
      <c r="A156" s="425"/>
      <c r="B156" s="425"/>
      <c r="C156" s="425"/>
      <c r="D156" s="425"/>
      <c r="E156" s="425"/>
      <c r="F156" s="425"/>
      <c r="G156" s="426"/>
      <c r="H156" s="426"/>
      <c r="I156" s="427"/>
      <c r="J156" s="427"/>
      <c r="K156" s="427"/>
      <c r="L156" s="427"/>
      <c r="M156" s="427"/>
      <c r="N156" s="427"/>
      <c r="O156" s="427"/>
      <c r="P156" s="427"/>
      <c r="Q156" s="426"/>
      <c r="R156" s="427"/>
      <c r="S156" s="426"/>
      <c r="T156" s="425"/>
      <c r="U156" s="425"/>
      <c r="V156" s="425"/>
      <c r="W156" s="425"/>
      <c r="X156" s="425"/>
      <c r="Y156" s="425"/>
      <c r="Z156" s="427"/>
      <c r="AA156" s="426"/>
      <c r="AB156" s="427"/>
      <c r="AC156" s="426"/>
      <c r="AD156" s="427"/>
      <c r="AE156" s="426"/>
      <c r="AF156" s="427"/>
      <c r="AG156" s="426"/>
      <c r="AH156" s="428"/>
      <c r="AI156" s="426"/>
      <c r="AJ156" s="428"/>
      <c r="AK156" s="426"/>
      <c r="AL156" s="425"/>
      <c r="AM156" s="425"/>
      <c r="AN156" s="427"/>
      <c r="AO156" s="426"/>
      <c r="AP156" s="425"/>
      <c r="AQ156" s="429"/>
      <c r="AR156" s="427"/>
      <c r="AS156" s="425"/>
      <c r="AT156" s="425"/>
      <c r="AU156" s="425"/>
      <c r="AV156" s="425"/>
      <c r="AW156" s="425"/>
      <c r="AX156" s="425"/>
      <c r="AY156" s="427"/>
      <c r="AZ156" s="425"/>
      <c r="BA156" s="427"/>
      <c r="BB156" s="425"/>
      <c r="BC156" s="427"/>
      <c r="BD156" s="425"/>
      <c r="BE156" s="427"/>
      <c r="BF156" s="427"/>
      <c r="BG156" s="427"/>
      <c r="BH156" s="427"/>
      <c r="BI156" s="425"/>
      <c r="BJ156" s="425"/>
      <c r="BK156" s="425"/>
      <c r="BL156" s="426"/>
      <c r="BM156" s="425"/>
      <c r="BN156" s="426"/>
      <c r="BO156" s="426"/>
      <c r="BP156" s="426"/>
      <c r="BQ156" s="426"/>
      <c r="BR156" s="426"/>
      <c r="BS156" s="430"/>
      <c r="BT156" s="425"/>
      <c r="BU156" s="425"/>
      <c r="BV156" s="425"/>
      <c r="BW156" s="426"/>
      <c r="BX156" s="426"/>
      <c r="BY156" s="426"/>
      <c r="BZ156" s="426"/>
      <c r="CA156" s="427"/>
      <c r="CB156" s="427"/>
      <c r="CC156" s="426"/>
      <c r="CD156" s="425"/>
      <c r="CE156" s="425"/>
      <c r="CF156" s="427"/>
      <c r="CG156" s="427"/>
      <c r="CH156" s="427"/>
      <c r="CI156" s="427"/>
      <c r="CJ156" s="425"/>
      <c r="CK156" s="425"/>
      <c r="CL156" s="425"/>
      <c r="CM156" s="425"/>
      <c r="CN156" s="425"/>
      <c r="CO156" s="425"/>
      <c r="CP156" s="427"/>
      <c r="CQ156" s="425"/>
      <c r="CR156" s="427"/>
      <c r="CS156" s="425"/>
      <c r="CT156" s="427"/>
      <c r="CU156" s="425"/>
      <c r="CV156" s="425"/>
      <c r="CW156" s="427"/>
      <c r="CX156" s="425"/>
      <c r="CY156" s="427"/>
      <c r="CZ156" s="425"/>
      <c r="DA156" s="427"/>
      <c r="DB156" s="425"/>
      <c r="DC156" s="425"/>
      <c r="DD156" s="425"/>
      <c r="DE156" s="425"/>
      <c r="DF156" s="425"/>
    </row>
    <row r="157">
      <c r="A157" s="425"/>
      <c r="B157" s="425"/>
      <c r="C157" s="425"/>
      <c r="D157" s="425"/>
      <c r="E157" s="425"/>
      <c r="F157" s="425"/>
      <c r="G157" s="426"/>
      <c r="H157" s="426"/>
      <c r="I157" s="427"/>
      <c r="J157" s="427"/>
      <c r="K157" s="427"/>
      <c r="L157" s="427"/>
      <c r="M157" s="427"/>
      <c r="N157" s="427"/>
      <c r="O157" s="427"/>
      <c r="P157" s="427"/>
      <c r="Q157" s="426"/>
      <c r="R157" s="427"/>
      <c r="S157" s="426"/>
      <c r="T157" s="425"/>
      <c r="U157" s="425"/>
      <c r="V157" s="425"/>
      <c r="W157" s="425"/>
      <c r="X157" s="425"/>
      <c r="Y157" s="425"/>
      <c r="Z157" s="427"/>
      <c r="AA157" s="426"/>
      <c r="AB157" s="427"/>
      <c r="AC157" s="426"/>
      <c r="AD157" s="427"/>
      <c r="AE157" s="426"/>
      <c r="AF157" s="427"/>
      <c r="AG157" s="426"/>
      <c r="AH157" s="428"/>
      <c r="AI157" s="426"/>
      <c r="AJ157" s="428"/>
      <c r="AK157" s="426"/>
      <c r="AL157" s="425"/>
      <c r="AM157" s="425"/>
      <c r="AN157" s="427"/>
      <c r="AO157" s="426"/>
      <c r="AP157" s="425"/>
      <c r="AQ157" s="429"/>
      <c r="AR157" s="427"/>
      <c r="AS157" s="425"/>
      <c r="AT157" s="425"/>
      <c r="AU157" s="425"/>
      <c r="AV157" s="425"/>
      <c r="AW157" s="425"/>
      <c r="AX157" s="425"/>
      <c r="AY157" s="427"/>
      <c r="AZ157" s="425"/>
      <c r="BA157" s="427"/>
      <c r="BB157" s="425"/>
      <c r="BC157" s="427"/>
      <c r="BD157" s="425"/>
      <c r="BE157" s="427"/>
      <c r="BF157" s="427"/>
      <c r="BG157" s="427"/>
      <c r="BH157" s="427"/>
      <c r="BI157" s="425"/>
      <c r="BJ157" s="425"/>
      <c r="BK157" s="425"/>
      <c r="BL157" s="426"/>
      <c r="BM157" s="425"/>
      <c r="BN157" s="426"/>
      <c r="BO157" s="426"/>
      <c r="BP157" s="426"/>
      <c r="BQ157" s="426"/>
      <c r="BR157" s="426"/>
      <c r="BS157" s="430"/>
      <c r="BT157" s="425"/>
      <c r="BU157" s="425"/>
      <c r="BV157" s="425"/>
      <c r="BW157" s="426"/>
      <c r="BX157" s="426"/>
      <c r="BY157" s="426"/>
      <c r="BZ157" s="426"/>
      <c r="CA157" s="427"/>
      <c r="CB157" s="427"/>
      <c r="CC157" s="426"/>
      <c r="CD157" s="425"/>
      <c r="CE157" s="425"/>
      <c r="CF157" s="427"/>
      <c r="CG157" s="427"/>
      <c r="CH157" s="427"/>
      <c r="CI157" s="427"/>
      <c r="CJ157" s="425"/>
      <c r="CK157" s="425"/>
      <c r="CL157" s="425"/>
      <c r="CM157" s="425"/>
      <c r="CN157" s="425"/>
      <c r="CO157" s="425"/>
      <c r="CP157" s="427"/>
      <c r="CQ157" s="425"/>
      <c r="CR157" s="427"/>
      <c r="CS157" s="425"/>
      <c r="CT157" s="427"/>
      <c r="CU157" s="425"/>
      <c r="CV157" s="425"/>
      <c r="CW157" s="427"/>
      <c r="CX157" s="425"/>
      <c r="CY157" s="427"/>
      <c r="CZ157" s="425"/>
      <c r="DA157" s="427"/>
      <c r="DB157" s="425"/>
      <c r="DC157" s="425"/>
      <c r="DD157" s="425"/>
      <c r="DE157" s="425"/>
      <c r="DF157" s="425"/>
    </row>
    <row r="158">
      <c r="A158" s="425"/>
      <c r="B158" s="425"/>
      <c r="C158" s="425"/>
      <c r="D158" s="425"/>
      <c r="E158" s="425"/>
      <c r="F158" s="425"/>
      <c r="G158" s="426"/>
      <c r="H158" s="426"/>
      <c r="I158" s="427"/>
      <c r="J158" s="427"/>
      <c r="K158" s="427"/>
      <c r="L158" s="427"/>
      <c r="M158" s="427"/>
      <c r="N158" s="427"/>
      <c r="O158" s="427"/>
      <c r="P158" s="427"/>
      <c r="Q158" s="426"/>
      <c r="R158" s="427"/>
      <c r="S158" s="426"/>
      <c r="T158" s="425"/>
      <c r="U158" s="425"/>
      <c r="V158" s="425"/>
      <c r="W158" s="425"/>
      <c r="X158" s="425"/>
      <c r="Y158" s="425"/>
      <c r="Z158" s="427"/>
      <c r="AA158" s="426"/>
      <c r="AB158" s="427"/>
      <c r="AC158" s="426"/>
      <c r="AD158" s="427"/>
      <c r="AE158" s="426"/>
      <c r="AF158" s="427"/>
      <c r="AG158" s="426"/>
      <c r="AH158" s="428"/>
      <c r="AI158" s="426"/>
      <c r="AJ158" s="428"/>
      <c r="AK158" s="426"/>
      <c r="AL158" s="425"/>
      <c r="AM158" s="425"/>
      <c r="AN158" s="427"/>
      <c r="AO158" s="426"/>
      <c r="AP158" s="425"/>
      <c r="AQ158" s="429"/>
      <c r="AR158" s="427"/>
      <c r="AS158" s="425"/>
      <c r="AT158" s="425"/>
      <c r="AU158" s="425"/>
      <c r="AV158" s="425"/>
      <c r="AW158" s="425"/>
      <c r="AX158" s="425"/>
      <c r="AY158" s="427"/>
      <c r="AZ158" s="425"/>
      <c r="BA158" s="427"/>
      <c r="BB158" s="425"/>
      <c r="BC158" s="427"/>
      <c r="BD158" s="425"/>
      <c r="BE158" s="427"/>
      <c r="BF158" s="427"/>
      <c r="BG158" s="427"/>
      <c r="BH158" s="427"/>
      <c r="BI158" s="425"/>
      <c r="BJ158" s="425"/>
      <c r="BK158" s="425"/>
      <c r="BL158" s="426"/>
      <c r="BM158" s="425"/>
      <c r="BN158" s="426"/>
      <c r="BO158" s="426"/>
      <c r="BP158" s="426"/>
      <c r="BQ158" s="426"/>
      <c r="BR158" s="426"/>
      <c r="BS158" s="430"/>
      <c r="BT158" s="425"/>
      <c r="BU158" s="425"/>
      <c r="BV158" s="425"/>
      <c r="BW158" s="426"/>
      <c r="BX158" s="426"/>
      <c r="BY158" s="426"/>
      <c r="BZ158" s="426"/>
      <c r="CA158" s="427"/>
      <c r="CB158" s="427"/>
      <c r="CC158" s="426"/>
      <c r="CD158" s="425"/>
      <c r="CE158" s="425"/>
      <c r="CF158" s="427"/>
      <c r="CG158" s="427"/>
      <c r="CH158" s="427"/>
      <c r="CI158" s="427"/>
      <c r="CJ158" s="425"/>
      <c r="CK158" s="425"/>
      <c r="CL158" s="425"/>
      <c r="CM158" s="425"/>
      <c r="CN158" s="425"/>
      <c r="CO158" s="425"/>
      <c r="CP158" s="427"/>
      <c r="CQ158" s="425"/>
      <c r="CR158" s="427"/>
      <c r="CS158" s="425"/>
      <c r="CT158" s="427"/>
      <c r="CU158" s="425"/>
      <c r="CV158" s="425"/>
      <c r="CW158" s="427"/>
      <c r="CX158" s="425"/>
      <c r="CY158" s="427"/>
      <c r="CZ158" s="425"/>
      <c r="DA158" s="427"/>
      <c r="DB158" s="425"/>
      <c r="DC158" s="425"/>
      <c r="DD158" s="425"/>
      <c r="DE158" s="425"/>
      <c r="DF158" s="425"/>
    </row>
    <row r="159">
      <c r="A159" s="425"/>
      <c r="B159" s="425"/>
      <c r="C159" s="425"/>
      <c r="D159" s="425"/>
      <c r="E159" s="425"/>
      <c r="F159" s="425"/>
      <c r="G159" s="426"/>
      <c r="H159" s="426"/>
      <c r="I159" s="427"/>
      <c r="J159" s="427"/>
      <c r="K159" s="427"/>
      <c r="L159" s="427"/>
      <c r="M159" s="427"/>
      <c r="N159" s="427"/>
      <c r="O159" s="427"/>
      <c r="P159" s="427"/>
      <c r="Q159" s="426"/>
      <c r="R159" s="427"/>
      <c r="S159" s="426"/>
      <c r="T159" s="425"/>
      <c r="U159" s="425"/>
      <c r="V159" s="425"/>
      <c r="W159" s="425"/>
      <c r="X159" s="425"/>
      <c r="Y159" s="425"/>
      <c r="Z159" s="427"/>
      <c r="AA159" s="426"/>
      <c r="AB159" s="427"/>
      <c r="AC159" s="426"/>
      <c r="AD159" s="427"/>
      <c r="AE159" s="426"/>
      <c r="AF159" s="427"/>
      <c r="AG159" s="426"/>
      <c r="AH159" s="428"/>
      <c r="AI159" s="426"/>
      <c r="AJ159" s="428"/>
      <c r="AK159" s="426"/>
      <c r="AL159" s="425"/>
      <c r="AM159" s="425"/>
      <c r="AN159" s="427"/>
      <c r="AO159" s="426"/>
      <c r="AP159" s="425"/>
      <c r="AQ159" s="429"/>
      <c r="AR159" s="427"/>
      <c r="AS159" s="425"/>
      <c r="AT159" s="425"/>
      <c r="AU159" s="425"/>
      <c r="AV159" s="425"/>
      <c r="AW159" s="425"/>
      <c r="AX159" s="425"/>
      <c r="AY159" s="427"/>
      <c r="AZ159" s="425"/>
      <c r="BA159" s="427"/>
      <c r="BB159" s="425"/>
      <c r="BC159" s="427"/>
      <c r="BD159" s="425"/>
      <c r="BE159" s="427"/>
      <c r="BF159" s="427"/>
      <c r="BG159" s="427"/>
      <c r="BH159" s="427"/>
      <c r="BI159" s="425"/>
      <c r="BJ159" s="425"/>
      <c r="BK159" s="425"/>
      <c r="BL159" s="426"/>
      <c r="BM159" s="425"/>
      <c r="BN159" s="426"/>
      <c r="BO159" s="426"/>
      <c r="BP159" s="426"/>
      <c r="BQ159" s="426"/>
      <c r="BR159" s="426"/>
      <c r="BS159" s="430"/>
      <c r="BT159" s="425"/>
      <c r="BU159" s="425"/>
      <c r="BV159" s="425"/>
      <c r="BW159" s="426"/>
      <c r="BX159" s="426"/>
      <c r="BY159" s="426"/>
      <c r="BZ159" s="426"/>
      <c r="CA159" s="427"/>
      <c r="CB159" s="427"/>
      <c r="CC159" s="426"/>
      <c r="CD159" s="425"/>
      <c r="CE159" s="425"/>
      <c r="CF159" s="427"/>
      <c r="CG159" s="427"/>
      <c r="CH159" s="427"/>
      <c r="CI159" s="427"/>
      <c r="CJ159" s="425"/>
      <c r="CK159" s="425"/>
      <c r="CL159" s="425"/>
      <c r="CM159" s="425"/>
      <c r="CN159" s="425"/>
      <c r="CO159" s="425"/>
      <c r="CP159" s="427"/>
      <c r="CQ159" s="425"/>
      <c r="CR159" s="427"/>
      <c r="CS159" s="425"/>
      <c r="CT159" s="427"/>
      <c r="CU159" s="425"/>
      <c r="CV159" s="425"/>
      <c r="CW159" s="427"/>
      <c r="CX159" s="425"/>
      <c r="CY159" s="427"/>
      <c r="CZ159" s="425"/>
      <c r="DA159" s="427"/>
      <c r="DB159" s="425"/>
      <c r="DC159" s="425"/>
      <c r="DD159" s="425"/>
      <c r="DE159" s="425"/>
      <c r="DF159" s="425"/>
    </row>
    <row r="160">
      <c r="A160" s="425"/>
      <c r="B160" s="425"/>
      <c r="C160" s="425"/>
      <c r="D160" s="425"/>
      <c r="E160" s="425"/>
      <c r="F160" s="425"/>
      <c r="G160" s="426"/>
      <c r="H160" s="426"/>
      <c r="I160" s="427"/>
      <c r="J160" s="427"/>
      <c r="K160" s="427"/>
      <c r="L160" s="427"/>
      <c r="M160" s="427"/>
      <c r="N160" s="427"/>
      <c r="O160" s="427"/>
      <c r="P160" s="427"/>
      <c r="Q160" s="426"/>
      <c r="R160" s="427"/>
      <c r="S160" s="426"/>
      <c r="T160" s="425"/>
      <c r="U160" s="425"/>
      <c r="V160" s="425"/>
      <c r="W160" s="425"/>
      <c r="X160" s="425"/>
      <c r="Y160" s="425"/>
      <c r="Z160" s="427"/>
      <c r="AA160" s="426"/>
      <c r="AB160" s="427"/>
      <c r="AC160" s="426"/>
      <c r="AD160" s="427"/>
      <c r="AE160" s="426"/>
      <c r="AF160" s="427"/>
      <c r="AG160" s="426"/>
      <c r="AH160" s="428"/>
      <c r="AI160" s="426"/>
      <c r="AJ160" s="428"/>
      <c r="AK160" s="426"/>
      <c r="AL160" s="425"/>
      <c r="AM160" s="425"/>
      <c r="AN160" s="427"/>
      <c r="AO160" s="426"/>
      <c r="AP160" s="425"/>
      <c r="AQ160" s="429"/>
      <c r="AR160" s="427"/>
      <c r="AS160" s="425"/>
      <c r="AT160" s="425"/>
      <c r="AU160" s="425"/>
      <c r="AV160" s="425"/>
      <c r="AW160" s="425"/>
      <c r="AX160" s="425"/>
      <c r="AY160" s="427"/>
      <c r="AZ160" s="425"/>
      <c r="BA160" s="427"/>
      <c r="BB160" s="425"/>
      <c r="BC160" s="427"/>
      <c r="BD160" s="425"/>
      <c r="BE160" s="427"/>
      <c r="BF160" s="427"/>
      <c r="BG160" s="427"/>
      <c r="BH160" s="427"/>
      <c r="BI160" s="425"/>
      <c r="BJ160" s="425"/>
      <c r="BK160" s="425"/>
      <c r="BL160" s="426"/>
      <c r="BM160" s="425"/>
      <c r="BN160" s="426"/>
      <c r="BO160" s="426"/>
      <c r="BP160" s="426"/>
      <c r="BQ160" s="426"/>
      <c r="BR160" s="426"/>
      <c r="BS160" s="430"/>
      <c r="BT160" s="425"/>
      <c r="BU160" s="425"/>
      <c r="BV160" s="425"/>
      <c r="BW160" s="426"/>
      <c r="BX160" s="426"/>
      <c r="BY160" s="426"/>
      <c r="BZ160" s="426"/>
      <c r="CA160" s="427"/>
      <c r="CB160" s="427"/>
      <c r="CC160" s="426"/>
      <c r="CD160" s="425"/>
      <c r="CE160" s="425"/>
      <c r="CF160" s="427"/>
      <c r="CG160" s="427"/>
      <c r="CH160" s="427"/>
      <c r="CI160" s="427"/>
      <c r="CJ160" s="425"/>
      <c r="CK160" s="425"/>
      <c r="CL160" s="425"/>
      <c r="CM160" s="425"/>
      <c r="CN160" s="425"/>
      <c r="CO160" s="425"/>
      <c r="CP160" s="427"/>
      <c r="CQ160" s="425"/>
      <c r="CR160" s="427"/>
      <c r="CS160" s="425"/>
      <c r="CT160" s="427"/>
      <c r="CU160" s="425"/>
      <c r="CV160" s="425"/>
      <c r="CW160" s="427"/>
      <c r="CX160" s="425"/>
      <c r="CY160" s="427"/>
      <c r="CZ160" s="425"/>
      <c r="DA160" s="427"/>
      <c r="DB160" s="425"/>
      <c r="DC160" s="425"/>
      <c r="DD160" s="425"/>
      <c r="DE160" s="425"/>
      <c r="DF160" s="425"/>
    </row>
    <row r="161">
      <c r="A161" s="425"/>
      <c r="B161" s="425"/>
      <c r="C161" s="425"/>
      <c r="D161" s="425"/>
      <c r="E161" s="425"/>
      <c r="F161" s="425"/>
      <c r="G161" s="426"/>
      <c r="H161" s="426"/>
      <c r="I161" s="427"/>
      <c r="J161" s="427"/>
      <c r="K161" s="427"/>
      <c r="L161" s="427"/>
      <c r="M161" s="427"/>
      <c r="N161" s="427"/>
      <c r="O161" s="427"/>
      <c r="P161" s="427"/>
      <c r="Q161" s="426"/>
      <c r="R161" s="427"/>
      <c r="S161" s="426"/>
      <c r="T161" s="425"/>
      <c r="U161" s="425"/>
      <c r="V161" s="425"/>
      <c r="W161" s="425"/>
      <c r="X161" s="425"/>
      <c r="Y161" s="425"/>
      <c r="Z161" s="427"/>
      <c r="AA161" s="426"/>
      <c r="AB161" s="427"/>
      <c r="AC161" s="426"/>
      <c r="AD161" s="427"/>
      <c r="AE161" s="426"/>
      <c r="AF161" s="427"/>
      <c r="AG161" s="426"/>
      <c r="AH161" s="428"/>
      <c r="AI161" s="426"/>
      <c r="AJ161" s="428"/>
      <c r="AK161" s="426"/>
      <c r="AL161" s="425"/>
      <c r="AM161" s="425"/>
      <c r="AN161" s="427"/>
      <c r="AO161" s="426"/>
      <c r="AP161" s="425"/>
      <c r="AQ161" s="429"/>
      <c r="AR161" s="427"/>
      <c r="AS161" s="425"/>
      <c r="AT161" s="425"/>
      <c r="AU161" s="425"/>
      <c r="AV161" s="425"/>
      <c r="AW161" s="425"/>
      <c r="AX161" s="425"/>
      <c r="AY161" s="427"/>
      <c r="AZ161" s="425"/>
      <c r="BA161" s="427"/>
      <c r="BB161" s="425"/>
      <c r="BC161" s="427"/>
      <c r="BD161" s="425"/>
      <c r="BE161" s="427"/>
      <c r="BF161" s="427"/>
      <c r="BG161" s="427"/>
      <c r="BH161" s="427"/>
      <c r="BI161" s="425"/>
      <c r="BJ161" s="425"/>
      <c r="BK161" s="425"/>
      <c r="BL161" s="426"/>
      <c r="BM161" s="425"/>
      <c r="BN161" s="426"/>
      <c r="BO161" s="426"/>
      <c r="BP161" s="426"/>
      <c r="BQ161" s="426"/>
      <c r="BR161" s="426"/>
      <c r="BS161" s="430"/>
      <c r="BT161" s="425"/>
      <c r="BU161" s="425"/>
      <c r="BV161" s="425"/>
      <c r="BW161" s="426"/>
      <c r="BX161" s="426"/>
      <c r="BY161" s="426"/>
      <c r="BZ161" s="426"/>
      <c r="CA161" s="427"/>
      <c r="CB161" s="427"/>
      <c r="CC161" s="426"/>
      <c r="CD161" s="425"/>
      <c r="CE161" s="425"/>
      <c r="CF161" s="427"/>
      <c r="CG161" s="427"/>
      <c r="CH161" s="427"/>
      <c r="CI161" s="427"/>
      <c r="CJ161" s="425"/>
      <c r="CK161" s="425"/>
      <c r="CL161" s="425"/>
      <c r="CM161" s="425"/>
      <c r="CN161" s="425"/>
      <c r="CO161" s="425"/>
      <c r="CP161" s="427"/>
      <c r="CQ161" s="425"/>
      <c r="CR161" s="427"/>
      <c r="CS161" s="425"/>
      <c r="CT161" s="427"/>
      <c r="CU161" s="425"/>
      <c r="CV161" s="425"/>
      <c r="CW161" s="427"/>
      <c r="CX161" s="425"/>
      <c r="CY161" s="427"/>
      <c r="CZ161" s="425"/>
      <c r="DA161" s="427"/>
      <c r="DB161" s="425"/>
      <c r="DC161" s="425"/>
      <c r="DD161" s="425"/>
      <c r="DE161" s="425"/>
      <c r="DF161" s="425"/>
    </row>
    <row r="162">
      <c r="A162" s="425"/>
      <c r="B162" s="425"/>
      <c r="C162" s="425"/>
      <c r="D162" s="425"/>
      <c r="E162" s="425"/>
      <c r="F162" s="425"/>
      <c r="G162" s="426"/>
      <c r="H162" s="426"/>
      <c r="I162" s="427"/>
      <c r="J162" s="427"/>
      <c r="K162" s="427"/>
      <c r="L162" s="427"/>
      <c r="M162" s="427"/>
      <c r="N162" s="427"/>
      <c r="O162" s="427"/>
      <c r="P162" s="427"/>
      <c r="Q162" s="426"/>
      <c r="R162" s="427"/>
      <c r="S162" s="426"/>
      <c r="T162" s="425"/>
      <c r="U162" s="425"/>
      <c r="V162" s="425"/>
      <c r="W162" s="425"/>
      <c r="X162" s="425"/>
      <c r="Y162" s="425"/>
      <c r="Z162" s="427"/>
      <c r="AA162" s="426"/>
      <c r="AB162" s="427"/>
      <c r="AC162" s="426"/>
      <c r="AD162" s="427"/>
      <c r="AE162" s="426"/>
      <c r="AF162" s="427"/>
      <c r="AG162" s="426"/>
      <c r="AH162" s="428"/>
      <c r="AI162" s="426"/>
      <c r="AJ162" s="428"/>
      <c r="AK162" s="426"/>
      <c r="AL162" s="425"/>
      <c r="AM162" s="425"/>
      <c r="AN162" s="427"/>
      <c r="AO162" s="426"/>
      <c r="AP162" s="425"/>
      <c r="AQ162" s="429"/>
      <c r="AR162" s="427"/>
      <c r="AS162" s="425"/>
      <c r="AT162" s="425"/>
      <c r="AU162" s="425"/>
      <c r="AV162" s="425"/>
      <c r="AW162" s="425"/>
      <c r="AX162" s="425"/>
      <c r="AY162" s="427"/>
      <c r="AZ162" s="425"/>
      <c r="BA162" s="427"/>
      <c r="BB162" s="425"/>
      <c r="BC162" s="427"/>
      <c r="BD162" s="425"/>
      <c r="BE162" s="427"/>
      <c r="BF162" s="427"/>
      <c r="BG162" s="427"/>
      <c r="BH162" s="427"/>
      <c r="BI162" s="425"/>
      <c r="BJ162" s="425"/>
      <c r="BK162" s="425"/>
      <c r="BL162" s="426"/>
      <c r="BM162" s="425"/>
      <c r="BN162" s="426"/>
      <c r="BO162" s="426"/>
      <c r="BP162" s="426"/>
      <c r="BQ162" s="426"/>
      <c r="BR162" s="426"/>
      <c r="BS162" s="430"/>
      <c r="BT162" s="425"/>
      <c r="BU162" s="425"/>
      <c r="BV162" s="425"/>
      <c r="BW162" s="426"/>
      <c r="BX162" s="426"/>
      <c r="BY162" s="426"/>
      <c r="BZ162" s="426"/>
      <c r="CA162" s="427"/>
      <c r="CB162" s="427"/>
      <c r="CC162" s="426"/>
      <c r="CD162" s="425"/>
      <c r="CE162" s="425"/>
      <c r="CF162" s="427"/>
      <c r="CG162" s="427"/>
      <c r="CH162" s="427"/>
      <c r="CI162" s="427"/>
      <c r="CJ162" s="425"/>
      <c r="CK162" s="425"/>
      <c r="CL162" s="425"/>
      <c r="CM162" s="425"/>
      <c r="CN162" s="425"/>
      <c r="CO162" s="425"/>
      <c r="CP162" s="427"/>
      <c r="CQ162" s="425"/>
      <c r="CR162" s="427"/>
      <c r="CS162" s="425"/>
      <c r="CT162" s="427"/>
      <c r="CU162" s="425"/>
      <c r="CV162" s="425"/>
      <c r="CW162" s="427"/>
      <c r="CX162" s="425"/>
      <c r="CY162" s="427"/>
      <c r="CZ162" s="425"/>
      <c r="DA162" s="427"/>
      <c r="DB162" s="425"/>
      <c r="DC162" s="425"/>
      <c r="DD162" s="425"/>
      <c r="DE162" s="425"/>
      <c r="DF162" s="425"/>
    </row>
    <row r="163">
      <c r="A163" s="425"/>
      <c r="B163" s="425"/>
      <c r="C163" s="425"/>
      <c r="D163" s="425"/>
      <c r="E163" s="425"/>
      <c r="F163" s="425"/>
      <c r="G163" s="426"/>
      <c r="H163" s="426"/>
      <c r="I163" s="427"/>
      <c r="J163" s="427"/>
      <c r="K163" s="427"/>
      <c r="L163" s="427"/>
      <c r="M163" s="427"/>
      <c r="N163" s="427"/>
      <c r="O163" s="427"/>
      <c r="P163" s="427"/>
      <c r="Q163" s="426"/>
      <c r="R163" s="427"/>
      <c r="S163" s="426"/>
      <c r="T163" s="425"/>
      <c r="U163" s="425"/>
      <c r="V163" s="425"/>
      <c r="W163" s="425"/>
      <c r="X163" s="425"/>
      <c r="Y163" s="425"/>
      <c r="Z163" s="427"/>
      <c r="AA163" s="426"/>
      <c r="AB163" s="427"/>
      <c r="AC163" s="426"/>
      <c r="AD163" s="427"/>
      <c r="AE163" s="426"/>
      <c r="AF163" s="427"/>
      <c r="AG163" s="426"/>
      <c r="AH163" s="428"/>
      <c r="AI163" s="426"/>
      <c r="AJ163" s="428"/>
      <c r="AK163" s="426"/>
      <c r="AL163" s="425"/>
      <c r="AM163" s="425"/>
      <c r="AN163" s="427"/>
      <c r="AO163" s="426"/>
      <c r="AP163" s="425"/>
      <c r="AQ163" s="429"/>
      <c r="AR163" s="427"/>
      <c r="AS163" s="425"/>
      <c r="AT163" s="425"/>
      <c r="AU163" s="425"/>
      <c r="AV163" s="425"/>
      <c r="AW163" s="425"/>
      <c r="AX163" s="425"/>
      <c r="AY163" s="427"/>
      <c r="AZ163" s="425"/>
      <c r="BA163" s="427"/>
      <c r="BB163" s="425"/>
      <c r="BC163" s="427"/>
      <c r="BD163" s="425"/>
      <c r="BE163" s="427"/>
      <c r="BF163" s="427"/>
      <c r="BG163" s="427"/>
      <c r="BH163" s="427"/>
      <c r="BI163" s="425"/>
      <c r="BJ163" s="425"/>
      <c r="BK163" s="425"/>
      <c r="BL163" s="426"/>
      <c r="BM163" s="425"/>
      <c r="BN163" s="426"/>
      <c r="BO163" s="426"/>
      <c r="BP163" s="426"/>
      <c r="BQ163" s="426"/>
      <c r="BR163" s="426"/>
      <c r="BS163" s="430"/>
      <c r="BT163" s="425"/>
      <c r="BU163" s="425"/>
      <c r="BV163" s="425"/>
      <c r="BW163" s="426"/>
      <c r="BX163" s="426"/>
      <c r="BY163" s="426"/>
      <c r="BZ163" s="426"/>
      <c r="CA163" s="427"/>
      <c r="CB163" s="427"/>
      <c r="CC163" s="426"/>
      <c r="CD163" s="425"/>
      <c r="CE163" s="425"/>
      <c r="CF163" s="427"/>
      <c r="CG163" s="427"/>
      <c r="CH163" s="427"/>
      <c r="CI163" s="427"/>
      <c r="CJ163" s="425"/>
      <c r="CK163" s="425"/>
      <c r="CL163" s="425"/>
      <c r="CM163" s="425"/>
      <c r="CN163" s="425"/>
      <c r="CO163" s="425"/>
      <c r="CP163" s="427"/>
      <c r="CQ163" s="425"/>
      <c r="CR163" s="427"/>
      <c r="CS163" s="425"/>
      <c r="CT163" s="427"/>
      <c r="CU163" s="425"/>
      <c r="CV163" s="425"/>
      <c r="CW163" s="427"/>
      <c r="CX163" s="425"/>
      <c r="CY163" s="427"/>
      <c r="CZ163" s="425"/>
      <c r="DA163" s="427"/>
      <c r="DB163" s="425"/>
      <c r="DC163" s="425"/>
      <c r="DD163" s="425"/>
      <c r="DE163" s="425"/>
      <c r="DF163" s="425"/>
    </row>
    <row r="164">
      <c r="A164" s="425"/>
      <c r="B164" s="425"/>
      <c r="C164" s="425"/>
      <c r="D164" s="425"/>
      <c r="E164" s="425"/>
      <c r="F164" s="425"/>
      <c r="G164" s="426"/>
      <c r="H164" s="426"/>
      <c r="I164" s="427"/>
      <c r="J164" s="427"/>
      <c r="K164" s="427"/>
      <c r="L164" s="427"/>
      <c r="M164" s="427"/>
      <c r="N164" s="427"/>
      <c r="O164" s="427"/>
      <c r="P164" s="427"/>
      <c r="Q164" s="426"/>
      <c r="R164" s="427"/>
      <c r="S164" s="426"/>
      <c r="T164" s="425"/>
      <c r="U164" s="425"/>
      <c r="V164" s="425"/>
      <c r="W164" s="425"/>
      <c r="X164" s="425"/>
      <c r="Y164" s="425"/>
      <c r="Z164" s="427"/>
      <c r="AA164" s="426"/>
      <c r="AB164" s="427"/>
      <c r="AC164" s="426"/>
      <c r="AD164" s="427"/>
      <c r="AE164" s="426"/>
      <c r="AF164" s="427"/>
      <c r="AG164" s="426"/>
      <c r="AH164" s="428"/>
      <c r="AI164" s="426"/>
      <c r="AJ164" s="428"/>
      <c r="AK164" s="426"/>
      <c r="AL164" s="425"/>
      <c r="AM164" s="425"/>
      <c r="AN164" s="427"/>
      <c r="AO164" s="426"/>
      <c r="AP164" s="425"/>
      <c r="AQ164" s="429"/>
      <c r="AR164" s="427"/>
      <c r="AS164" s="425"/>
      <c r="AT164" s="425"/>
      <c r="AU164" s="425"/>
      <c r="AV164" s="425"/>
      <c r="AW164" s="425"/>
      <c r="AX164" s="425"/>
      <c r="AY164" s="427"/>
      <c r="AZ164" s="425"/>
      <c r="BA164" s="427"/>
      <c r="BB164" s="425"/>
      <c r="BC164" s="427"/>
      <c r="BD164" s="425"/>
      <c r="BE164" s="427"/>
      <c r="BF164" s="427"/>
      <c r="BG164" s="427"/>
      <c r="BH164" s="427"/>
      <c r="BI164" s="425"/>
      <c r="BJ164" s="425"/>
      <c r="BK164" s="425"/>
      <c r="BL164" s="426"/>
      <c r="BM164" s="425"/>
      <c r="BN164" s="426"/>
      <c r="BO164" s="426"/>
      <c r="BP164" s="426"/>
      <c r="BQ164" s="426"/>
      <c r="BR164" s="426"/>
      <c r="BS164" s="430"/>
      <c r="BT164" s="425"/>
      <c r="BU164" s="425"/>
      <c r="BV164" s="425"/>
      <c r="BW164" s="426"/>
      <c r="BX164" s="426"/>
      <c r="BY164" s="426"/>
      <c r="BZ164" s="426"/>
      <c r="CA164" s="427"/>
      <c r="CB164" s="427"/>
      <c r="CC164" s="426"/>
      <c r="CD164" s="425"/>
      <c r="CE164" s="425"/>
      <c r="CF164" s="427"/>
      <c r="CG164" s="427"/>
      <c r="CH164" s="427"/>
      <c r="CI164" s="427"/>
      <c r="CJ164" s="425"/>
      <c r="CK164" s="425"/>
      <c r="CL164" s="425"/>
      <c r="CM164" s="425"/>
      <c r="CN164" s="425"/>
      <c r="CO164" s="425"/>
      <c r="CP164" s="427"/>
      <c r="CQ164" s="425"/>
      <c r="CR164" s="427"/>
      <c r="CS164" s="425"/>
      <c r="CT164" s="427"/>
      <c r="CU164" s="425"/>
      <c r="CV164" s="425"/>
      <c r="CW164" s="427"/>
      <c r="CX164" s="425"/>
      <c r="CY164" s="427"/>
      <c r="CZ164" s="425"/>
      <c r="DA164" s="427"/>
      <c r="DB164" s="425"/>
      <c r="DC164" s="425"/>
      <c r="DD164" s="425"/>
      <c r="DE164" s="425"/>
      <c r="DF164" s="425"/>
    </row>
    <row r="165">
      <c r="A165" s="425"/>
      <c r="B165" s="425"/>
      <c r="C165" s="425"/>
      <c r="D165" s="425"/>
      <c r="E165" s="425"/>
      <c r="F165" s="425"/>
      <c r="G165" s="426"/>
      <c r="H165" s="426"/>
      <c r="I165" s="427"/>
      <c r="J165" s="427"/>
      <c r="K165" s="427"/>
      <c r="L165" s="427"/>
      <c r="M165" s="427"/>
      <c r="N165" s="427"/>
      <c r="O165" s="427"/>
      <c r="P165" s="427"/>
      <c r="Q165" s="426"/>
      <c r="R165" s="427"/>
      <c r="S165" s="426"/>
      <c r="T165" s="425"/>
      <c r="U165" s="425"/>
      <c r="V165" s="425"/>
      <c r="W165" s="425"/>
      <c r="X165" s="425"/>
      <c r="Y165" s="425"/>
      <c r="Z165" s="427"/>
      <c r="AA165" s="426"/>
      <c r="AB165" s="427"/>
      <c r="AC165" s="426"/>
      <c r="AD165" s="427"/>
      <c r="AE165" s="426"/>
      <c r="AF165" s="427"/>
      <c r="AG165" s="426"/>
      <c r="AH165" s="428"/>
      <c r="AI165" s="426"/>
      <c r="AJ165" s="428"/>
      <c r="AK165" s="426"/>
      <c r="AL165" s="425"/>
      <c r="AM165" s="425"/>
      <c r="AN165" s="427"/>
      <c r="AO165" s="426"/>
      <c r="AP165" s="425"/>
      <c r="AQ165" s="429"/>
      <c r="AR165" s="427"/>
      <c r="AS165" s="425"/>
      <c r="AT165" s="425"/>
      <c r="AU165" s="425"/>
      <c r="AV165" s="425"/>
      <c r="AW165" s="425"/>
      <c r="AX165" s="425"/>
      <c r="AY165" s="427"/>
      <c r="AZ165" s="425"/>
      <c r="BA165" s="427"/>
      <c r="BB165" s="425"/>
      <c r="BC165" s="427"/>
      <c r="BD165" s="425"/>
      <c r="BE165" s="427"/>
      <c r="BF165" s="427"/>
      <c r="BG165" s="427"/>
      <c r="BH165" s="427"/>
      <c r="BI165" s="425"/>
      <c r="BJ165" s="425"/>
      <c r="BK165" s="425"/>
      <c r="BL165" s="426"/>
      <c r="BM165" s="425"/>
      <c r="BN165" s="426"/>
      <c r="BO165" s="426"/>
      <c r="BP165" s="426"/>
      <c r="BQ165" s="426"/>
      <c r="BR165" s="426"/>
      <c r="BS165" s="430"/>
      <c r="BT165" s="425"/>
      <c r="BU165" s="425"/>
      <c r="BV165" s="425"/>
      <c r="BW165" s="426"/>
      <c r="BX165" s="426"/>
      <c r="BY165" s="426"/>
      <c r="BZ165" s="426"/>
      <c r="CA165" s="427"/>
      <c r="CB165" s="427"/>
      <c r="CC165" s="426"/>
      <c r="CD165" s="425"/>
      <c r="CE165" s="425"/>
      <c r="CF165" s="427"/>
      <c r="CG165" s="427"/>
      <c r="CH165" s="427"/>
      <c r="CI165" s="427"/>
      <c r="CJ165" s="425"/>
      <c r="CK165" s="425"/>
      <c r="CL165" s="425"/>
      <c r="CM165" s="425"/>
      <c r="CN165" s="425"/>
      <c r="CO165" s="425"/>
      <c r="CP165" s="427"/>
      <c r="CQ165" s="425"/>
      <c r="CR165" s="427"/>
      <c r="CS165" s="425"/>
      <c r="CT165" s="427"/>
      <c r="CU165" s="425"/>
      <c r="CV165" s="425"/>
      <c r="CW165" s="427"/>
      <c r="CX165" s="425"/>
      <c r="CY165" s="427"/>
      <c r="CZ165" s="425"/>
      <c r="DA165" s="427"/>
      <c r="DB165" s="425"/>
      <c r="DC165" s="425"/>
      <c r="DD165" s="425"/>
      <c r="DE165" s="425"/>
      <c r="DF165" s="425"/>
    </row>
    <row r="166">
      <c r="A166" s="425"/>
      <c r="B166" s="425"/>
      <c r="C166" s="425"/>
      <c r="D166" s="425"/>
      <c r="E166" s="425"/>
      <c r="F166" s="425"/>
      <c r="G166" s="426"/>
      <c r="H166" s="426"/>
      <c r="I166" s="427"/>
      <c r="J166" s="427"/>
      <c r="K166" s="427"/>
      <c r="L166" s="427"/>
      <c r="M166" s="427"/>
      <c r="N166" s="427"/>
      <c r="O166" s="427"/>
      <c r="P166" s="427"/>
      <c r="Q166" s="426"/>
      <c r="R166" s="427"/>
      <c r="S166" s="426"/>
      <c r="T166" s="425"/>
      <c r="U166" s="425"/>
      <c r="V166" s="425"/>
      <c r="W166" s="425"/>
      <c r="X166" s="425"/>
      <c r="Y166" s="425"/>
      <c r="Z166" s="427"/>
      <c r="AA166" s="426"/>
      <c r="AB166" s="427"/>
      <c r="AC166" s="426"/>
      <c r="AD166" s="427"/>
      <c r="AE166" s="426"/>
      <c r="AF166" s="427"/>
      <c r="AG166" s="426"/>
      <c r="AH166" s="428"/>
      <c r="AI166" s="426"/>
      <c r="AJ166" s="428"/>
      <c r="AK166" s="426"/>
      <c r="AL166" s="425"/>
      <c r="AM166" s="425"/>
      <c r="AN166" s="427"/>
      <c r="AO166" s="426"/>
      <c r="AP166" s="425"/>
      <c r="AQ166" s="429"/>
      <c r="AR166" s="427"/>
      <c r="AS166" s="425"/>
      <c r="AT166" s="425"/>
      <c r="AU166" s="425"/>
      <c r="AV166" s="425"/>
      <c r="AW166" s="425"/>
      <c r="AX166" s="425"/>
      <c r="AY166" s="427"/>
      <c r="AZ166" s="425"/>
      <c r="BA166" s="427"/>
      <c r="BB166" s="425"/>
      <c r="BC166" s="427"/>
      <c r="BD166" s="425"/>
      <c r="BE166" s="427"/>
      <c r="BF166" s="427"/>
      <c r="BG166" s="427"/>
      <c r="BH166" s="427"/>
      <c r="BI166" s="425"/>
      <c r="BJ166" s="425"/>
      <c r="BK166" s="425"/>
      <c r="BL166" s="426"/>
      <c r="BM166" s="425"/>
      <c r="BN166" s="426"/>
      <c r="BO166" s="426"/>
      <c r="BP166" s="426"/>
      <c r="BQ166" s="426"/>
      <c r="BR166" s="426"/>
      <c r="BS166" s="430"/>
      <c r="BT166" s="425"/>
      <c r="BU166" s="425"/>
      <c r="BV166" s="425"/>
      <c r="BW166" s="426"/>
      <c r="BX166" s="426"/>
      <c r="BY166" s="426"/>
      <c r="BZ166" s="426"/>
      <c r="CA166" s="427"/>
      <c r="CB166" s="427"/>
      <c r="CC166" s="426"/>
      <c r="CD166" s="425"/>
      <c r="CE166" s="425"/>
      <c r="CF166" s="427"/>
      <c r="CG166" s="427"/>
      <c r="CH166" s="427"/>
      <c r="CI166" s="427"/>
      <c r="CJ166" s="425"/>
      <c r="CK166" s="425"/>
      <c r="CL166" s="425"/>
      <c r="CM166" s="425"/>
      <c r="CN166" s="425"/>
      <c r="CO166" s="425"/>
      <c r="CP166" s="427"/>
      <c r="CQ166" s="425"/>
      <c r="CR166" s="427"/>
      <c r="CS166" s="425"/>
      <c r="CT166" s="427"/>
      <c r="CU166" s="425"/>
      <c r="CV166" s="425"/>
      <c r="CW166" s="427"/>
      <c r="CX166" s="425"/>
      <c r="CY166" s="427"/>
      <c r="CZ166" s="425"/>
      <c r="DA166" s="427"/>
      <c r="DB166" s="425"/>
      <c r="DC166" s="425"/>
      <c r="DD166" s="425"/>
      <c r="DE166" s="425"/>
      <c r="DF166" s="425"/>
    </row>
    <row r="167">
      <c r="A167" s="425"/>
      <c r="B167" s="425"/>
      <c r="C167" s="425"/>
      <c r="D167" s="425"/>
      <c r="E167" s="425"/>
      <c r="F167" s="425"/>
      <c r="G167" s="426"/>
      <c r="H167" s="426"/>
      <c r="I167" s="427"/>
      <c r="J167" s="427"/>
      <c r="K167" s="427"/>
      <c r="L167" s="427"/>
      <c r="M167" s="427"/>
      <c r="N167" s="427"/>
      <c r="O167" s="427"/>
      <c r="P167" s="427"/>
      <c r="Q167" s="426"/>
      <c r="R167" s="427"/>
      <c r="S167" s="426"/>
      <c r="T167" s="425"/>
      <c r="U167" s="425"/>
      <c r="V167" s="425"/>
      <c r="W167" s="425"/>
      <c r="X167" s="425"/>
      <c r="Y167" s="425"/>
      <c r="Z167" s="427"/>
      <c r="AA167" s="426"/>
      <c r="AB167" s="427"/>
      <c r="AC167" s="426"/>
      <c r="AD167" s="427"/>
      <c r="AE167" s="426"/>
      <c r="AF167" s="427"/>
      <c r="AG167" s="426"/>
      <c r="AH167" s="428"/>
      <c r="AI167" s="426"/>
      <c r="AJ167" s="428"/>
      <c r="AK167" s="426"/>
      <c r="AL167" s="425"/>
      <c r="AM167" s="425"/>
      <c r="AN167" s="427"/>
      <c r="AO167" s="426"/>
      <c r="AP167" s="425"/>
      <c r="AQ167" s="429"/>
      <c r="AR167" s="427"/>
      <c r="AS167" s="425"/>
      <c r="AT167" s="425"/>
      <c r="AU167" s="425"/>
      <c r="AV167" s="425"/>
      <c r="AW167" s="425"/>
      <c r="AX167" s="425"/>
      <c r="AY167" s="427"/>
      <c r="AZ167" s="425"/>
      <c r="BA167" s="427"/>
      <c r="BB167" s="425"/>
      <c r="BC167" s="427"/>
      <c r="BD167" s="425"/>
      <c r="BE167" s="427"/>
      <c r="BF167" s="427"/>
      <c r="BG167" s="427"/>
      <c r="BH167" s="427"/>
      <c r="BI167" s="425"/>
      <c r="BJ167" s="425"/>
      <c r="BK167" s="425"/>
      <c r="BL167" s="426"/>
      <c r="BM167" s="425"/>
      <c r="BN167" s="426"/>
      <c r="BO167" s="426"/>
      <c r="BP167" s="426"/>
      <c r="BQ167" s="426"/>
      <c r="BR167" s="426"/>
      <c r="BS167" s="430"/>
      <c r="BT167" s="425"/>
      <c r="BU167" s="425"/>
      <c r="BV167" s="425"/>
      <c r="BW167" s="426"/>
      <c r="BX167" s="426"/>
      <c r="BY167" s="426"/>
      <c r="BZ167" s="426"/>
      <c r="CA167" s="427"/>
      <c r="CB167" s="427"/>
      <c r="CC167" s="426"/>
      <c r="CD167" s="425"/>
      <c r="CE167" s="425"/>
      <c r="CF167" s="427"/>
      <c r="CG167" s="427"/>
      <c r="CH167" s="427"/>
      <c r="CI167" s="427"/>
      <c r="CJ167" s="425"/>
      <c r="CK167" s="425"/>
      <c r="CL167" s="425"/>
      <c r="CM167" s="425"/>
      <c r="CN167" s="425"/>
      <c r="CO167" s="425"/>
      <c r="CP167" s="427"/>
      <c r="CQ167" s="425"/>
      <c r="CR167" s="427"/>
      <c r="CS167" s="425"/>
      <c r="CT167" s="427"/>
      <c r="CU167" s="425"/>
      <c r="CV167" s="425"/>
      <c r="CW167" s="427"/>
      <c r="CX167" s="425"/>
      <c r="CY167" s="427"/>
      <c r="CZ167" s="425"/>
      <c r="DA167" s="427"/>
      <c r="DB167" s="425"/>
      <c r="DC167" s="425"/>
      <c r="DD167" s="425"/>
      <c r="DE167" s="425"/>
      <c r="DF167" s="425"/>
    </row>
    <row r="168">
      <c r="A168" s="425"/>
      <c r="B168" s="425"/>
      <c r="C168" s="425"/>
      <c r="D168" s="425"/>
      <c r="E168" s="425"/>
      <c r="F168" s="425"/>
      <c r="G168" s="426"/>
      <c r="H168" s="426"/>
      <c r="I168" s="427"/>
      <c r="J168" s="427"/>
      <c r="K168" s="427"/>
      <c r="L168" s="427"/>
      <c r="M168" s="427"/>
      <c r="N168" s="427"/>
      <c r="O168" s="427"/>
      <c r="P168" s="427"/>
      <c r="Q168" s="426"/>
      <c r="R168" s="427"/>
      <c r="S168" s="426"/>
      <c r="T168" s="425"/>
      <c r="U168" s="425"/>
      <c r="V168" s="425"/>
      <c r="W168" s="425"/>
      <c r="X168" s="425"/>
      <c r="Y168" s="425"/>
      <c r="Z168" s="427"/>
      <c r="AA168" s="426"/>
      <c r="AB168" s="427"/>
      <c r="AC168" s="426"/>
      <c r="AD168" s="427"/>
      <c r="AE168" s="426"/>
      <c r="AF168" s="427"/>
      <c r="AG168" s="426"/>
      <c r="AH168" s="428"/>
      <c r="AI168" s="426"/>
      <c r="AJ168" s="428"/>
      <c r="AK168" s="426"/>
      <c r="AL168" s="425"/>
      <c r="AM168" s="425"/>
      <c r="AN168" s="427"/>
      <c r="AO168" s="426"/>
      <c r="AP168" s="425"/>
      <c r="AQ168" s="429"/>
      <c r="AR168" s="427"/>
      <c r="AS168" s="425"/>
      <c r="AT168" s="425"/>
      <c r="AU168" s="425"/>
      <c r="AV168" s="425"/>
      <c r="AW168" s="425"/>
      <c r="AX168" s="425"/>
      <c r="AY168" s="427"/>
      <c r="AZ168" s="425"/>
      <c r="BA168" s="427"/>
      <c r="BB168" s="425"/>
      <c r="BC168" s="427"/>
      <c r="BD168" s="425"/>
      <c r="BE168" s="427"/>
      <c r="BF168" s="427"/>
      <c r="BG168" s="427"/>
      <c r="BH168" s="427"/>
      <c r="BI168" s="425"/>
      <c r="BJ168" s="425"/>
      <c r="BK168" s="425"/>
      <c r="BL168" s="426"/>
      <c r="BM168" s="425"/>
      <c r="BN168" s="426"/>
      <c r="BO168" s="426"/>
      <c r="BP168" s="426"/>
      <c r="BQ168" s="426"/>
      <c r="BR168" s="426"/>
      <c r="BS168" s="430"/>
      <c r="BT168" s="425"/>
      <c r="BU168" s="425"/>
      <c r="BV168" s="425"/>
      <c r="BW168" s="426"/>
      <c r="BX168" s="426"/>
      <c r="BY168" s="426"/>
      <c r="BZ168" s="426"/>
      <c r="CA168" s="427"/>
      <c r="CB168" s="427"/>
      <c r="CC168" s="426"/>
      <c r="CD168" s="425"/>
      <c r="CE168" s="425"/>
      <c r="CF168" s="427"/>
      <c r="CG168" s="427"/>
      <c r="CH168" s="427"/>
      <c r="CI168" s="427"/>
      <c r="CJ168" s="425"/>
      <c r="CK168" s="425"/>
      <c r="CL168" s="425"/>
      <c r="CM168" s="425"/>
      <c r="CN168" s="425"/>
      <c r="CO168" s="425"/>
      <c r="CP168" s="427"/>
      <c r="CQ168" s="425"/>
      <c r="CR168" s="427"/>
      <c r="CS168" s="425"/>
      <c r="CT168" s="427"/>
      <c r="CU168" s="425"/>
      <c r="CV168" s="425"/>
      <c r="CW168" s="427"/>
      <c r="CX168" s="425"/>
      <c r="CY168" s="427"/>
      <c r="CZ168" s="425"/>
      <c r="DA168" s="427"/>
      <c r="DB168" s="425"/>
      <c r="DC168" s="425"/>
      <c r="DD168" s="425"/>
      <c r="DE168" s="425"/>
      <c r="DF168" s="425"/>
    </row>
    <row r="169">
      <c r="A169" s="425"/>
      <c r="B169" s="425"/>
      <c r="C169" s="425"/>
      <c r="D169" s="425"/>
      <c r="E169" s="425"/>
      <c r="F169" s="425"/>
      <c r="G169" s="426"/>
      <c r="H169" s="426"/>
      <c r="I169" s="427"/>
      <c r="J169" s="427"/>
      <c r="K169" s="427"/>
      <c r="L169" s="427"/>
      <c r="M169" s="427"/>
      <c r="N169" s="427"/>
      <c r="O169" s="427"/>
      <c r="P169" s="427"/>
      <c r="Q169" s="426"/>
      <c r="R169" s="427"/>
      <c r="S169" s="426"/>
      <c r="T169" s="425"/>
      <c r="U169" s="425"/>
      <c r="V169" s="425"/>
      <c r="W169" s="425"/>
      <c r="X169" s="425"/>
      <c r="Y169" s="425"/>
      <c r="Z169" s="427"/>
      <c r="AA169" s="426"/>
      <c r="AB169" s="427"/>
      <c r="AC169" s="426"/>
      <c r="AD169" s="427"/>
      <c r="AE169" s="426"/>
      <c r="AF169" s="427"/>
      <c r="AG169" s="426"/>
      <c r="AH169" s="428"/>
      <c r="AI169" s="426"/>
      <c r="AJ169" s="428"/>
      <c r="AK169" s="426"/>
      <c r="AL169" s="425"/>
      <c r="AM169" s="425"/>
      <c r="AN169" s="427"/>
      <c r="AO169" s="426"/>
      <c r="AP169" s="425"/>
      <c r="AQ169" s="429"/>
      <c r="AR169" s="427"/>
      <c r="AS169" s="425"/>
      <c r="AT169" s="425"/>
      <c r="AU169" s="425"/>
      <c r="AV169" s="425"/>
      <c r="AW169" s="425"/>
      <c r="AX169" s="425"/>
      <c r="AY169" s="427"/>
      <c r="AZ169" s="425"/>
      <c r="BA169" s="427"/>
      <c r="BB169" s="425"/>
      <c r="BC169" s="427"/>
      <c r="BD169" s="425"/>
      <c r="BE169" s="427"/>
      <c r="BF169" s="427"/>
      <c r="BG169" s="427"/>
      <c r="BH169" s="427"/>
      <c r="BI169" s="425"/>
      <c r="BJ169" s="425"/>
      <c r="BK169" s="425"/>
      <c r="BL169" s="426"/>
      <c r="BM169" s="425"/>
      <c r="BN169" s="426"/>
      <c r="BO169" s="426"/>
      <c r="BP169" s="426"/>
      <c r="BQ169" s="426"/>
      <c r="BR169" s="426"/>
      <c r="BS169" s="430"/>
      <c r="BT169" s="425"/>
      <c r="BU169" s="425"/>
      <c r="BV169" s="425"/>
      <c r="BW169" s="426"/>
      <c r="BX169" s="426"/>
      <c r="BY169" s="426"/>
      <c r="BZ169" s="426"/>
      <c r="CA169" s="427"/>
      <c r="CB169" s="427"/>
      <c r="CC169" s="426"/>
      <c r="CD169" s="425"/>
      <c r="CE169" s="425"/>
      <c r="CF169" s="427"/>
      <c r="CG169" s="427"/>
      <c r="CH169" s="427"/>
      <c r="CI169" s="427"/>
      <c r="CJ169" s="425"/>
      <c r="CK169" s="425"/>
      <c r="CL169" s="425"/>
      <c r="CM169" s="425"/>
      <c r="CN169" s="425"/>
      <c r="CO169" s="425"/>
      <c r="CP169" s="427"/>
      <c r="CQ169" s="425"/>
      <c r="CR169" s="427"/>
      <c r="CS169" s="425"/>
      <c r="CT169" s="427"/>
      <c r="CU169" s="425"/>
      <c r="CV169" s="425"/>
      <c r="CW169" s="427"/>
      <c r="CX169" s="425"/>
      <c r="CY169" s="427"/>
      <c r="CZ169" s="425"/>
      <c r="DA169" s="427"/>
      <c r="DB169" s="425"/>
      <c r="DC169" s="425"/>
      <c r="DD169" s="425"/>
      <c r="DE169" s="425"/>
      <c r="DF169" s="425"/>
    </row>
    <row r="170">
      <c r="A170" s="425"/>
      <c r="B170" s="425"/>
      <c r="C170" s="425"/>
      <c r="D170" s="425"/>
      <c r="E170" s="425"/>
      <c r="F170" s="425"/>
      <c r="G170" s="426"/>
      <c r="H170" s="426"/>
      <c r="I170" s="427"/>
      <c r="J170" s="427"/>
      <c r="K170" s="427"/>
      <c r="L170" s="427"/>
      <c r="M170" s="427"/>
      <c r="N170" s="427"/>
      <c r="O170" s="427"/>
      <c r="P170" s="427"/>
      <c r="Q170" s="426"/>
      <c r="R170" s="427"/>
      <c r="S170" s="426"/>
      <c r="T170" s="425"/>
      <c r="U170" s="425"/>
      <c r="V170" s="425"/>
      <c r="W170" s="425"/>
      <c r="X170" s="425"/>
      <c r="Y170" s="425"/>
      <c r="Z170" s="427"/>
      <c r="AA170" s="426"/>
      <c r="AB170" s="427"/>
      <c r="AC170" s="426"/>
      <c r="AD170" s="427"/>
      <c r="AE170" s="426"/>
      <c r="AF170" s="427"/>
      <c r="AG170" s="426"/>
      <c r="AH170" s="428"/>
      <c r="AI170" s="426"/>
      <c r="AJ170" s="428"/>
      <c r="AK170" s="426"/>
      <c r="AL170" s="425"/>
      <c r="AM170" s="425"/>
      <c r="AN170" s="427"/>
      <c r="AO170" s="426"/>
      <c r="AP170" s="425"/>
      <c r="AQ170" s="429"/>
      <c r="AR170" s="427"/>
      <c r="AS170" s="425"/>
      <c r="AT170" s="425"/>
      <c r="AU170" s="425"/>
      <c r="AV170" s="425"/>
      <c r="AW170" s="425"/>
      <c r="AX170" s="425"/>
      <c r="AY170" s="427"/>
      <c r="AZ170" s="425"/>
      <c r="BA170" s="427"/>
      <c r="BB170" s="425"/>
      <c r="BC170" s="427"/>
      <c r="BD170" s="425"/>
      <c r="BE170" s="427"/>
      <c r="BF170" s="427"/>
      <c r="BG170" s="427"/>
      <c r="BH170" s="427"/>
      <c r="BI170" s="425"/>
      <c r="BJ170" s="425"/>
      <c r="BK170" s="425"/>
      <c r="BL170" s="426"/>
      <c r="BM170" s="425"/>
      <c r="BN170" s="426"/>
      <c r="BO170" s="426"/>
      <c r="BP170" s="426"/>
      <c r="BQ170" s="426"/>
      <c r="BR170" s="426"/>
      <c r="BS170" s="430"/>
      <c r="BT170" s="425"/>
      <c r="BU170" s="425"/>
      <c r="BV170" s="425"/>
      <c r="BW170" s="426"/>
      <c r="BX170" s="426"/>
      <c r="BY170" s="426"/>
      <c r="BZ170" s="426"/>
      <c r="CA170" s="427"/>
      <c r="CB170" s="427"/>
      <c r="CC170" s="426"/>
      <c r="CD170" s="425"/>
      <c r="CE170" s="425"/>
      <c r="CF170" s="427"/>
      <c r="CG170" s="427"/>
      <c r="CH170" s="427"/>
      <c r="CI170" s="427"/>
      <c r="CJ170" s="425"/>
      <c r="CK170" s="425"/>
      <c r="CL170" s="425"/>
      <c r="CM170" s="425"/>
      <c r="CN170" s="425"/>
      <c r="CO170" s="425"/>
      <c r="CP170" s="427"/>
      <c r="CQ170" s="425"/>
      <c r="CR170" s="427"/>
      <c r="CS170" s="425"/>
      <c r="CT170" s="427"/>
      <c r="CU170" s="425"/>
      <c r="CV170" s="425"/>
      <c r="CW170" s="427"/>
      <c r="CX170" s="425"/>
      <c r="CY170" s="427"/>
      <c r="CZ170" s="425"/>
      <c r="DA170" s="427"/>
      <c r="DB170" s="425"/>
      <c r="DC170" s="425"/>
      <c r="DD170" s="425"/>
      <c r="DE170" s="425"/>
      <c r="DF170" s="425"/>
    </row>
    <row r="171">
      <c r="A171" s="425"/>
      <c r="B171" s="425"/>
      <c r="C171" s="425"/>
      <c r="D171" s="425"/>
      <c r="E171" s="425"/>
      <c r="F171" s="425"/>
      <c r="G171" s="426"/>
      <c r="H171" s="426"/>
      <c r="I171" s="427"/>
      <c r="J171" s="427"/>
      <c r="K171" s="427"/>
      <c r="L171" s="427"/>
      <c r="M171" s="427"/>
      <c r="N171" s="427"/>
      <c r="O171" s="427"/>
      <c r="P171" s="427"/>
      <c r="Q171" s="426"/>
      <c r="R171" s="427"/>
      <c r="S171" s="426"/>
      <c r="T171" s="425"/>
      <c r="U171" s="425"/>
      <c r="V171" s="425"/>
      <c r="W171" s="425"/>
      <c r="X171" s="425"/>
      <c r="Y171" s="425"/>
      <c r="Z171" s="427"/>
      <c r="AA171" s="426"/>
      <c r="AB171" s="427"/>
      <c r="AC171" s="426"/>
      <c r="AD171" s="427"/>
      <c r="AE171" s="426"/>
      <c r="AF171" s="427"/>
      <c r="AG171" s="426"/>
      <c r="AH171" s="428"/>
      <c r="AI171" s="426"/>
      <c r="AJ171" s="428"/>
      <c r="AK171" s="426"/>
      <c r="AL171" s="425"/>
      <c r="AM171" s="425"/>
      <c r="AN171" s="427"/>
      <c r="AO171" s="426"/>
      <c r="AP171" s="425"/>
      <c r="AQ171" s="429"/>
      <c r="AR171" s="427"/>
      <c r="AS171" s="425"/>
      <c r="AT171" s="425"/>
      <c r="AU171" s="425"/>
      <c r="AV171" s="425"/>
      <c r="AW171" s="425"/>
      <c r="AX171" s="425"/>
      <c r="AY171" s="427"/>
      <c r="AZ171" s="425"/>
      <c r="BA171" s="427"/>
      <c r="BB171" s="425"/>
      <c r="BC171" s="427"/>
      <c r="BD171" s="425"/>
      <c r="BE171" s="427"/>
      <c r="BF171" s="427"/>
      <c r="BG171" s="427"/>
      <c r="BH171" s="427"/>
      <c r="BI171" s="425"/>
      <c r="BJ171" s="425"/>
      <c r="BK171" s="425"/>
      <c r="BL171" s="426"/>
      <c r="BM171" s="425"/>
      <c r="BN171" s="426"/>
      <c r="BO171" s="426"/>
      <c r="BP171" s="426"/>
      <c r="BQ171" s="426"/>
      <c r="BR171" s="426"/>
      <c r="BS171" s="430"/>
      <c r="BT171" s="425"/>
      <c r="BU171" s="425"/>
      <c r="BV171" s="425"/>
      <c r="BW171" s="426"/>
      <c r="BX171" s="426"/>
      <c r="BY171" s="426"/>
      <c r="BZ171" s="426"/>
      <c r="CA171" s="427"/>
      <c r="CB171" s="427"/>
      <c r="CC171" s="426"/>
      <c r="CD171" s="425"/>
      <c r="CE171" s="425"/>
      <c r="CF171" s="427"/>
      <c r="CG171" s="427"/>
      <c r="CH171" s="427"/>
      <c r="CI171" s="427"/>
      <c r="CJ171" s="425"/>
      <c r="CK171" s="425"/>
      <c r="CL171" s="425"/>
      <c r="CM171" s="425"/>
      <c r="CN171" s="425"/>
      <c r="CO171" s="425"/>
      <c r="CP171" s="427"/>
      <c r="CQ171" s="425"/>
      <c r="CR171" s="427"/>
      <c r="CS171" s="425"/>
      <c r="CT171" s="427"/>
      <c r="CU171" s="425"/>
      <c r="CV171" s="425"/>
      <c r="CW171" s="427"/>
      <c r="CX171" s="425"/>
      <c r="CY171" s="427"/>
      <c r="CZ171" s="425"/>
      <c r="DA171" s="427"/>
      <c r="DB171" s="425"/>
      <c r="DC171" s="425"/>
      <c r="DD171" s="425"/>
      <c r="DE171" s="425"/>
      <c r="DF171" s="425"/>
    </row>
    <row r="172">
      <c r="A172" s="425"/>
      <c r="B172" s="425"/>
      <c r="C172" s="425"/>
      <c r="D172" s="425"/>
      <c r="E172" s="425"/>
      <c r="F172" s="425"/>
      <c r="G172" s="426"/>
      <c r="H172" s="426"/>
      <c r="I172" s="427"/>
      <c r="J172" s="427"/>
      <c r="K172" s="427"/>
      <c r="L172" s="427"/>
      <c r="M172" s="427"/>
      <c r="N172" s="427"/>
      <c r="O172" s="427"/>
      <c r="P172" s="427"/>
      <c r="Q172" s="426"/>
      <c r="R172" s="427"/>
      <c r="S172" s="426"/>
      <c r="T172" s="425"/>
      <c r="U172" s="425"/>
      <c r="V172" s="425"/>
      <c r="W172" s="425"/>
      <c r="X172" s="425"/>
      <c r="Y172" s="425"/>
      <c r="Z172" s="427"/>
      <c r="AA172" s="426"/>
      <c r="AB172" s="427"/>
      <c r="AC172" s="426"/>
      <c r="AD172" s="427"/>
      <c r="AE172" s="426"/>
      <c r="AF172" s="427"/>
      <c r="AG172" s="426"/>
      <c r="AH172" s="428"/>
      <c r="AI172" s="426"/>
      <c r="AJ172" s="428"/>
      <c r="AK172" s="426"/>
      <c r="AL172" s="425"/>
      <c r="AM172" s="425"/>
      <c r="AN172" s="427"/>
      <c r="AO172" s="426"/>
      <c r="AP172" s="425"/>
      <c r="AQ172" s="429"/>
      <c r="AR172" s="427"/>
      <c r="AS172" s="425"/>
      <c r="AT172" s="425"/>
      <c r="AU172" s="425"/>
      <c r="AV172" s="425"/>
      <c r="AW172" s="425"/>
      <c r="AX172" s="425"/>
      <c r="AY172" s="427"/>
      <c r="AZ172" s="425"/>
      <c r="BA172" s="427"/>
      <c r="BB172" s="425"/>
      <c r="BC172" s="427"/>
      <c r="BD172" s="425"/>
      <c r="BE172" s="427"/>
      <c r="BF172" s="427"/>
      <c r="BG172" s="427"/>
      <c r="BH172" s="427"/>
      <c r="BI172" s="425"/>
      <c r="BJ172" s="425"/>
      <c r="BK172" s="425"/>
      <c r="BL172" s="426"/>
      <c r="BM172" s="425"/>
      <c r="BN172" s="426"/>
      <c r="BO172" s="426"/>
      <c r="BP172" s="426"/>
      <c r="BQ172" s="426"/>
      <c r="BR172" s="426"/>
      <c r="BS172" s="430"/>
      <c r="BT172" s="425"/>
      <c r="BU172" s="425"/>
      <c r="BV172" s="425"/>
      <c r="BW172" s="426"/>
      <c r="BX172" s="426"/>
      <c r="BY172" s="426"/>
      <c r="BZ172" s="426"/>
      <c r="CA172" s="427"/>
      <c r="CB172" s="427"/>
      <c r="CC172" s="426"/>
      <c r="CD172" s="425"/>
      <c r="CE172" s="425"/>
      <c r="CF172" s="427"/>
      <c r="CG172" s="427"/>
      <c r="CH172" s="427"/>
      <c r="CI172" s="427"/>
      <c r="CJ172" s="425"/>
      <c r="CK172" s="425"/>
      <c r="CL172" s="425"/>
      <c r="CM172" s="425"/>
      <c r="CN172" s="425"/>
      <c r="CO172" s="425"/>
      <c r="CP172" s="427"/>
      <c r="CQ172" s="425"/>
      <c r="CR172" s="427"/>
      <c r="CS172" s="425"/>
      <c r="CT172" s="427"/>
      <c r="CU172" s="425"/>
      <c r="CV172" s="425"/>
      <c r="CW172" s="427"/>
      <c r="CX172" s="425"/>
      <c r="CY172" s="427"/>
      <c r="CZ172" s="425"/>
      <c r="DA172" s="427"/>
      <c r="DB172" s="425"/>
      <c r="DC172" s="425"/>
      <c r="DD172" s="425"/>
      <c r="DE172" s="425"/>
      <c r="DF172" s="425"/>
    </row>
    <row r="173">
      <c r="A173" s="425"/>
      <c r="B173" s="425"/>
      <c r="C173" s="425"/>
      <c r="D173" s="425"/>
      <c r="E173" s="425"/>
      <c r="F173" s="425"/>
      <c r="G173" s="426"/>
      <c r="H173" s="426"/>
      <c r="I173" s="427"/>
      <c r="J173" s="427"/>
      <c r="K173" s="427"/>
      <c r="L173" s="427"/>
      <c r="M173" s="427"/>
      <c r="N173" s="427"/>
      <c r="O173" s="427"/>
      <c r="P173" s="427"/>
      <c r="Q173" s="426"/>
      <c r="R173" s="427"/>
      <c r="S173" s="426"/>
      <c r="T173" s="425"/>
      <c r="U173" s="425"/>
      <c r="V173" s="425"/>
      <c r="W173" s="425"/>
      <c r="X173" s="425"/>
      <c r="Y173" s="425"/>
      <c r="Z173" s="427"/>
      <c r="AA173" s="426"/>
      <c r="AB173" s="427"/>
      <c r="AC173" s="426"/>
      <c r="AD173" s="427"/>
      <c r="AE173" s="426"/>
      <c r="AF173" s="427"/>
      <c r="AG173" s="426"/>
      <c r="AH173" s="428"/>
      <c r="AI173" s="426"/>
      <c r="AJ173" s="428"/>
      <c r="AK173" s="426"/>
      <c r="AL173" s="425"/>
      <c r="AM173" s="425"/>
      <c r="AN173" s="427"/>
      <c r="AO173" s="426"/>
      <c r="AP173" s="425"/>
      <c r="AQ173" s="429"/>
      <c r="AR173" s="427"/>
      <c r="AS173" s="425"/>
      <c r="AT173" s="425"/>
      <c r="AU173" s="425"/>
      <c r="AV173" s="425"/>
      <c r="AW173" s="425"/>
      <c r="AX173" s="425"/>
      <c r="AY173" s="427"/>
      <c r="AZ173" s="425"/>
      <c r="BA173" s="427"/>
      <c r="BB173" s="425"/>
      <c r="BC173" s="427"/>
      <c r="BD173" s="425"/>
      <c r="BE173" s="427"/>
      <c r="BF173" s="427"/>
      <c r="BG173" s="427"/>
      <c r="BH173" s="427"/>
      <c r="BI173" s="425"/>
      <c r="BJ173" s="425"/>
      <c r="BK173" s="425"/>
      <c r="BL173" s="426"/>
      <c r="BM173" s="425"/>
      <c r="BN173" s="426"/>
      <c r="BO173" s="426"/>
      <c r="BP173" s="426"/>
      <c r="BQ173" s="426"/>
      <c r="BR173" s="426"/>
      <c r="BS173" s="430"/>
      <c r="BT173" s="425"/>
      <c r="BU173" s="425"/>
      <c r="BV173" s="425"/>
      <c r="BW173" s="426"/>
      <c r="BX173" s="426"/>
      <c r="BY173" s="426"/>
      <c r="BZ173" s="426"/>
      <c r="CA173" s="427"/>
      <c r="CB173" s="427"/>
      <c r="CC173" s="426"/>
      <c r="CD173" s="425"/>
      <c r="CE173" s="425"/>
      <c r="CF173" s="427"/>
      <c r="CG173" s="427"/>
      <c r="CH173" s="427"/>
      <c r="CI173" s="427"/>
      <c r="CJ173" s="425"/>
      <c r="CK173" s="425"/>
      <c r="CL173" s="425"/>
      <c r="CM173" s="425"/>
      <c r="CN173" s="425"/>
      <c r="CO173" s="425"/>
      <c r="CP173" s="427"/>
      <c r="CQ173" s="425"/>
      <c r="CR173" s="427"/>
      <c r="CS173" s="425"/>
      <c r="CT173" s="427"/>
      <c r="CU173" s="425"/>
      <c r="CV173" s="425"/>
      <c r="CW173" s="427"/>
      <c r="CX173" s="425"/>
      <c r="CY173" s="427"/>
      <c r="CZ173" s="425"/>
      <c r="DA173" s="427"/>
      <c r="DB173" s="425"/>
      <c r="DC173" s="425"/>
      <c r="DD173" s="425"/>
      <c r="DE173" s="425"/>
      <c r="DF173" s="425"/>
    </row>
    <row r="174">
      <c r="A174" s="425"/>
      <c r="B174" s="425"/>
      <c r="C174" s="425"/>
      <c r="D174" s="425"/>
      <c r="E174" s="425"/>
      <c r="F174" s="425"/>
      <c r="G174" s="426"/>
      <c r="H174" s="426"/>
      <c r="I174" s="427"/>
      <c r="J174" s="427"/>
      <c r="K174" s="427"/>
      <c r="L174" s="427"/>
      <c r="M174" s="427"/>
      <c r="N174" s="427"/>
      <c r="O174" s="427"/>
      <c r="P174" s="427"/>
      <c r="Q174" s="426"/>
      <c r="R174" s="427"/>
      <c r="S174" s="426"/>
      <c r="T174" s="425"/>
      <c r="U174" s="425"/>
      <c r="V174" s="425"/>
      <c r="W174" s="425"/>
      <c r="X174" s="425"/>
      <c r="Y174" s="425"/>
      <c r="Z174" s="427"/>
      <c r="AA174" s="426"/>
      <c r="AB174" s="427"/>
      <c r="AC174" s="426"/>
      <c r="AD174" s="427"/>
      <c r="AE174" s="426"/>
      <c r="AF174" s="427"/>
      <c r="AG174" s="426"/>
      <c r="AH174" s="428"/>
      <c r="AI174" s="426"/>
      <c r="AJ174" s="428"/>
      <c r="AK174" s="426"/>
      <c r="AL174" s="425"/>
      <c r="AM174" s="425"/>
      <c r="AN174" s="427"/>
      <c r="AO174" s="426"/>
      <c r="AP174" s="425"/>
      <c r="AQ174" s="429"/>
      <c r="AR174" s="427"/>
      <c r="AS174" s="425"/>
      <c r="AT174" s="425"/>
      <c r="AU174" s="425"/>
      <c r="AV174" s="425"/>
      <c r="AW174" s="425"/>
      <c r="AX174" s="425"/>
      <c r="AY174" s="427"/>
      <c r="AZ174" s="425"/>
      <c r="BA174" s="427"/>
      <c r="BB174" s="425"/>
      <c r="BC174" s="427"/>
      <c r="BD174" s="425"/>
      <c r="BE174" s="427"/>
      <c r="BF174" s="427"/>
      <c r="BG174" s="427"/>
      <c r="BH174" s="427"/>
      <c r="BI174" s="425"/>
      <c r="BJ174" s="425"/>
      <c r="BK174" s="425"/>
      <c r="BL174" s="426"/>
      <c r="BM174" s="425"/>
      <c r="BN174" s="426"/>
      <c r="BO174" s="426"/>
      <c r="BP174" s="426"/>
      <c r="BQ174" s="426"/>
      <c r="BR174" s="426"/>
      <c r="BS174" s="430"/>
      <c r="BT174" s="425"/>
      <c r="BU174" s="425"/>
      <c r="BV174" s="425"/>
      <c r="BW174" s="426"/>
      <c r="BX174" s="426"/>
      <c r="BY174" s="426"/>
      <c r="BZ174" s="426"/>
      <c r="CA174" s="427"/>
      <c r="CB174" s="427"/>
      <c r="CC174" s="426"/>
      <c r="CD174" s="425"/>
      <c r="CE174" s="425"/>
      <c r="CF174" s="427"/>
      <c r="CG174" s="427"/>
      <c r="CH174" s="427"/>
      <c r="CI174" s="427"/>
      <c r="CJ174" s="425"/>
      <c r="CK174" s="425"/>
      <c r="CL174" s="425"/>
      <c r="CM174" s="425"/>
      <c r="CN174" s="425"/>
      <c r="CO174" s="425"/>
      <c r="CP174" s="427"/>
      <c r="CQ174" s="425"/>
      <c r="CR174" s="427"/>
      <c r="CS174" s="425"/>
      <c r="CT174" s="427"/>
      <c r="CU174" s="425"/>
      <c r="CV174" s="425"/>
      <c r="CW174" s="427"/>
      <c r="CX174" s="425"/>
      <c r="CY174" s="427"/>
      <c r="CZ174" s="425"/>
      <c r="DA174" s="427"/>
      <c r="DB174" s="425"/>
      <c r="DC174" s="425"/>
      <c r="DD174" s="425"/>
      <c r="DE174" s="425"/>
      <c r="DF174" s="425"/>
    </row>
    <row r="175">
      <c r="A175" s="425"/>
      <c r="B175" s="425"/>
      <c r="C175" s="425"/>
      <c r="D175" s="425"/>
      <c r="E175" s="425"/>
      <c r="F175" s="425"/>
      <c r="G175" s="426"/>
      <c r="H175" s="426"/>
      <c r="I175" s="427"/>
      <c r="J175" s="427"/>
      <c r="K175" s="427"/>
      <c r="L175" s="427"/>
      <c r="M175" s="427"/>
      <c r="N175" s="427"/>
      <c r="O175" s="427"/>
      <c r="P175" s="427"/>
      <c r="Q175" s="426"/>
      <c r="R175" s="427"/>
      <c r="S175" s="426"/>
      <c r="T175" s="425"/>
      <c r="U175" s="425"/>
      <c r="V175" s="425"/>
      <c r="W175" s="425"/>
      <c r="X175" s="425"/>
      <c r="Y175" s="425"/>
      <c r="Z175" s="427"/>
      <c r="AA175" s="426"/>
      <c r="AB175" s="427"/>
      <c r="AC175" s="426"/>
      <c r="AD175" s="427"/>
      <c r="AE175" s="426"/>
      <c r="AF175" s="427"/>
      <c r="AG175" s="426"/>
      <c r="AH175" s="428"/>
      <c r="AI175" s="426"/>
      <c r="AJ175" s="428"/>
      <c r="AK175" s="426"/>
      <c r="AL175" s="425"/>
      <c r="AM175" s="425"/>
      <c r="AN175" s="427"/>
      <c r="AO175" s="426"/>
      <c r="AP175" s="425"/>
      <c r="AQ175" s="429"/>
      <c r="AR175" s="427"/>
      <c r="AS175" s="425"/>
      <c r="AT175" s="425"/>
      <c r="AU175" s="425"/>
      <c r="AV175" s="425"/>
      <c r="AW175" s="425"/>
      <c r="AX175" s="425"/>
      <c r="AY175" s="427"/>
      <c r="AZ175" s="425"/>
      <c r="BA175" s="427"/>
      <c r="BB175" s="425"/>
      <c r="BC175" s="427"/>
      <c r="BD175" s="425"/>
      <c r="BE175" s="427"/>
      <c r="BF175" s="427"/>
      <c r="BG175" s="427"/>
      <c r="BH175" s="427"/>
      <c r="BI175" s="425"/>
      <c r="BJ175" s="425"/>
      <c r="BK175" s="425"/>
      <c r="BL175" s="426"/>
      <c r="BM175" s="425"/>
      <c r="BN175" s="426"/>
      <c r="BO175" s="426"/>
      <c r="BP175" s="426"/>
      <c r="BQ175" s="426"/>
      <c r="BR175" s="426"/>
      <c r="BS175" s="430"/>
      <c r="BT175" s="425"/>
      <c r="BU175" s="425"/>
      <c r="BV175" s="425"/>
      <c r="BW175" s="426"/>
      <c r="BX175" s="426"/>
      <c r="BY175" s="426"/>
      <c r="BZ175" s="426"/>
      <c r="CA175" s="427"/>
      <c r="CB175" s="427"/>
      <c r="CC175" s="426"/>
      <c r="CD175" s="425"/>
      <c r="CE175" s="425"/>
      <c r="CF175" s="427"/>
      <c r="CG175" s="427"/>
      <c r="CH175" s="427"/>
      <c r="CI175" s="427"/>
      <c r="CJ175" s="425"/>
      <c r="CK175" s="425"/>
      <c r="CL175" s="425"/>
      <c r="CM175" s="425"/>
      <c r="CN175" s="425"/>
      <c r="CO175" s="425"/>
      <c r="CP175" s="427"/>
      <c r="CQ175" s="425"/>
      <c r="CR175" s="427"/>
      <c r="CS175" s="425"/>
      <c r="CT175" s="427"/>
      <c r="CU175" s="425"/>
      <c r="CV175" s="425"/>
      <c r="CW175" s="427"/>
      <c r="CX175" s="425"/>
      <c r="CY175" s="427"/>
      <c r="CZ175" s="425"/>
      <c r="DA175" s="427"/>
      <c r="DB175" s="425"/>
      <c r="DC175" s="425"/>
      <c r="DD175" s="425"/>
      <c r="DE175" s="425"/>
      <c r="DF175" s="425"/>
    </row>
    <row r="176">
      <c r="A176" s="425"/>
      <c r="B176" s="425"/>
      <c r="C176" s="425"/>
      <c r="D176" s="425"/>
      <c r="E176" s="425"/>
      <c r="F176" s="425"/>
      <c r="G176" s="426"/>
      <c r="H176" s="426"/>
      <c r="I176" s="427"/>
      <c r="J176" s="427"/>
      <c r="K176" s="427"/>
      <c r="L176" s="427"/>
      <c r="M176" s="427"/>
      <c r="N176" s="427"/>
      <c r="O176" s="427"/>
      <c r="P176" s="427"/>
      <c r="Q176" s="426"/>
      <c r="R176" s="427"/>
      <c r="S176" s="426"/>
      <c r="T176" s="425"/>
      <c r="U176" s="425"/>
      <c r="V176" s="425"/>
      <c r="W176" s="425"/>
      <c r="X176" s="425"/>
      <c r="Y176" s="425"/>
      <c r="Z176" s="427"/>
      <c r="AA176" s="426"/>
      <c r="AB176" s="427"/>
      <c r="AC176" s="426"/>
      <c r="AD176" s="427"/>
      <c r="AE176" s="426"/>
      <c r="AF176" s="427"/>
      <c r="AG176" s="426"/>
      <c r="AH176" s="428"/>
      <c r="AI176" s="426"/>
      <c r="AJ176" s="428"/>
      <c r="AK176" s="426"/>
      <c r="AL176" s="425"/>
      <c r="AM176" s="425"/>
      <c r="AN176" s="427"/>
      <c r="AO176" s="426"/>
      <c r="AP176" s="425"/>
      <c r="AQ176" s="429"/>
      <c r="AR176" s="427"/>
      <c r="AS176" s="425"/>
      <c r="AT176" s="425"/>
      <c r="AU176" s="425"/>
      <c r="AV176" s="425"/>
      <c r="AW176" s="425"/>
      <c r="AX176" s="425"/>
      <c r="AY176" s="427"/>
      <c r="AZ176" s="425"/>
      <c r="BA176" s="427"/>
      <c r="BB176" s="425"/>
      <c r="BC176" s="427"/>
      <c r="BD176" s="425"/>
      <c r="BE176" s="427"/>
      <c r="BF176" s="427"/>
      <c r="BG176" s="427"/>
      <c r="BH176" s="427"/>
      <c r="BI176" s="425"/>
      <c r="BJ176" s="425"/>
      <c r="BK176" s="425"/>
      <c r="BL176" s="426"/>
      <c r="BM176" s="425"/>
      <c r="BN176" s="426"/>
      <c r="BO176" s="426"/>
      <c r="BP176" s="426"/>
      <c r="BQ176" s="426"/>
      <c r="BR176" s="426"/>
      <c r="BS176" s="430"/>
      <c r="BT176" s="425"/>
      <c r="BU176" s="425"/>
      <c r="BV176" s="425"/>
      <c r="BW176" s="426"/>
      <c r="BX176" s="426"/>
      <c r="BY176" s="426"/>
      <c r="BZ176" s="426"/>
      <c r="CA176" s="427"/>
      <c r="CB176" s="427"/>
      <c r="CC176" s="426"/>
      <c r="CD176" s="425"/>
      <c r="CE176" s="425"/>
      <c r="CF176" s="427"/>
      <c r="CG176" s="427"/>
      <c r="CH176" s="427"/>
      <c r="CI176" s="427"/>
      <c r="CJ176" s="425"/>
      <c r="CK176" s="425"/>
      <c r="CL176" s="425"/>
      <c r="CM176" s="425"/>
      <c r="CN176" s="425"/>
      <c r="CO176" s="425"/>
      <c r="CP176" s="427"/>
      <c r="CQ176" s="425"/>
      <c r="CR176" s="427"/>
      <c r="CS176" s="425"/>
      <c r="CT176" s="427"/>
      <c r="CU176" s="425"/>
      <c r="CV176" s="425"/>
      <c r="CW176" s="427"/>
      <c r="CX176" s="425"/>
      <c r="CY176" s="427"/>
      <c r="CZ176" s="425"/>
      <c r="DA176" s="427"/>
      <c r="DB176" s="425"/>
      <c r="DC176" s="425"/>
      <c r="DD176" s="425"/>
      <c r="DE176" s="425"/>
      <c r="DF176" s="425"/>
    </row>
    <row r="177">
      <c r="A177" s="425"/>
      <c r="B177" s="425"/>
      <c r="C177" s="425"/>
      <c r="D177" s="425"/>
      <c r="E177" s="425"/>
      <c r="F177" s="425"/>
      <c r="G177" s="426"/>
      <c r="H177" s="426"/>
      <c r="I177" s="427"/>
      <c r="J177" s="427"/>
      <c r="K177" s="427"/>
      <c r="L177" s="427"/>
      <c r="M177" s="427"/>
      <c r="N177" s="427"/>
      <c r="O177" s="427"/>
      <c r="P177" s="427"/>
      <c r="Q177" s="426"/>
      <c r="R177" s="427"/>
      <c r="S177" s="426"/>
      <c r="T177" s="425"/>
      <c r="U177" s="425"/>
      <c r="V177" s="425"/>
      <c r="W177" s="425"/>
      <c r="X177" s="425"/>
      <c r="Y177" s="425"/>
      <c r="Z177" s="427"/>
      <c r="AA177" s="426"/>
      <c r="AB177" s="427"/>
      <c r="AC177" s="426"/>
      <c r="AD177" s="427"/>
      <c r="AE177" s="426"/>
      <c r="AF177" s="427"/>
      <c r="AG177" s="426"/>
      <c r="AH177" s="428"/>
      <c r="AI177" s="426"/>
      <c r="AJ177" s="428"/>
      <c r="AK177" s="426"/>
      <c r="AL177" s="425"/>
      <c r="AM177" s="425"/>
      <c r="AN177" s="427"/>
      <c r="AO177" s="426"/>
      <c r="AP177" s="425"/>
      <c r="AQ177" s="429"/>
      <c r="AR177" s="427"/>
      <c r="AS177" s="425"/>
      <c r="AT177" s="425"/>
      <c r="AU177" s="425"/>
      <c r="AV177" s="425"/>
      <c r="AW177" s="425"/>
      <c r="AX177" s="425"/>
      <c r="AY177" s="427"/>
      <c r="AZ177" s="425"/>
      <c r="BA177" s="427"/>
      <c r="BB177" s="425"/>
      <c r="BC177" s="427"/>
      <c r="BD177" s="425"/>
      <c r="BE177" s="427"/>
      <c r="BF177" s="427"/>
      <c r="BG177" s="427"/>
      <c r="BH177" s="427"/>
      <c r="BI177" s="425"/>
      <c r="BJ177" s="425"/>
      <c r="BK177" s="425"/>
      <c r="BL177" s="426"/>
      <c r="BM177" s="425"/>
      <c r="BN177" s="426"/>
      <c r="BO177" s="426"/>
      <c r="BP177" s="426"/>
      <c r="BQ177" s="426"/>
      <c r="BR177" s="426"/>
      <c r="BS177" s="430"/>
      <c r="BT177" s="425"/>
      <c r="BU177" s="425"/>
      <c r="BV177" s="425"/>
      <c r="BW177" s="426"/>
      <c r="BX177" s="426"/>
      <c r="BY177" s="426"/>
      <c r="BZ177" s="426"/>
      <c r="CA177" s="427"/>
      <c r="CB177" s="427"/>
      <c r="CC177" s="426"/>
      <c r="CD177" s="425"/>
      <c r="CE177" s="425"/>
      <c r="CF177" s="427"/>
      <c r="CG177" s="427"/>
      <c r="CH177" s="427"/>
      <c r="CI177" s="427"/>
      <c r="CJ177" s="425"/>
      <c r="CK177" s="425"/>
      <c r="CL177" s="425"/>
      <c r="CM177" s="425"/>
      <c r="CN177" s="425"/>
      <c r="CO177" s="425"/>
      <c r="CP177" s="427"/>
      <c r="CQ177" s="425"/>
      <c r="CR177" s="427"/>
      <c r="CS177" s="425"/>
      <c r="CT177" s="427"/>
      <c r="CU177" s="425"/>
      <c r="CV177" s="425"/>
      <c r="CW177" s="427"/>
      <c r="CX177" s="425"/>
      <c r="CY177" s="427"/>
      <c r="CZ177" s="425"/>
      <c r="DA177" s="427"/>
      <c r="DB177" s="425"/>
      <c r="DC177" s="425"/>
      <c r="DD177" s="425"/>
      <c r="DE177" s="425"/>
      <c r="DF177" s="425"/>
    </row>
    <row r="178">
      <c r="A178" s="425"/>
      <c r="B178" s="425"/>
      <c r="C178" s="425"/>
      <c r="D178" s="425"/>
      <c r="E178" s="425"/>
      <c r="F178" s="425"/>
      <c r="G178" s="426"/>
      <c r="H178" s="426"/>
      <c r="I178" s="427"/>
      <c r="J178" s="427"/>
      <c r="K178" s="427"/>
      <c r="L178" s="427"/>
      <c r="M178" s="427"/>
      <c r="N178" s="427"/>
      <c r="O178" s="427"/>
      <c r="P178" s="427"/>
      <c r="Q178" s="426"/>
      <c r="R178" s="427"/>
      <c r="S178" s="426"/>
      <c r="T178" s="425"/>
      <c r="U178" s="425"/>
      <c r="V178" s="425"/>
      <c r="W178" s="425"/>
      <c r="X178" s="425"/>
      <c r="Y178" s="425"/>
      <c r="Z178" s="427"/>
      <c r="AA178" s="426"/>
      <c r="AB178" s="427"/>
      <c r="AC178" s="426"/>
      <c r="AD178" s="427"/>
      <c r="AE178" s="426"/>
      <c r="AF178" s="427"/>
      <c r="AG178" s="426"/>
      <c r="AH178" s="428"/>
      <c r="AI178" s="426"/>
      <c r="AJ178" s="428"/>
      <c r="AK178" s="426"/>
      <c r="AL178" s="425"/>
      <c r="AM178" s="425"/>
      <c r="AN178" s="427"/>
      <c r="AO178" s="426"/>
      <c r="AP178" s="425"/>
      <c r="AQ178" s="429"/>
      <c r="AR178" s="427"/>
      <c r="AS178" s="425"/>
      <c r="AT178" s="425"/>
      <c r="AU178" s="425"/>
      <c r="AV178" s="425"/>
      <c r="AW178" s="425"/>
      <c r="AX178" s="425"/>
      <c r="AY178" s="427"/>
      <c r="AZ178" s="425"/>
      <c r="BA178" s="427"/>
      <c r="BB178" s="425"/>
      <c r="BC178" s="427"/>
      <c r="BD178" s="425"/>
      <c r="BE178" s="427"/>
      <c r="BF178" s="427"/>
      <c r="BG178" s="427"/>
      <c r="BH178" s="427"/>
      <c r="BI178" s="425"/>
      <c r="BJ178" s="425"/>
      <c r="BK178" s="425"/>
      <c r="BL178" s="426"/>
      <c r="BM178" s="425"/>
      <c r="BN178" s="426"/>
      <c r="BO178" s="426"/>
      <c r="BP178" s="426"/>
      <c r="BQ178" s="426"/>
      <c r="BR178" s="426"/>
      <c r="BS178" s="430"/>
      <c r="BT178" s="425"/>
      <c r="BU178" s="425"/>
      <c r="BV178" s="425"/>
      <c r="BW178" s="426"/>
      <c r="BX178" s="426"/>
      <c r="BY178" s="426"/>
      <c r="BZ178" s="426"/>
      <c r="CA178" s="427"/>
      <c r="CB178" s="427"/>
      <c r="CC178" s="426"/>
      <c r="CD178" s="425"/>
      <c r="CE178" s="425"/>
      <c r="CF178" s="427"/>
      <c r="CG178" s="427"/>
      <c r="CH178" s="427"/>
      <c r="CI178" s="427"/>
      <c r="CJ178" s="425"/>
      <c r="CK178" s="425"/>
      <c r="CL178" s="425"/>
      <c r="CM178" s="425"/>
      <c r="CN178" s="425"/>
      <c r="CO178" s="425"/>
      <c r="CP178" s="427"/>
      <c r="CQ178" s="425"/>
      <c r="CR178" s="427"/>
      <c r="CS178" s="425"/>
      <c r="CT178" s="427"/>
      <c r="CU178" s="425"/>
      <c r="CV178" s="425"/>
      <c r="CW178" s="427"/>
      <c r="CX178" s="425"/>
      <c r="CY178" s="427"/>
      <c r="CZ178" s="425"/>
      <c r="DA178" s="427"/>
      <c r="DB178" s="425"/>
      <c r="DC178" s="425"/>
      <c r="DD178" s="425"/>
      <c r="DE178" s="425"/>
      <c r="DF178" s="425"/>
    </row>
    <row r="179">
      <c r="A179" s="425"/>
      <c r="B179" s="425"/>
      <c r="C179" s="425"/>
      <c r="D179" s="425"/>
      <c r="E179" s="425"/>
      <c r="F179" s="425"/>
      <c r="G179" s="426"/>
      <c r="H179" s="426"/>
      <c r="I179" s="427"/>
      <c r="J179" s="427"/>
      <c r="K179" s="427"/>
      <c r="L179" s="427"/>
      <c r="M179" s="427"/>
      <c r="N179" s="427"/>
      <c r="O179" s="427"/>
      <c r="P179" s="427"/>
      <c r="Q179" s="426"/>
      <c r="R179" s="427"/>
      <c r="S179" s="426"/>
      <c r="T179" s="425"/>
      <c r="U179" s="425"/>
      <c r="V179" s="425"/>
      <c r="W179" s="425"/>
      <c r="X179" s="425"/>
      <c r="Y179" s="425"/>
      <c r="Z179" s="427"/>
      <c r="AA179" s="426"/>
      <c r="AB179" s="427"/>
      <c r="AC179" s="426"/>
      <c r="AD179" s="427"/>
      <c r="AE179" s="426"/>
      <c r="AF179" s="427"/>
      <c r="AG179" s="426"/>
      <c r="AH179" s="428"/>
      <c r="AI179" s="426"/>
      <c r="AJ179" s="428"/>
      <c r="AK179" s="426"/>
      <c r="AL179" s="425"/>
      <c r="AM179" s="425"/>
      <c r="AN179" s="427"/>
      <c r="AO179" s="426"/>
      <c r="AP179" s="425"/>
      <c r="AQ179" s="429"/>
      <c r="AR179" s="427"/>
      <c r="AS179" s="425"/>
      <c r="AT179" s="425"/>
      <c r="AU179" s="425"/>
      <c r="AV179" s="425"/>
      <c r="AW179" s="425"/>
      <c r="AX179" s="425"/>
      <c r="AY179" s="427"/>
      <c r="AZ179" s="425"/>
      <c r="BA179" s="427"/>
      <c r="BB179" s="425"/>
      <c r="BC179" s="427"/>
      <c r="BD179" s="425"/>
      <c r="BE179" s="427"/>
      <c r="BF179" s="427"/>
      <c r="BG179" s="427"/>
      <c r="BH179" s="427"/>
      <c r="BI179" s="425"/>
      <c r="BJ179" s="425"/>
      <c r="BK179" s="425"/>
      <c r="BL179" s="426"/>
      <c r="BM179" s="425"/>
      <c r="BN179" s="426"/>
      <c r="BO179" s="426"/>
      <c r="BP179" s="426"/>
      <c r="BQ179" s="426"/>
      <c r="BR179" s="426"/>
      <c r="BS179" s="430"/>
      <c r="BT179" s="425"/>
      <c r="BU179" s="425"/>
      <c r="BV179" s="425"/>
      <c r="BW179" s="426"/>
      <c r="BX179" s="426"/>
      <c r="BY179" s="426"/>
      <c r="BZ179" s="426"/>
      <c r="CA179" s="427"/>
      <c r="CB179" s="427"/>
      <c r="CC179" s="426"/>
      <c r="CD179" s="425"/>
      <c r="CE179" s="425"/>
      <c r="CF179" s="427"/>
      <c r="CG179" s="427"/>
      <c r="CH179" s="427"/>
      <c r="CI179" s="427"/>
      <c r="CJ179" s="425"/>
      <c r="CK179" s="425"/>
      <c r="CL179" s="425"/>
      <c r="CM179" s="425"/>
      <c r="CN179" s="425"/>
      <c r="CO179" s="425"/>
      <c r="CP179" s="427"/>
      <c r="CQ179" s="425"/>
      <c r="CR179" s="427"/>
      <c r="CS179" s="425"/>
      <c r="CT179" s="427"/>
      <c r="CU179" s="425"/>
      <c r="CV179" s="425"/>
      <c r="CW179" s="427"/>
      <c r="CX179" s="425"/>
      <c r="CY179" s="427"/>
      <c r="CZ179" s="425"/>
      <c r="DA179" s="427"/>
      <c r="DB179" s="425"/>
      <c r="DC179" s="425"/>
      <c r="DD179" s="425"/>
      <c r="DE179" s="425"/>
      <c r="DF179" s="425"/>
    </row>
    <row r="180">
      <c r="A180" s="425"/>
      <c r="B180" s="425"/>
      <c r="C180" s="425"/>
      <c r="D180" s="425"/>
      <c r="E180" s="425"/>
      <c r="F180" s="425"/>
      <c r="G180" s="426"/>
      <c r="H180" s="426"/>
      <c r="I180" s="427"/>
      <c r="J180" s="427"/>
      <c r="K180" s="427"/>
      <c r="L180" s="427"/>
      <c r="M180" s="427"/>
      <c r="N180" s="427"/>
      <c r="O180" s="427"/>
      <c r="P180" s="427"/>
      <c r="Q180" s="426"/>
      <c r="R180" s="427"/>
      <c r="S180" s="426"/>
      <c r="T180" s="425"/>
      <c r="U180" s="425"/>
      <c r="V180" s="425"/>
      <c r="W180" s="425"/>
      <c r="X180" s="425"/>
      <c r="Y180" s="425"/>
      <c r="Z180" s="427"/>
      <c r="AA180" s="426"/>
      <c r="AB180" s="427"/>
      <c r="AC180" s="426"/>
      <c r="AD180" s="427"/>
      <c r="AE180" s="426"/>
      <c r="AF180" s="427"/>
      <c r="AG180" s="426"/>
      <c r="AH180" s="428"/>
      <c r="AI180" s="426"/>
      <c r="AJ180" s="428"/>
      <c r="AK180" s="426"/>
      <c r="AL180" s="425"/>
      <c r="AM180" s="425"/>
      <c r="AN180" s="427"/>
      <c r="AO180" s="426"/>
      <c r="AP180" s="425"/>
      <c r="AQ180" s="429"/>
      <c r="AR180" s="427"/>
      <c r="AS180" s="425"/>
      <c r="AT180" s="425"/>
      <c r="AU180" s="425"/>
      <c r="AV180" s="425"/>
      <c r="AW180" s="425"/>
      <c r="AX180" s="425"/>
      <c r="AY180" s="427"/>
      <c r="AZ180" s="425"/>
      <c r="BA180" s="427"/>
      <c r="BB180" s="425"/>
      <c r="BC180" s="427"/>
      <c r="BD180" s="425"/>
      <c r="BE180" s="427"/>
      <c r="BF180" s="427"/>
      <c r="BG180" s="427"/>
      <c r="BH180" s="427"/>
      <c r="BI180" s="425"/>
      <c r="BJ180" s="425"/>
      <c r="BK180" s="425"/>
      <c r="BL180" s="426"/>
      <c r="BM180" s="425"/>
      <c r="BN180" s="426"/>
      <c r="BO180" s="426"/>
      <c r="BP180" s="426"/>
      <c r="BQ180" s="426"/>
      <c r="BR180" s="426"/>
      <c r="BS180" s="430"/>
      <c r="BT180" s="425"/>
      <c r="BU180" s="425"/>
      <c r="BV180" s="425"/>
      <c r="BW180" s="426"/>
      <c r="BX180" s="426"/>
      <c r="BY180" s="426"/>
      <c r="BZ180" s="426"/>
      <c r="CA180" s="427"/>
      <c r="CB180" s="427"/>
      <c r="CC180" s="426"/>
      <c r="CD180" s="425"/>
      <c r="CE180" s="425"/>
      <c r="CF180" s="427"/>
      <c r="CG180" s="427"/>
      <c r="CH180" s="427"/>
      <c r="CI180" s="427"/>
      <c r="CJ180" s="425"/>
      <c r="CK180" s="425"/>
      <c r="CL180" s="425"/>
      <c r="CM180" s="425"/>
      <c r="CN180" s="425"/>
      <c r="CO180" s="425"/>
      <c r="CP180" s="427"/>
      <c r="CQ180" s="425"/>
      <c r="CR180" s="427"/>
      <c r="CS180" s="425"/>
      <c r="CT180" s="427"/>
      <c r="CU180" s="425"/>
      <c r="CV180" s="425"/>
      <c r="CW180" s="427"/>
      <c r="CX180" s="425"/>
      <c r="CY180" s="427"/>
      <c r="CZ180" s="425"/>
      <c r="DA180" s="427"/>
      <c r="DB180" s="425"/>
      <c r="DC180" s="425"/>
      <c r="DD180" s="425"/>
      <c r="DE180" s="425"/>
      <c r="DF180" s="425"/>
    </row>
    <row r="181">
      <c r="A181" s="425"/>
      <c r="B181" s="425"/>
      <c r="C181" s="425"/>
      <c r="D181" s="425"/>
      <c r="E181" s="425"/>
      <c r="F181" s="425"/>
      <c r="G181" s="426"/>
      <c r="H181" s="426"/>
      <c r="I181" s="427"/>
      <c r="J181" s="427"/>
      <c r="K181" s="427"/>
      <c r="L181" s="427"/>
      <c r="M181" s="427"/>
      <c r="N181" s="427"/>
      <c r="O181" s="427"/>
      <c r="P181" s="427"/>
      <c r="Q181" s="426"/>
      <c r="R181" s="427"/>
      <c r="S181" s="426"/>
      <c r="T181" s="425"/>
      <c r="U181" s="425"/>
      <c r="V181" s="425"/>
      <c r="W181" s="425"/>
      <c r="X181" s="425"/>
      <c r="Y181" s="425"/>
      <c r="Z181" s="427"/>
      <c r="AA181" s="426"/>
      <c r="AB181" s="427"/>
      <c r="AC181" s="426"/>
      <c r="AD181" s="427"/>
      <c r="AE181" s="426"/>
      <c r="AF181" s="427"/>
      <c r="AG181" s="426"/>
      <c r="AH181" s="428"/>
      <c r="AI181" s="426"/>
      <c r="AJ181" s="428"/>
      <c r="AK181" s="426"/>
      <c r="AL181" s="425"/>
      <c r="AM181" s="425"/>
      <c r="AN181" s="427"/>
      <c r="AO181" s="426"/>
      <c r="AP181" s="425"/>
      <c r="AQ181" s="429"/>
      <c r="AR181" s="427"/>
      <c r="AS181" s="425"/>
      <c r="AT181" s="425"/>
      <c r="AU181" s="425"/>
      <c r="AV181" s="425"/>
      <c r="AW181" s="425"/>
      <c r="AX181" s="425"/>
      <c r="AY181" s="427"/>
      <c r="AZ181" s="425"/>
      <c r="BA181" s="427"/>
      <c r="BB181" s="425"/>
      <c r="BC181" s="427"/>
      <c r="BD181" s="425"/>
      <c r="BE181" s="427"/>
      <c r="BF181" s="427"/>
      <c r="BG181" s="427"/>
      <c r="BH181" s="427"/>
      <c r="BI181" s="425"/>
      <c r="BJ181" s="425"/>
      <c r="BK181" s="425"/>
      <c r="BL181" s="426"/>
      <c r="BM181" s="425"/>
      <c r="BN181" s="426"/>
      <c r="BO181" s="426"/>
      <c r="BP181" s="426"/>
      <c r="BQ181" s="426"/>
      <c r="BR181" s="426"/>
      <c r="BS181" s="430"/>
      <c r="BT181" s="425"/>
      <c r="BU181" s="425"/>
      <c r="BV181" s="425"/>
      <c r="BW181" s="426"/>
      <c r="BX181" s="426"/>
      <c r="BY181" s="426"/>
      <c r="BZ181" s="426"/>
      <c r="CA181" s="427"/>
      <c r="CB181" s="427"/>
      <c r="CC181" s="426"/>
      <c r="CD181" s="425"/>
      <c r="CE181" s="425"/>
      <c r="CF181" s="427"/>
      <c r="CG181" s="427"/>
      <c r="CH181" s="427"/>
      <c r="CI181" s="427"/>
      <c r="CJ181" s="425"/>
      <c r="CK181" s="425"/>
      <c r="CL181" s="425"/>
      <c r="CM181" s="425"/>
      <c r="CN181" s="425"/>
      <c r="CO181" s="425"/>
      <c r="CP181" s="427"/>
      <c r="CQ181" s="425"/>
      <c r="CR181" s="427"/>
      <c r="CS181" s="425"/>
      <c r="CT181" s="427"/>
      <c r="CU181" s="425"/>
      <c r="CV181" s="425"/>
      <c r="CW181" s="427"/>
      <c r="CX181" s="425"/>
      <c r="CY181" s="427"/>
      <c r="CZ181" s="425"/>
      <c r="DA181" s="427"/>
      <c r="DB181" s="425"/>
      <c r="DC181" s="425"/>
      <c r="DD181" s="425"/>
      <c r="DE181" s="425"/>
      <c r="DF181" s="425"/>
    </row>
    <row r="182">
      <c r="A182" s="425"/>
      <c r="B182" s="425"/>
      <c r="C182" s="425"/>
      <c r="D182" s="425"/>
      <c r="E182" s="425"/>
      <c r="F182" s="425"/>
      <c r="G182" s="426"/>
      <c r="H182" s="426"/>
      <c r="I182" s="427"/>
      <c r="J182" s="427"/>
      <c r="K182" s="427"/>
      <c r="L182" s="427"/>
      <c r="M182" s="427"/>
      <c r="N182" s="427"/>
      <c r="O182" s="427"/>
      <c r="P182" s="427"/>
      <c r="Q182" s="426"/>
      <c r="R182" s="427"/>
      <c r="S182" s="426"/>
      <c r="T182" s="425"/>
      <c r="U182" s="425"/>
      <c r="V182" s="425"/>
      <c r="W182" s="425"/>
      <c r="X182" s="425"/>
      <c r="Y182" s="425"/>
      <c r="Z182" s="427"/>
      <c r="AA182" s="426"/>
      <c r="AB182" s="427"/>
      <c r="AC182" s="426"/>
      <c r="AD182" s="427"/>
      <c r="AE182" s="426"/>
      <c r="AF182" s="427"/>
      <c r="AG182" s="426"/>
      <c r="AH182" s="428"/>
      <c r="AI182" s="426"/>
      <c r="AJ182" s="428"/>
      <c r="AK182" s="426"/>
      <c r="AL182" s="425"/>
      <c r="AM182" s="425"/>
      <c r="AN182" s="427"/>
      <c r="AO182" s="426"/>
      <c r="AP182" s="425"/>
      <c r="AQ182" s="429"/>
      <c r="AR182" s="427"/>
      <c r="AS182" s="425"/>
      <c r="AT182" s="425"/>
      <c r="AU182" s="425"/>
      <c r="AV182" s="425"/>
      <c r="AW182" s="425"/>
      <c r="AX182" s="425"/>
      <c r="AY182" s="427"/>
      <c r="AZ182" s="425"/>
      <c r="BA182" s="427"/>
      <c r="BB182" s="425"/>
      <c r="BC182" s="427"/>
      <c r="BD182" s="425"/>
      <c r="BE182" s="427"/>
      <c r="BF182" s="427"/>
      <c r="BG182" s="427"/>
      <c r="BH182" s="427"/>
      <c r="BI182" s="425"/>
      <c r="BJ182" s="425"/>
      <c r="BK182" s="425"/>
      <c r="BL182" s="426"/>
      <c r="BM182" s="425"/>
      <c r="BN182" s="426"/>
      <c r="BO182" s="426"/>
      <c r="BP182" s="426"/>
      <c r="BQ182" s="426"/>
      <c r="BR182" s="426"/>
      <c r="BS182" s="430"/>
      <c r="BT182" s="425"/>
      <c r="BU182" s="425"/>
      <c r="BV182" s="425"/>
      <c r="BW182" s="426"/>
      <c r="BX182" s="426"/>
      <c r="BY182" s="426"/>
      <c r="BZ182" s="426"/>
      <c r="CA182" s="427"/>
      <c r="CB182" s="427"/>
      <c r="CC182" s="426"/>
      <c r="CD182" s="425"/>
      <c r="CE182" s="425"/>
      <c r="CF182" s="427"/>
      <c r="CG182" s="427"/>
      <c r="CH182" s="427"/>
      <c r="CI182" s="427"/>
      <c r="CJ182" s="425"/>
      <c r="CK182" s="425"/>
      <c r="CL182" s="425"/>
      <c r="CM182" s="425"/>
      <c r="CN182" s="425"/>
      <c r="CO182" s="425"/>
      <c r="CP182" s="427"/>
      <c r="CQ182" s="425"/>
      <c r="CR182" s="427"/>
      <c r="CS182" s="425"/>
      <c r="CT182" s="427"/>
      <c r="CU182" s="425"/>
      <c r="CV182" s="425"/>
      <c r="CW182" s="427"/>
      <c r="CX182" s="425"/>
      <c r="CY182" s="427"/>
      <c r="CZ182" s="425"/>
      <c r="DA182" s="427"/>
      <c r="DB182" s="425"/>
      <c r="DC182" s="425"/>
      <c r="DD182" s="425"/>
      <c r="DE182" s="425"/>
      <c r="DF182" s="425"/>
    </row>
    <row r="183">
      <c r="A183" s="425"/>
      <c r="B183" s="425"/>
      <c r="C183" s="425"/>
      <c r="D183" s="425"/>
      <c r="E183" s="425"/>
      <c r="F183" s="425"/>
      <c r="G183" s="426"/>
      <c r="H183" s="426"/>
      <c r="I183" s="427"/>
      <c r="J183" s="427"/>
      <c r="K183" s="427"/>
      <c r="L183" s="427"/>
      <c r="M183" s="427"/>
      <c r="N183" s="427"/>
      <c r="O183" s="427"/>
      <c r="P183" s="427"/>
      <c r="Q183" s="426"/>
      <c r="R183" s="427"/>
      <c r="S183" s="426"/>
      <c r="T183" s="425"/>
      <c r="U183" s="425"/>
      <c r="V183" s="425"/>
      <c r="W183" s="425"/>
      <c r="X183" s="425"/>
      <c r="Y183" s="425"/>
      <c r="Z183" s="427"/>
      <c r="AA183" s="426"/>
      <c r="AB183" s="427"/>
      <c r="AC183" s="426"/>
      <c r="AD183" s="427"/>
      <c r="AE183" s="426"/>
      <c r="AF183" s="427"/>
      <c r="AG183" s="426"/>
      <c r="AH183" s="428"/>
      <c r="AI183" s="426"/>
      <c r="AJ183" s="428"/>
      <c r="AK183" s="426"/>
      <c r="AL183" s="425"/>
      <c r="AM183" s="425"/>
      <c r="AN183" s="427"/>
      <c r="AO183" s="426"/>
      <c r="AP183" s="425"/>
      <c r="AQ183" s="429"/>
      <c r="AR183" s="427"/>
      <c r="AS183" s="425"/>
      <c r="AT183" s="425"/>
      <c r="AU183" s="425"/>
      <c r="AV183" s="425"/>
      <c r="AW183" s="425"/>
      <c r="AX183" s="425"/>
      <c r="AY183" s="427"/>
      <c r="AZ183" s="425"/>
      <c r="BA183" s="427"/>
      <c r="BB183" s="425"/>
      <c r="BC183" s="427"/>
      <c r="BD183" s="425"/>
      <c r="BE183" s="427"/>
      <c r="BF183" s="427"/>
      <c r="BG183" s="427"/>
      <c r="BH183" s="427"/>
      <c r="BI183" s="425"/>
      <c r="BJ183" s="425"/>
      <c r="BK183" s="425"/>
      <c r="BL183" s="426"/>
      <c r="BM183" s="425"/>
      <c r="BN183" s="426"/>
      <c r="BO183" s="426"/>
      <c r="BP183" s="426"/>
      <c r="BQ183" s="426"/>
      <c r="BR183" s="426"/>
      <c r="BS183" s="430"/>
      <c r="BT183" s="425"/>
      <c r="BU183" s="425"/>
      <c r="BV183" s="425"/>
      <c r="BW183" s="426"/>
      <c r="BX183" s="426"/>
      <c r="BY183" s="426"/>
      <c r="BZ183" s="426"/>
      <c r="CA183" s="427"/>
      <c r="CB183" s="427"/>
      <c r="CC183" s="426"/>
      <c r="CD183" s="425"/>
      <c r="CE183" s="425"/>
      <c r="CF183" s="427"/>
      <c r="CG183" s="427"/>
      <c r="CH183" s="427"/>
      <c r="CI183" s="427"/>
      <c r="CJ183" s="425"/>
      <c r="CK183" s="425"/>
      <c r="CL183" s="425"/>
      <c r="CM183" s="425"/>
      <c r="CN183" s="425"/>
      <c r="CO183" s="425"/>
      <c r="CP183" s="427"/>
      <c r="CQ183" s="425"/>
      <c r="CR183" s="427"/>
      <c r="CS183" s="425"/>
      <c r="CT183" s="427"/>
      <c r="CU183" s="425"/>
      <c r="CV183" s="425"/>
      <c r="CW183" s="427"/>
      <c r="CX183" s="425"/>
      <c r="CY183" s="427"/>
      <c r="CZ183" s="425"/>
      <c r="DA183" s="427"/>
      <c r="DB183" s="425"/>
      <c r="DC183" s="425"/>
      <c r="DD183" s="425"/>
      <c r="DE183" s="425"/>
      <c r="DF183" s="425"/>
    </row>
    <row r="184">
      <c r="A184" s="425"/>
      <c r="B184" s="425"/>
      <c r="C184" s="425"/>
      <c r="D184" s="425"/>
      <c r="E184" s="425"/>
      <c r="F184" s="425"/>
      <c r="G184" s="426"/>
      <c r="H184" s="426"/>
      <c r="I184" s="427"/>
      <c r="J184" s="427"/>
      <c r="K184" s="427"/>
      <c r="L184" s="427"/>
      <c r="M184" s="427"/>
      <c r="N184" s="427"/>
      <c r="O184" s="427"/>
      <c r="P184" s="427"/>
      <c r="Q184" s="426"/>
      <c r="R184" s="427"/>
      <c r="S184" s="426"/>
      <c r="T184" s="425"/>
      <c r="U184" s="425"/>
      <c r="V184" s="425"/>
      <c r="W184" s="425"/>
      <c r="X184" s="425"/>
      <c r="Y184" s="425"/>
      <c r="Z184" s="427"/>
      <c r="AA184" s="426"/>
      <c r="AB184" s="427"/>
      <c r="AC184" s="426"/>
      <c r="AD184" s="427"/>
      <c r="AE184" s="426"/>
      <c r="AF184" s="427"/>
      <c r="AG184" s="426"/>
      <c r="AH184" s="428"/>
      <c r="AI184" s="426"/>
      <c r="AJ184" s="428"/>
      <c r="AK184" s="426"/>
      <c r="AL184" s="425"/>
      <c r="AM184" s="425"/>
      <c r="AN184" s="427"/>
      <c r="AO184" s="426"/>
      <c r="AP184" s="425"/>
      <c r="AQ184" s="429"/>
      <c r="AR184" s="427"/>
      <c r="AS184" s="425"/>
      <c r="AT184" s="425"/>
      <c r="AU184" s="425"/>
      <c r="AV184" s="425"/>
      <c r="AW184" s="425"/>
      <c r="AX184" s="425"/>
      <c r="AY184" s="427"/>
      <c r="AZ184" s="425"/>
      <c r="BA184" s="427"/>
      <c r="BB184" s="425"/>
      <c r="BC184" s="427"/>
      <c r="BD184" s="425"/>
      <c r="BE184" s="427"/>
      <c r="BF184" s="427"/>
      <c r="BG184" s="427"/>
      <c r="BH184" s="427"/>
      <c r="BI184" s="425"/>
      <c r="BJ184" s="425"/>
      <c r="BK184" s="425"/>
      <c r="BL184" s="426"/>
      <c r="BM184" s="425"/>
      <c r="BN184" s="426"/>
      <c r="BO184" s="426"/>
      <c r="BP184" s="426"/>
      <c r="BQ184" s="426"/>
      <c r="BR184" s="426"/>
      <c r="BS184" s="430"/>
      <c r="BT184" s="425"/>
      <c r="BU184" s="425"/>
      <c r="BV184" s="425"/>
      <c r="BW184" s="426"/>
      <c r="BX184" s="426"/>
      <c r="BY184" s="426"/>
      <c r="BZ184" s="426"/>
      <c r="CA184" s="427"/>
      <c r="CB184" s="427"/>
      <c r="CC184" s="426"/>
      <c r="CD184" s="425"/>
      <c r="CE184" s="425"/>
      <c r="CF184" s="427"/>
      <c r="CG184" s="427"/>
      <c r="CH184" s="427"/>
      <c r="CI184" s="427"/>
      <c r="CJ184" s="425"/>
      <c r="CK184" s="425"/>
      <c r="CL184" s="425"/>
      <c r="CM184" s="425"/>
      <c r="CN184" s="425"/>
      <c r="CO184" s="425"/>
      <c r="CP184" s="427"/>
      <c r="CQ184" s="425"/>
      <c r="CR184" s="427"/>
      <c r="CS184" s="425"/>
      <c r="CT184" s="427"/>
      <c r="CU184" s="425"/>
      <c r="CV184" s="425"/>
      <c r="CW184" s="427"/>
      <c r="CX184" s="425"/>
      <c r="CY184" s="427"/>
      <c r="CZ184" s="425"/>
      <c r="DA184" s="427"/>
      <c r="DB184" s="425"/>
      <c r="DC184" s="425"/>
      <c r="DD184" s="425"/>
      <c r="DE184" s="425"/>
      <c r="DF184" s="425"/>
    </row>
    <row r="185">
      <c r="A185" s="425"/>
      <c r="B185" s="425"/>
      <c r="C185" s="425"/>
      <c r="D185" s="425"/>
      <c r="E185" s="425"/>
      <c r="F185" s="425"/>
      <c r="G185" s="426"/>
      <c r="H185" s="426"/>
      <c r="I185" s="427"/>
      <c r="J185" s="427"/>
      <c r="K185" s="427"/>
      <c r="L185" s="427"/>
      <c r="M185" s="427"/>
      <c r="N185" s="427"/>
      <c r="O185" s="427"/>
      <c r="P185" s="427"/>
      <c r="Q185" s="426"/>
      <c r="R185" s="427"/>
      <c r="S185" s="426"/>
      <c r="T185" s="425"/>
      <c r="U185" s="425"/>
      <c r="V185" s="425"/>
      <c r="W185" s="425"/>
      <c r="X185" s="425"/>
      <c r="Y185" s="425"/>
      <c r="Z185" s="427"/>
      <c r="AA185" s="426"/>
      <c r="AB185" s="427"/>
      <c r="AC185" s="426"/>
      <c r="AD185" s="427"/>
      <c r="AE185" s="426"/>
      <c r="AF185" s="427"/>
      <c r="AG185" s="426"/>
      <c r="AH185" s="428"/>
      <c r="AI185" s="426"/>
      <c r="AJ185" s="428"/>
      <c r="AK185" s="426"/>
      <c r="AL185" s="425"/>
      <c r="AM185" s="425"/>
      <c r="AN185" s="427"/>
      <c r="AO185" s="426"/>
      <c r="AP185" s="425"/>
      <c r="AQ185" s="429"/>
      <c r="AR185" s="427"/>
      <c r="AS185" s="425"/>
      <c r="AT185" s="425"/>
      <c r="AU185" s="425"/>
      <c r="AV185" s="425"/>
      <c r="AW185" s="425"/>
      <c r="AX185" s="425"/>
      <c r="AY185" s="427"/>
      <c r="AZ185" s="425"/>
      <c r="BA185" s="427"/>
      <c r="BB185" s="425"/>
      <c r="BC185" s="427"/>
      <c r="BD185" s="425"/>
      <c r="BE185" s="427"/>
      <c r="BF185" s="427"/>
      <c r="BG185" s="427"/>
      <c r="BH185" s="427"/>
      <c r="BI185" s="425"/>
      <c r="BJ185" s="425"/>
      <c r="BK185" s="425"/>
      <c r="BL185" s="426"/>
      <c r="BM185" s="425"/>
      <c r="BN185" s="426"/>
      <c r="BO185" s="426"/>
      <c r="BP185" s="426"/>
      <c r="BQ185" s="426"/>
      <c r="BR185" s="426"/>
      <c r="BS185" s="430"/>
      <c r="BT185" s="425"/>
      <c r="BU185" s="425"/>
      <c r="BV185" s="425"/>
      <c r="BW185" s="426"/>
      <c r="BX185" s="426"/>
      <c r="BY185" s="426"/>
      <c r="BZ185" s="426"/>
      <c r="CA185" s="427"/>
      <c r="CB185" s="427"/>
      <c r="CC185" s="426"/>
      <c r="CD185" s="425"/>
      <c r="CE185" s="425"/>
      <c r="CF185" s="427"/>
      <c r="CG185" s="427"/>
      <c r="CH185" s="427"/>
      <c r="CI185" s="427"/>
      <c r="CJ185" s="425"/>
      <c r="CK185" s="425"/>
      <c r="CL185" s="425"/>
      <c r="CM185" s="425"/>
      <c r="CN185" s="425"/>
      <c r="CO185" s="425"/>
      <c r="CP185" s="427"/>
      <c r="CQ185" s="425"/>
      <c r="CR185" s="427"/>
      <c r="CS185" s="425"/>
      <c r="CT185" s="427"/>
      <c r="CU185" s="425"/>
      <c r="CV185" s="425"/>
      <c r="CW185" s="427"/>
      <c r="CX185" s="425"/>
      <c r="CY185" s="427"/>
      <c r="CZ185" s="425"/>
      <c r="DA185" s="427"/>
      <c r="DB185" s="425"/>
      <c r="DC185" s="425"/>
      <c r="DD185" s="425"/>
      <c r="DE185" s="425"/>
      <c r="DF185" s="425"/>
    </row>
    <row r="186">
      <c r="A186" s="425"/>
      <c r="B186" s="425"/>
      <c r="C186" s="425"/>
      <c r="D186" s="425"/>
      <c r="E186" s="425"/>
      <c r="F186" s="425"/>
      <c r="G186" s="426"/>
      <c r="H186" s="426"/>
      <c r="I186" s="427"/>
      <c r="J186" s="427"/>
      <c r="K186" s="427"/>
      <c r="L186" s="427"/>
      <c r="M186" s="427"/>
      <c r="N186" s="427"/>
      <c r="O186" s="427"/>
      <c r="P186" s="427"/>
      <c r="Q186" s="426"/>
      <c r="R186" s="427"/>
      <c r="S186" s="426"/>
      <c r="T186" s="425"/>
      <c r="U186" s="425"/>
      <c r="V186" s="425"/>
      <c r="W186" s="425"/>
      <c r="X186" s="425"/>
      <c r="Y186" s="425"/>
      <c r="Z186" s="427"/>
      <c r="AA186" s="426"/>
      <c r="AB186" s="427"/>
      <c r="AC186" s="426"/>
      <c r="AD186" s="427"/>
      <c r="AE186" s="426"/>
      <c r="AF186" s="427"/>
      <c r="AG186" s="426"/>
      <c r="AH186" s="428"/>
      <c r="AI186" s="426"/>
      <c r="AJ186" s="428"/>
      <c r="AK186" s="426"/>
      <c r="AL186" s="425"/>
      <c r="AM186" s="425"/>
      <c r="AN186" s="427"/>
      <c r="AO186" s="426"/>
      <c r="AP186" s="425"/>
      <c r="AQ186" s="429"/>
      <c r="AR186" s="427"/>
      <c r="AS186" s="425"/>
      <c r="AT186" s="425"/>
      <c r="AU186" s="425"/>
      <c r="AV186" s="425"/>
      <c r="AW186" s="425"/>
      <c r="AX186" s="425"/>
      <c r="AY186" s="427"/>
      <c r="AZ186" s="425"/>
      <c r="BA186" s="427"/>
      <c r="BB186" s="425"/>
      <c r="BC186" s="427"/>
      <c r="BD186" s="425"/>
      <c r="BE186" s="427"/>
      <c r="BF186" s="427"/>
      <c r="BG186" s="427"/>
      <c r="BH186" s="427"/>
      <c r="BI186" s="425"/>
      <c r="BJ186" s="425"/>
      <c r="BK186" s="425"/>
      <c r="BL186" s="426"/>
      <c r="BM186" s="425"/>
      <c r="BN186" s="426"/>
      <c r="BO186" s="426"/>
      <c r="BP186" s="426"/>
      <c r="BQ186" s="426"/>
      <c r="BR186" s="426"/>
      <c r="BS186" s="430"/>
      <c r="BT186" s="425"/>
      <c r="BU186" s="425"/>
      <c r="BV186" s="425"/>
      <c r="BW186" s="426"/>
      <c r="BX186" s="426"/>
      <c r="BY186" s="426"/>
      <c r="BZ186" s="426"/>
      <c r="CA186" s="427"/>
      <c r="CB186" s="427"/>
      <c r="CC186" s="426"/>
      <c r="CD186" s="425"/>
      <c r="CE186" s="425"/>
      <c r="CF186" s="427"/>
      <c r="CG186" s="427"/>
      <c r="CH186" s="427"/>
      <c r="CI186" s="427"/>
      <c r="CJ186" s="425"/>
      <c r="CK186" s="425"/>
      <c r="CL186" s="425"/>
      <c r="CM186" s="425"/>
      <c r="CN186" s="425"/>
      <c r="CO186" s="425"/>
      <c r="CP186" s="427"/>
      <c r="CQ186" s="425"/>
      <c r="CR186" s="427"/>
      <c r="CS186" s="425"/>
      <c r="CT186" s="427"/>
      <c r="CU186" s="425"/>
      <c r="CV186" s="425"/>
      <c r="CW186" s="427"/>
      <c r="CX186" s="425"/>
      <c r="CY186" s="427"/>
      <c r="CZ186" s="425"/>
      <c r="DA186" s="427"/>
      <c r="DB186" s="425"/>
      <c r="DC186" s="425"/>
      <c r="DD186" s="425"/>
      <c r="DE186" s="425"/>
      <c r="DF186" s="425"/>
    </row>
    <row r="187">
      <c r="A187" s="425"/>
      <c r="B187" s="425"/>
      <c r="C187" s="425"/>
      <c r="D187" s="425"/>
      <c r="E187" s="425"/>
      <c r="F187" s="425"/>
      <c r="G187" s="426"/>
      <c r="H187" s="426"/>
      <c r="I187" s="427"/>
      <c r="J187" s="427"/>
      <c r="K187" s="427"/>
      <c r="L187" s="427"/>
      <c r="M187" s="427"/>
      <c r="N187" s="427"/>
      <c r="O187" s="427"/>
      <c r="P187" s="427"/>
      <c r="Q187" s="426"/>
      <c r="R187" s="427"/>
      <c r="S187" s="426"/>
      <c r="T187" s="425"/>
      <c r="U187" s="425"/>
      <c r="V187" s="425"/>
      <c r="W187" s="425"/>
      <c r="X187" s="425"/>
      <c r="Y187" s="425"/>
      <c r="Z187" s="427"/>
      <c r="AA187" s="426"/>
      <c r="AB187" s="427"/>
      <c r="AC187" s="426"/>
      <c r="AD187" s="427"/>
      <c r="AE187" s="426"/>
      <c r="AF187" s="427"/>
      <c r="AG187" s="426"/>
      <c r="AH187" s="428"/>
      <c r="AI187" s="426"/>
      <c r="AJ187" s="428"/>
      <c r="AK187" s="426"/>
      <c r="AL187" s="425"/>
      <c r="AM187" s="425"/>
      <c r="AN187" s="427"/>
      <c r="AO187" s="426"/>
      <c r="AP187" s="425"/>
      <c r="AQ187" s="429"/>
      <c r="AR187" s="427"/>
      <c r="AS187" s="425"/>
      <c r="AT187" s="425"/>
      <c r="AU187" s="425"/>
      <c r="AV187" s="425"/>
      <c r="AW187" s="425"/>
      <c r="AX187" s="425"/>
      <c r="AY187" s="427"/>
      <c r="AZ187" s="425"/>
      <c r="BA187" s="427"/>
      <c r="BB187" s="425"/>
      <c r="BC187" s="427"/>
      <c r="BD187" s="425"/>
      <c r="BE187" s="427"/>
      <c r="BF187" s="427"/>
      <c r="BG187" s="427"/>
      <c r="BH187" s="427"/>
      <c r="BI187" s="425"/>
      <c r="BJ187" s="425"/>
      <c r="BK187" s="425"/>
      <c r="BL187" s="426"/>
      <c r="BM187" s="425"/>
      <c r="BN187" s="426"/>
      <c r="BO187" s="426"/>
      <c r="BP187" s="426"/>
      <c r="BQ187" s="426"/>
      <c r="BR187" s="426"/>
      <c r="BS187" s="430"/>
      <c r="BT187" s="425"/>
      <c r="BU187" s="425"/>
      <c r="BV187" s="425"/>
      <c r="BW187" s="426"/>
      <c r="BX187" s="426"/>
      <c r="BY187" s="426"/>
      <c r="BZ187" s="426"/>
      <c r="CA187" s="427"/>
      <c r="CB187" s="427"/>
      <c r="CC187" s="426"/>
      <c r="CD187" s="425"/>
      <c r="CE187" s="425"/>
      <c r="CF187" s="427"/>
      <c r="CG187" s="427"/>
      <c r="CH187" s="427"/>
      <c r="CI187" s="427"/>
      <c r="CJ187" s="425"/>
      <c r="CK187" s="425"/>
      <c r="CL187" s="425"/>
      <c r="CM187" s="425"/>
      <c r="CN187" s="425"/>
      <c r="CO187" s="425"/>
      <c r="CP187" s="427"/>
      <c r="CQ187" s="425"/>
      <c r="CR187" s="427"/>
      <c r="CS187" s="425"/>
      <c r="CT187" s="427"/>
      <c r="CU187" s="425"/>
      <c r="CV187" s="425"/>
      <c r="CW187" s="427"/>
      <c r="CX187" s="425"/>
      <c r="CY187" s="427"/>
      <c r="CZ187" s="425"/>
      <c r="DA187" s="427"/>
      <c r="DB187" s="425"/>
      <c r="DC187" s="425"/>
      <c r="DD187" s="425"/>
      <c r="DE187" s="425"/>
      <c r="DF187" s="425"/>
    </row>
    <row r="188">
      <c r="A188" s="425"/>
      <c r="B188" s="425"/>
      <c r="C188" s="425"/>
      <c r="D188" s="425"/>
      <c r="E188" s="425"/>
      <c r="F188" s="425"/>
      <c r="G188" s="426"/>
      <c r="H188" s="426"/>
      <c r="I188" s="427"/>
      <c r="J188" s="427"/>
      <c r="K188" s="427"/>
      <c r="L188" s="427"/>
      <c r="M188" s="427"/>
      <c r="N188" s="427"/>
      <c r="O188" s="427"/>
      <c r="P188" s="427"/>
      <c r="Q188" s="426"/>
      <c r="R188" s="427"/>
      <c r="S188" s="426"/>
      <c r="T188" s="425"/>
      <c r="U188" s="425"/>
      <c r="V188" s="425"/>
      <c r="W188" s="425"/>
      <c r="X188" s="425"/>
      <c r="Y188" s="425"/>
      <c r="Z188" s="427"/>
      <c r="AA188" s="426"/>
      <c r="AB188" s="427"/>
      <c r="AC188" s="426"/>
      <c r="AD188" s="427"/>
      <c r="AE188" s="426"/>
      <c r="AF188" s="427"/>
      <c r="AG188" s="426"/>
      <c r="AH188" s="428"/>
      <c r="AI188" s="426"/>
      <c r="AJ188" s="428"/>
      <c r="AK188" s="426"/>
      <c r="AL188" s="425"/>
      <c r="AM188" s="425"/>
      <c r="AN188" s="427"/>
      <c r="AO188" s="426"/>
      <c r="AP188" s="425"/>
      <c r="AQ188" s="429"/>
      <c r="AR188" s="427"/>
      <c r="AS188" s="425"/>
      <c r="AT188" s="425"/>
      <c r="AU188" s="425"/>
      <c r="AV188" s="425"/>
      <c r="AW188" s="425"/>
      <c r="AX188" s="425"/>
      <c r="AY188" s="427"/>
      <c r="AZ188" s="425"/>
      <c r="BA188" s="427"/>
      <c r="BB188" s="425"/>
      <c r="BC188" s="427"/>
      <c r="BD188" s="425"/>
      <c r="BE188" s="427"/>
      <c r="BF188" s="427"/>
      <c r="BG188" s="427"/>
      <c r="BH188" s="427"/>
      <c r="BI188" s="425"/>
      <c r="BJ188" s="425"/>
      <c r="BK188" s="425"/>
      <c r="BL188" s="426"/>
      <c r="BM188" s="425"/>
      <c r="BN188" s="426"/>
      <c r="BO188" s="426"/>
      <c r="BP188" s="426"/>
      <c r="BQ188" s="426"/>
      <c r="BR188" s="426"/>
      <c r="BS188" s="430"/>
      <c r="BT188" s="425"/>
      <c r="BU188" s="425"/>
      <c r="BV188" s="425"/>
      <c r="BW188" s="426"/>
      <c r="BX188" s="426"/>
      <c r="BY188" s="426"/>
      <c r="BZ188" s="426"/>
      <c r="CA188" s="427"/>
      <c r="CB188" s="427"/>
      <c r="CC188" s="426"/>
      <c r="CD188" s="425"/>
      <c r="CE188" s="425"/>
      <c r="CF188" s="427"/>
      <c r="CG188" s="427"/>
      <c r="CH188" s="427"/>
      <c r="CI188" s="427"/>
      <c r="CJ188" s="425"/>
      <c r="CK188" s="425"/>
      <c r="CL188" s="425"/>
      <c r="CM188" s="425"/>
      <c r="CN188" s="425"/>
      <c r="CO188" s="425"/>
      <c r="CP188" s="427"/>
      <c r="CQ188" s="425"/>
      <c r="CR188" s="427"/>
      <c r="CS188" s="425"/>
      <c r="CT188" s="427"/>
      <c r="CU188" s="425"/>
      <c r="CV188" s="425"/>
      <c r="CW188" s="427"/>
      <c r="CX188" s="425"/>
      <c r="CY188" s="427"/>
      <c r="CZ188" s="425"/>
      <c r="DA188" s="427"/>
      <c r="DB188" s="425"/>
      <c r="DC188" s="425"/>
      <c r="DD188" s="425"/>
      <c r="DE188" s="425"/>
      <c r="DF188" s="425"/>
    </row>
    <row r="189">
      <c r="A189" s="425"/>
      <c r="B189" s="425"/>
      <c r="C189" s="425"/>
      <c r="D189" s="425"/>
      <c r="E189" s="425"/>
      <c r="F189" s="425"/>
      <c r="G189" s="426"/>
      <c r="H189" s="426"/>
      <c r="I189" s="427"/>
      <c r="J189" s="427"/>
      <c r="K189" s="427"/>
      <c r="L189" s="427"/>
      <c r="M189" s="427"/>
      <c r="N189" s="427"/>
      <c r="O189" s="427"/>
      <c r="P189" s="427"/>
      <c r="Q189" s="426"/>
      <c r="R189" s="427"/>
      <c r="S189" s="426"/>
      <c r="T189" s="425"/>
      <c r="U189" s="425"/>
      <c r="V189" s="425"/>
      <c r="W189" s="425"/>
      <c r="X189" s="425"/>
      <c r="Y189" s="425"/>
      <c r="Z189" s="427"/>
      <c r="AA189" s="426"/>
      <c r="AB189" s="427"/>
      <c r="AC189" s="426"/>
      <c r="AD189" s="427"/>
      <c r="AE189" s="426"/>
      <c r="AF189" s="427"/>
      <c r="AG189" s="426"/>
      <c r="AH189" s="428"/>
      <c r="AI189" s="426"/>
      <c r="AJ189" s="428"/>
      <c r="AK189" s="426"/>
      <c r="AL189" s="425"/>
      <c r="AM189" s="425"/>
      <c r="AN189" s="427"/>
      <c r="AO189" s="426"/>
      <c r="AP189" s="425"/>
      <c r="AQ189" s="429"/>
      <c r="AR189" s="427"/>
      <c r="AS189" s="425"/>
      <c r="AT189" s="425"/>
      <c r="AU189" s="425"/>
      <c r="AV189" s="425"/>
      <c r="AW189" s="425"/>
      <c r="AX189" s="425"/>
      <c r="AY189" s="427"/>
      <c r="AZ189" s="425"/>
      <c r="BA189" s="427"/>
      <c r="BB189" s="425"/>
      <c r="BC189" s="427"/>
      <c r="BD189" s="425"/>
      <c r="BE189" s="427"/>
      <c r="BF189" s="427"/>
      <c r="BG189" s="427"/>
      <c r="BH189" s="427"/>
      <c r="BI189" s="425"/>
      <c r="BJ189" s="425"/>
      <c r="BK189" s="425"/>
      <c r="BL189" s="426"/>
      <c r="BM189" s="425"/>
      <c r="BN189" s="426"/>
      <c r="BO189" s="426"/>
      <c r="BP189" s="426"/>
      <c r="BQ189" s="426"/>
      <c r="BR189" s="426"/>
      <c r="BS189" s="430"/>
      <c r="BT189" s="425"/>
      <c r="BU189" s="425"/>
      <c r="BV189" s="425"/>
      <c r="BW189" s="426"/>
      <c r="BX189" s="426"/>
      <c r="BY189" s="426"/>
      <c r="BZ189" s="426"/>
      <c r="CA189" s="427"/>
      <c r="CB189" s="427"/>
      <c r="CC189" s="426"/>
      <c r="CD189" s="425"/>
      <c r="CE189" s="425"/>
      <c r="CF189" s="427"/>
      <c r="CG189" s="427"/>
      <c r="CH189" s="427"/>
      <c r="CI189" s="427"/>
      <c r="CJ189" s="425"/>
      <c r="CK189" s="425"/>
      <c r="CL189" s="425"/>
      <c r="CM189" s="425"/>
      <c r="CN189" s="425"/>
      <c r="CO189" s="425"/>
      <c r="CP189" s="427"/>
      <c r="CQ189" s="425"/>
      <c r="CR189" s="427"/>
      <c r="CS189" s="425"/>
      <c r="CT189" s="427"/>
      <c r="CU189" s="425"/>
      <c r="CV189" s="425"/>
      <c r="CW189" s="427"/>
      <c r="CX189" s="425"/>
      <c r="CY189" s="427"/>
      <c r="CZ189" s="425"/>
      <c r="DA189" s="427"/>
      <c r="DB189" s="425"/>
      <c r="DC189" s="425"/>
      <c r="DD189" s="425"/>
      <c r="DE189" s="425"/>
      <c r="DF189" s="425"/>
    </row>
    <row r="190">
      <c r="A190" s="425"/>
      <c r="B190" s="425"/>
      <c r="C190" s="425"/>
      <c r="D190" s="425"/>
      <c r="E190" s="425"/>
      <c r="F190" s="425"/>
      <c r="G190" s="426"/>
      <c r="H190" s="426"/>
      <c r="I190" s="427"/>
      <c r="J190" s="427"/>
      <c r="K190" s="427"/>
      <c r="L190" s="427"/>
      <c r="M190" s="427"/>
      <c r="N190" s="427"/>
      <c r="O190" s="427"/>
      <c r="P190" s="427"/>
      <c r="Q190" s="426"/>
      <c r="R190" s="427"/>
      <c r="S190" s="426"/>
      <c r="T190" s="425"/>
      <c r="U190" s="425"/>
      <c r="V190" s="425"/>
      <c r="W190" s="425"/>
      <c r="X190" s="425"/>
      <c r="Y190" s="425"/>
      <c r="Z190" s="427"/>
      <c r="AA190" s="426"/>
      <c r="AB190" s="427"/>
      <c r="AC190" s="426"/>
      <c r="AD190" s="427"/>
      <c r="AE190" s="426"/>
      <c r="AF190" s="427"/>
      <c r="AG190" s="426"/>
      <c r="AH190" s="428"/>
      <c r="AI190" s="426"/>
      <c r="AJ190" s="428"/>
      <c r="AK190" s="426"/>
      <c r="AL190" s="425"/>
      <c r="AM190" s="425"/>
      <c r="AN190" s="427"/>
      <c r="AO190" s="426"/>
      <c r="AP190" s="425"/>
      <c r="AQ190" s="429"/>
      <c r="AR190" s="427"/>
      <c r="AS190" s="425"/>
      <c r="AT190" s="425"/>
      <c r="AU190" s="425"/>
      <c r="AV190" s="425"/>
      <c r="AW190" s="425"/>
      <c r="AX190" s="425"/>
      <c r="AY190" s="427"/>
      <c r="AZ190" s="425"/>
      <c r="BA190" s="427"/>
      <c r="BB190" s="425"/>
      <c r="BC190" s="427"/>
      <c r="BD190" s="425"/>
      <c r="BE190" s="427"/>
      <c r="BF190" s="427"/>
      <c r="BG190" s="427"/>
      <c r="BH190" s="427"/>
      <c r="BI190" s="425"/>
      <c r="BJ190" s="425"/>
      <c r="BK190" s="425"/>
      <c r="BL190" s="426"/>
      <c r="BM190" s="425"/>
      <c r="BN190" s="426"/>
      <c r="BO190" s="426"/>
      <c r="BP190" s="426"/>
      <c r="BQ190" s="426"/>
      <c r="BR190" s="426"/>
      <c r="BS190" s="430"/>
      <c r="BT190" s="425"/>
      <c r="BU190" s="425"/>
      <c r="BV190" s="425"/>
      <c r="BW190" s="426"/>
      <c r="BX190" s="426"/>
      <c r="BY190" s="426"/>
      <c r="BZ190" s="426"/>
      <c r="CA190" s="427"/>
      <c r="CB190" s="427"/>
      <c r="CC190" s="426"/>
      <c r="CD190" s="425"/>
      <c r="CE190" s="425"/>
      <c r="CF190" s="427"/>
      <c r="CG190" s="427"/>
      <c r="CH190" s="427"/>
      <c r="CI190" s="427"/>
      <c r="CJ190" s="425"/>
      <c r="CK190" s="425"/>
      <c r="CL190" s="425"/>
      <c r="CM190" s="425"/>
      <c r="CN190" s="425"/>
      <c r="CO190" s="425"/>
      <c r="CP190" s="427"/>
      <c r="CQ190" s="425"/>
      <c r="CR190" s="427"/>
      <c r="CS190" s="425"/>
      <c r="CT190" s="427"/>
      <c r="CU190" s="425"/>
      <c r="CV190" s="425"/>
      <c r="CW190" s="427"/>
      <c r="CX190" s="425"/>
      <c r="CY190" s="427"/>
      <c r="CZ190" s="425"/>
      <c r="DA190" s="427"/>
      <c r="DB190" s="425"/>
      <c r="DC190" s="425"/>
      <c r="DD190" s="425"/>
      <c r="DE190" s="425"/>
      <c r="DF190" s="425"/>
    </row>
    <row r="191">
      <c r="A191" s="425"/>
      <c r="B191" s="425"/>
      <c r="C191" s="425"/>
      <c r="D191" s="425"/>
      <c r="E191" s="425"/>
      <c r="F191" s="425"/>
      <c r="G191" s="426"/>
      <c r="H191" s="426"/>
      <c r="I191" s="427"/>
      <c r="J191" s="427"/>
      <c r="K191" s="427"/>
      <c r="L191" s="427"/>
      <c r="M191" s="427"/>
      <c r="N191" s="427"/>
      <c r="O191" s="427"/>
      <c r="P191" s="427"/>
      <c r="Q191" s="426"/>
      <c r="R191" s="427"/>
      <c r="S191" s="426"/>
      <c r="T191" s="425"/>
      <c r="U191" s="425"/>
      <c r="V191" s="425"/>
      <c r="W191" s="425"/>
      <c r="X191" s="425"/>
      <c r="Y191" s="425"/>
      <c r="Z191" s="427"/>
      <c r="AA191" s="426"/>
      <c r="AB191" s="427"/>
      <c r="AC191" s="426"/>
      <c r="AD191" s="427"/>
      <c r="AE191" s="426"/>
      <c r="AF191" s="427"/>
      <c r="AG191" s="426"/>
      <c r="AH191" s="428"/>
      <c r="AI191" s="426"/>
      <c r="AJ191" s="428"/>
      <c r="AK191" s="426"/>
      <c r="AL191" s="425"/>
      <c r="AM191" s="425"/>
      <c r="AN191" s="427"/>
      <c r="AO191" s="426"/>
      <c r="AP191" s="425"/>
      <c r="AQ191" s="429"/>
      <c r="AR191" s="427"/>
      <c r="AS191" s="425"/>
      <c r="AT191" s="425"/>
      <c r="AU191" s="425"/>
      <c r="AV191" s="425"/>
      <c r="AW191" s="425"/>
      <c r="AX191" s="425"/>
      <c r="AY191" s="427"/>
      <c r="AZ191" s="425"/>
      <c r="BA191" s="427"/>
      <c r="BB191" s="425"/>
      <c r="BC191" s="427"/>
      <c r="BD191" s="425"/>
      <c r="BE191" s="427"/>
      <c r="BF191" s="427"/>
      <c r="BG191" s="427"/>
      <c r="BH191" s="427"/>
      <c r="BI191" s="425"/>
      <c r="BJ191" s="425"/>
      <c r="BK191" s="425"/>
      <c r="BL191" s="426"/>
      <c r="BM191" s="425"/>
      <c r="BN191" s="426"/>
      <c r="BO191" s="426"/>
      <c r="BP191" s="426"/>
      <c r="BQ191" s="426"/>
      <c r="BR191" s="426"/>
      <c r="BS191" s="430"/>
      <c r="BT191" s="425"/>
      <c r="BU191" s="425"/>
      <c r="BV191" s="425"/>
      <c r="BW191" s="426"/>
      <c r="BX191" s="426"/>
      <c r="BY191" s="426"/>
      <c r="BZ191" s="426"/>
      <c r="CA191" s="427"/>
      <c r="CB191" s="427"/>
      <c r="CC191" s="426"/>
      <c r="CD191" s="425"/>
      <c r="CE191" s="425"/>
      <c r="CF191" s="427"/>
      <c r="CG191" s="427"/>
      <c r="CH191" s="427"/>
      <c r="CI191" s="427"/>
      <c r="CJ191" s="425"/>
      <c r="CK191" s="425"/>
      <c r="CL191" s="425"/>
      <c r="CM191" s="425"/>
      <c r="CN191" s="425"/>
      <c r="CO191" s="425"/>
      <c r="CP191" s="427"/>
      <c r="CQ191" s="425"/>
      <c r="CR191" s="427"/>
      <c r="CS191" s="425"/>
      <c r="CT191" s="427"/>
      <c r="CU191" s="425"/>
      <c r="CV191" s="425"/>
      <c r="CW191" s="427"/>
      <c r="CX191" s="425"/>
      <c r="CY191" s="427"/>
      <c r="CZ191" s="425"/>
      <c r="DA191" s="427"/>
      <c r="DB191" s="425"/>
      <c r="DC191" s="425"/>
      <c r="DD191" s="425"/>
      <c r="DE191" s="425"/>
      <c r="DF191" s="425"/>
    </row>
    <row r="192">
      <c r="A192" s="425"/>
      <c r="B192" s="425"/>
      <c r="C192" s="425"/>
      <c r="D192" s="425"/>
      <c r="E192" s="425"/>
      <c r="F192" s="425"/>
      <c r="G192" s="426"/>
      <c r="H192" s="426"/>
      <c r="I192" s="427"/>
      <c r="J192" s="427"/>
      <c r="K192" s="427"/>
      <c r="L192" s="427"/>
      <c r="M192" s="427"/>
      <c r="N192" s="427"/>
      <c r="O192" s="427"/>
      <c r="P192" s="427"/>
      <c r="Q192" s="426"/>
      <c r="R192" s="427"/>
      <c r="S192" s="426"/>
      <c r="T192" s="425"/>
      <c r="U192" s="425"/>
      <c r="V192" s="425"/>
      <c r="W192" s="425"/>
      <c r="X192" s="425"/>
      <c r="Y192" s="425"/>
      <c r="Z192" s="427"/>
      <c r="AA192" s="426"/>
      <c r="AB192" s="427"/>
      <c r="AC192" s="426"/>
      <c r="AD192" s="427"/>
      <c r="AE192" s="426"/>
      <c r="AF192" s="427"/>
      <c r="AG192" s="426"/>
      <c r="AH192" s="428"/>
      <c r="AI192" s="426"/>
      <c r="AJ192" s="428"/>
      <c r="AK192" s="426"/>
      <c r="AL192" s="425"/>
      <c r="AM192" s="425"/>
      <c r="AN192" s="427"/>
      <c r="AO192" s="426"/>
      <c r="AP192" s="425"/>
      <c r="AQ192" s="429"/>
      <c r="AR192" s="427"/>
      <c r="AS192" s="425"/>
      <c r="AT192" s="425"/>
      <c r="AU192" s="425"/>
      <c r="AV192" s="425"/>
      <c r="AW192" s="425"/>
      <c r="AX192" s="425"/>
      <c r="AY192" s="427"/>
      <c r="AZ192" s="425"/>
      <c r="BA192" s="427"/>
      <c r="BB192" s="425"/>
      <c r="BC192" s="427"/>
      <c r="BD192" s="425"/>
      <c r="BE192" s="427"/>
      <c r="BF192" s="427"/>
      <c r="BG192" s="427"/>
      <c r="BH192" s="427"/>
      <c r="BI192" s="425"/>
      <c r="BJ192" s="425"/>
      <c r="BK192" s="425"/>
      <c r="BL192" s="426"/>
      <c r="BM192" s="425"/>
      <c r="BN192" s="426"/>
      <c r="BO192" s="426"/>
      <c r="BP192" s="426"/>
      <c r="BQ192" s="426"/>
      <c r="BR192" s="426"/>
      <c r="BS192" s="430"/>
      <c r="BT192" s="425"/>
      <c r="BU192" s="425"/>
      <c r="BV192" s="425"/>
      <c r="BW192" s="426"/>
      <c r="BX192" s="426"/>
      <c r="BY192" s="426"/>
      <c r="BZ192" s="426"/>
      <c r="CA192" s="427"/>
      <c r="CB192" s="427"/>
      <c r="CC192" s="426"/>
      <c r="CD192" s="425"/>
      <c r="CE192" s="425"/>
      <c r="CF192" s="427"/>
      <c r="CG192" s="427"/>
      <c r="CH192" s="427"/>
      <c r="CI192" s="427"/>
      <c r="CJ192" s="425"/>
      <c r="CK192" s="425"/>
      <c r="CL192" s="425"/>
      <c r="CM192" s="425"/>
      <c r="CN192" s="425"/>
      <c r="CO192" s="425"/>
      <c r="CP192" s="427"/>
      <c r="CQ192" s="425"/>
      <c r="CR192" s="427"/>
      <c r="CS192" s="425"/>
      <c r="CT192" s="427"/>
      <c r="CU192" s="425"/>
      <c r="CV192" s="425"/>
      <c r="CW192" s="427"/>
      <c r="CX192" s="425"/>
      <c r="CY192" s="427"/>
      <c r="CZ192" s="425"/>
      <c r="DA192" s="427"/>
      <c r="DB192" s="425"/>
      <c r="DC192" s="425"/>
      <c r="DD192" s="425"/>
      <c r="DE192" s="425"/>
      <c r="DF192" s="425"/>
    </row>
    <row r="193">
      <c r="A193" s="425"/>
      <c r="B193" s="425"/>
      <c r="C193" s="425"/>
      <c r="D193" s="425"/>
      <c r="E193" s="425"/>
      <c r="F193" s="425"/>
      <c r="G193" s="426"/>
      <c r="H193" s="426"/>
      <c r="I193" s="427"/>
      <c r="J193" s="427"/>
      <c r="K193" s="427"/>
      <c r="L193" s="427"/>
      <c r="M193" s="427"/>
      <c r="N193" s="427"/>
      <c r="O193" s="427"/>
      <c r="P193" s="427"/>
      <c r="Q193" s="426"/>
      <c r="R193" s="427"/>
      <c r="S193" s="426"/>
      <c r="T193" s="425"/>
      <c r="U193" s="425"/>
      <c r="V193" s="425"/>
      <c r="W193" s="425"/>
      <c r="X193" s="425"/>
      <c r="Y193" s="425"/>
      <c r="Z193" s="427"/>
      <c r="AA193" s="426"/>
      <c r="AB193" s="427"/>
      <c r="AC193" s="426"/>
      <c r="AD193" s="427"/>
      <c r="AE193" s="426"/>
      <c r="AF193" s="427"/>
      <c r="AG193" s="426"/>
      <c r="AH193" s="428"/>
      <c r="AI193" s="426"/>
      <c r="AJ193" s="428"/>
      <c r="AK193" s="426"/>
      <c r="AL193" s="425"/>
      <c r="AM193" s="425"/>
      <c r="AN193" s="427"/>
      <c r="AO193" s="426"/>
      <c r="AP193" s="425"/>
      <c r="AQ193" s="429"/>
      <c r="AR193" s="427"/>
      <c r="AS193" s="425"/>
      <c r="AT193" s="425"/>
      <c r="AU193" s="425"/>
      <c r="AV193" s="425"/>
      <c r="AW193" s="425"/>
      <c r="AX193" s="425"/>
      <c r="AY193" s="427"/>
      <c r="AZ193" s="425"/>
      <c r="BA193" s="427"/>
      <c r="BB193" s="425"/>
      <c r="BC193" s="427"/>
      <c r="BD193" s="425"/>
      <c r="BE193" s="427"/>
      <c r="BF193" s="427"/>
      <c r="BG193" s="427"/>
      <c r="BH193" s="427"/>
      <c r="BI193" s="425"/>
      <c r="BJ193" s="425"/>
      <c r="BK193" s="425"/>
      <c r="BL193" s="426"/>
      <c r="BM193" s="425"/>
      <c r="BN193" s="426"/>
      <c r="BO193" s="426"/>
      <c r="BP193" s="426"/>
      <c r="BQ193" s="426"/>
      <c r="BR193" s="426"/>
      <c r="BS193" s="430"/>
      <c r="BT193" s="425"/>
      <c r="BU193" s="425"/>
      <c r="BV193" s="425"/>
      <c r="BW193" s="426"/>
      <c r="BX193" s="426"/>
      <c r="BY193" s="426"/>
      <c r="BZ193" s="426"/>
      <c r="CA193" s="427"/>
      <c r="CB193" s="427"/>
      <c r="CC193" s="426"/>
      <c r="CD193" s="425"/>
      <c r="CE193" s="425"/>
      <c r="CF193" s="427"/>
      <c r="CG193" s="427"/>
      <c r="CH193" s="427"/>
      <c r="CI193" s="427"/>
      <c r="CJ193" s="425"/>
      <c r="CK193" s="425"/>
      <c r="CL193" s="425"/>
      <c r="CM193" s="425"/>
      <c r="CN193" s="425"/>
      <c r="CO193" s="425"/>
      <c r="CP193" s="427"/>
      <c r="CQ193" s="425"/>
      <c r="CR193" s="427"/>
      <c r="CS193" s="425"/>
      <c r="CT193" s="427"/>
      <c r="CU193" s="425"/>
      <c r="CV193" s="425"/>
      <c r="CW193" s="427"/>
      <c r="CX193" s="425"/>
      <c r="CY193" s="427"/>
      <c r="CZ193" s="425"/>
      <c r="DA193" s="427"/>
      <c r="DB193" s="425"/>
      <c r="DC193" s="425"/>
      <c r="DD193" s="425"/>
      <c r="DE193" s="425"/>
      <c r="DF193" s="425"/>
    </row>
    <row r="194">
      <c r="A194" s="425"/>
      <c r="B194" s="425"/>
      <c r="C194" s="425"/>
      <c r="D194" s="425"/>
      <c r="E194" s="425"/>
      <c r="F194" s="425"/>
      <c r="G194" s="426"/>
      <c r="H194" s="426"/>
      <c r="I194" s="427"/>
      <c r="J194" s="427"/>
      <c r="K194" s="427"/>
      <c r="L194" s="427"/>
      <c r="M194" s="427"/>
      <c r="N194" s="427"/>
      <c r="O194" s="427"/>
      <c r="P194" s="427"/>
      <c r="Q194" s="426"/>
      <c r="R194" s="427"/>
      <c r="S194" s="426"/>
      <c r="T194" s="425"/>
      <c r="U194" s="425"/>
      <c r="V194" s="425"/>
      <c r="W194" s="425"/>
      <c r="X194" s="425"/>
      <c r="Y194" s="425"/>
      <c r="Z194" s="427"/>
      <c r="AA194" s="426"/>
      <c r="AB194" s="427"/>
      <c r="AC194" s="426"/>
      <c r="AD194" s="427"/>
      <c r="AE194" s="426"/>
      <c r="AF194" s="427"/>
      <c r="AG194" s="426"/>
      <c r="AH194" s="428"/>
      <c r="AI194" s="426"/>
      <c r="AJ194" s="428"/>
      <c r="AK194" s="426"/>
      <c r="AL194" s="425"/>
      <c r="AM194" s="425"/>
      <c r="AN194" s="427"/>
      <c r="AO194" s="426"/>
      <c r="AP194" s="425"/>
      <c r="AQ194" s="429"/>
      <c r="AR194" s="427"/>
      <c r="AS194" s="425"/>
      <c r="AT194" s="425"/>
      <c r="AU194" s="425"/>
      <c r="AV194" s="425"/>
      <c r="AW194" s="425"/>
      <c r="AX194" s="425"/>
      <c r="AY194" s="427"/>
      <c r="AZ194" s="425"/>
      <c r="BA194" s="427"/>
      <c r="BB194" s="425"/>
      <c r="BC194" s="427"/>
      <c r="BD194" s="425"/>
      <c r="BE194" s="427"/>
      <c r="BF194" s="427"/>
      <c r="BG194" s="427"/>
      <c r="BH194" s="427"/>
      <c r="BI194" s="425"/>
      <c r="BJ194" s="425"/>
      <c r="BK194" s="425"/>
      <c r="BL194" s="426"/>
      <c r="BM194" s="425"/>
      <c r="BN194" s="426"/>
      <c r="BO194" s="426"/>
      <c r="BP194" s="426"/>
      <c r="BQ194" s="426"/>
      <c r="BR194" s="426"/>
      <c r="BS194" s="430"/>
      <c r="BT194" s="425"/>
      <c r="BU194" s="425"/>
      <c r="BV194" s="425"/>
      <c r="BW194" s="426"/>
      <c r="BX194" s="426"/>
      <c r="BY194" s="426"/>
      <c r="BZ194" s="426"/>
      <c r="CA194" s="427"/>
      <c r="CB194" s="427"/>
      <c r="CC194" s="426"/>
      <c r="CD194" s="425"/>
      <c r="CE194" s="425"/>
      <c r="CF194" s="427"/>
      <c r="CG194" s="427"/>
      <c r="CH194" s="427"/>
      <c r="CI194" s="427"/>
      <c r="CJ194" s="425"/>
      <c r="CK194" s="425"/>
      <c r="CL194" s="425"/>
      <c r="CM194" s="425"/>
      <c r="CN194" s="425"/>
      <c r="CO194" s="425"/>
      <c r="CP194" s="427"/>
      <c r="CQ194" s="425"/>
      <c r="CR194" s="427"/>
      <c r="CS194" s="425"/>
      <c r="CT194" s="427"/>
      <c r="CU194" s="425"/>
      <c r="CV194" s="425"/>
      <c r="CW194" s="427"/>
      <c r="CX194" s="425"/>
      <c r="CY194" s="427"/>
      <c r="CZ194" s="425"/>
      <c r="DA194" s="427"/>
      <c r="DB194" s="425"/>
      <c r="DC194" s="425"/>
      <c r="DD194" s="425"/>
      <c r="DE194" s="425"/>
      <c r="DF194" s="425"/>
    </row>
    <row r="195">
      <c r="A195" s="425"/>
      <c r="B195" s="425"/>
      <c r="C195" s="425"/>
      <c r="D195" s="425"/>
      <c r="E195" s="425"/>
      <c r="F195" s="425"/>
      <c r="G195" s="426"/>
      <c r="H195" s="426"/>
      <c r="I195" s="427"/>
      <c r="J195" s="427"/>
      <c r="K195" s="427"/>
      <c r="L195" s="427"/>
      <c r="M195" s="427"/>
      <c r="N195" s="427"/>
      <c r="O195" s="427"/>
      <c r="P195" s="427"/>
      <c r="Q195" s="426"/>
      <c r="R195" s="427"/>
      <c r="S195" s="426"/>
      <c r="T195" s="425"/>
      <c r="U195" s="425"/>
      <c r="V195" s="425"/>
      <c r="W195" s="425"/>
      <c r="X195" s="425"/>
      <c r="Y195" s="425"/>
      <c r="Z195" s="427"/>
      <c r="AA195" s="426"/>
      <c r="AB195" s="427"/>
      <c r="AC195" s="426"/>
      <c r="AD195" s="427"/>
      <c r="AE195" s="426"/>
      <c r="AF195" s="427"/>
      <c r="AG195" s="426"/>
      <c r="AH195" s="428"/>
      <c r="AI195" s="426"/>
      <c r="AJ195" s="428"/>
      <c r="AK195" s="426"/>
      <c r="AL195" s="425"/>
      <c r="AM195" s="425"/>
      <c r="AN195" s="427"/>
      <c r="AO195" s="426"/>
      <c r="AP195" s="425"/>
      <c r="AQ195" s="429"/>
      <c r="AR195" s="427"/>
      <c r="AS195" s="425"/>
      <c r="AT195" s="425"/>
      <c r="AU195" s="425"/>
      <c r="AV195" s="425"/>
      <c r="AW195" s="425"/>
      <c r="AX195" s="425"/>
      <c r="AY195" s="427"/>
      <c r="AZ195" s="425"/>
      <c r="BA195" s="427"/>
      <c r="BB195" s="425"/>
      <c r="BC195" s="427"/>
      <c r="BD195" s="425"/>
      <c r="BE195" s="427"/>
      <c r="BF195" s="427"/>
      <c r="BG195" s="427"/>
      <c r="BH195" s="427"/>
      <c r="BI195" s="425"/>
      <c r="BJ195" s="425"/>
      <c r="BK195" s="425"/>
      <c r="BL195" s="426"/>
      <c r="BM195" s="425"/>
      <c r="BN195" s="426"/>
      <c r="BO195" s="426"/>
      <c r="BP195" s="426"/>
      <c r="BQ195" s="426"/>
      <c r="BR195" s="426"/>
      <c r="BS195" s="430"/>
      <c r="BT195" s="425"/>
      <c r="BU195" s="425"/>
      <c r="BV195" s="425"/>
      <c r="BW195" s="426"/>
      <c r="BX195" s="426"/>
      <c r="BY195" s="426"/>
      <c r="BZ195" s="426"/>
      <c r="CA195" s="427"/>
      <c r="CB195" s="427"/>
      <c r="CC195" s="426"/>
      <c r="CD195" s="425"/>
      <c r="CE195" s="425"/>
      <c r="CF195" s="427"/>
      <c r="CG195" s="427"/>
      <c r="CH195" s="427"/>
      <c r="CI195" s="427"/>
      <c r="CJ195" s="425"/>
      <c r="CK195" s="425"/>
      <c r="CL195" s="425"/>
      <c r="CM195" s="425"/>
      <c r="CN195" s="425"/>
      <c r="CO195" s="425"/>
      <c r="CP195" s="427"/>
      <c r="CQ195" s="425"/>
      <c r="CR195" s="427"/>
      <c r="CS195" s="425"/>
      <c r="CT195" s="427"/>
      <c r="CU195" s="425"/>
      <c r="CV195" s="425"/>
      <c r="CW195" s="427"/>
      <c r="CX195" s="425"/>
      <c r="CY195" s="427"/>
      <c r="CZ195" s="425"/>
      <c r="DA195" s="427"/>
      <c r="DB195" s="425"/>
      <c r="DC195" s="425"/>
      <c r="DD195" s="425"/>
      <c r="DE195" s="425"/>
      <c r="DF195" s="425"/>
    </row>
    <row r="196">
      <c r="A196" s="425"/>
      <c r="B196" s="425"/>
      <c r="C196" s="425"/>
      <c r="D196" s="425"/>
      <c r="E196" s="425"/>
      <c r="F196" s="425"/>
      <c r="G196" s="426"/>
      <c r="H196" s="426"/>
      <c r="I196" s="427"/>
      <c r="J196" s="427"/>
      <c r="K196" s="427"/>
      <c r="L196" s="427"/>
      <c r="M196" s="427"/>
      <c r="N196" s="427"/>
      <c r="O196" s="427"/>
      <c r="P196" s="427"/>
      <c r="Q196" s="426"/>
      <c r="R196" s="427"/>
      <c r="S196" s="426"/>
      <c r="T196" s="425"/>
      <c r="U196" s="425"/>
      <c r="V196" s="425"/>
      <c r="W196" s="425"/>
      <c r="X196" s="425"/>
      <c r="Y196" s="425"/>
      <c r="Z196" s="427"/>
      <c r="AA196" s="426"/>
      <c r="AB196" s="427"/>
      <c r="AC196" s="426"/>
      <c r="AD196" s="427"/>
      <c r="AE196" s="426"/>
      <c r="AF196" s="427"/>
      <c r="AG196" s="426"/>
      <c r="AH196" s="428"/>
      <c r="AI196" s="426"/>
      <c r="AJ196" s="428"/>
      <c r="AK196" s="426"/>
      <c r="AL196" s="425"/>
      <c r="AM196" s="425"/>
      <c r="AN196" s="427"/>
      <c r="AO196" s="426"/>
      <c r="AP196" s="425"/>
      <c r="AQ196" s="429"/>
      <c r="AR196" s="427"/>
      <c r="AS196" s="425"/>
      <c r="AT196" s="425"/>
      <c r="AU196" s="425"/>
      <c r="AV196" s="425"/>
      <c r="AW196" s="425"/>
      <c r="AX196" s="425"/>
      <c r="AY196" s="427"/>
      <c r="AZ196" s="425"/>
      <c r="BA196" s="427"/>
      <c r="BB196" s="425"/>
      <c r="BC196" s="427"/>
      <c r="BD196" s="425"/>
      <c r="BE196" s="427"/>
      <c r="BF196" s="427"/>
      <c r="BG196" s="427"/>
      <c r="BH196" s="427"/>
      <c r="BI196" s="425"/>
      <c r="BJ196" s="425"/>
      <c r="BK196" s="425"/>
      <c r="BL196" s="426"/>
      <c r="BM196" s="425"/>
      <c r="BN196" s="426"/>
      <c r="BO196" s="426"/>
      <c r="BP196" s="426"/>
      <c r="BQ196" s="426"/>
      <c r="BR196" s="426"/>
      <c r="BS196" s="430"/>
      <c r="BT196" s="425"/>
      <c r="BU196" s="425"/>
      <c r="BV196" s="425"/>
      <c r="BW196" s="426"/>
      <c r="BX196" s="426"/>
      <c r="BY196" s="426"/>
      <c r="BZ196" s="426"/>
      <c r="CA196" s="427"/>
      <c r="CB196" s="427"/>
      <c r="CC196" s="426"/>
      <c r="CD196" s="425"/>
      <c r="CE196" s="425"/>
      <c r="CF196" s="427"/>
      <c r="CG196" s="427"/>
      <c r="CH196" s="427"/>
      <c r="CI196" s="427"/>
      <c r="CJ196" s="425"/>
      <c r="CK196" s="425"/>
      <c r="CL196" s="425"/>
      <c r="CM196" s="425"/>
      <c r="CN196" s="425"/>
      <c r="CO196" s="425"/>
      <c r="CP196" s="427"/>
      <c r="CQ196" s="425"/>
      <c r="CR196" s="427"/>
      <c r="CS196" s="425"/>
      <c r="CT196" s="427"/>
      <c r="CU196" s="425"/>
      <c r="CV196" s="425"/>
      <c r="CW196" s="427"/>
      <c r="CX196" s="425"/>
      <c r="CY196" s="427"/>
      <c r="CZ196" s="425"/>
      <c r="DA196" s="427"/>
      <c r="DB196" s="425"/>
      <c r="DC196" s="425"/>
      <c r="DD196" s="425"/>
      <c r="DE196" s="425"/>
      <c r="DF196" s="425"/>
    </row>
    <row r="197">
      <c r="A197" s="425"/>
      <c r="B197" s="425"/>
      <c r="C197" s="425"/>
      <c r="D197" s="425"/>
      <c r="E197" s="425"/>
      <c r="F197" s="425"/>
      <c r="G197" s="426"/>
      <c r="H197" s="426"/>
      <c r="I197" s="427"/>
      <c r="J197" s="427"/>
      <c r="K197" s="427"/>
      <c r="L197" s="427"/>
      <c r="M197" s="427"/>
      <c r="N197" s="427"/>
      <c r="O197" s="427"/>
      <c r="P197" s="427"/>
      <c r="Q197" s="426"/>
      <c r="R197" s="427"/>
      <c r="S197" s="426"/>
      <c r="T197" s="425"/>
      <c r="U197" s="425"/>
      <c r="V197" s="425"/>
      <c r="W197" s="425"/>
      <c r="X197" s="425"/>
      <c r="Y197" s="425"/>
      <c r="Z197" s="427"/>
      <c r="AA197" s="426"/>
      <c r="AB197" s="427"/>
      <c r="AC197" s="426"/>
      <c r="AD197" s="427"/>
      <c r="AE197" s="426"/>
      <c r="AF197" s="427"/>
      <c r="AG197" s="426"/>
      <c r="AH197" s="428"/>
      <c r="AI197" s="426"/>
      <c r="AJ197" s="428"/>
      <c r="AK197" s="426"/>
      <c r="AL197" s="425"/>
      <c r="AM197" s="425"/>
      <c r="AN197" s="427"/>
      <c r="AO197" s="426"/>
      <c r="AP197" s="425"/>
      <c r="AQ197" s="429"/>
      <c r="AR197" s="427"/>
      <c r="AS197" s="425"/>
      <c r="AT197" s="425"/>
      <c r="AU197" s="425"/>
      <c r="AV197" s="425"/>
      <c r="AW197" s="425"/>
      <c r="AX197" s="425"/>
      <c r="AY197" s="427"/>
      <c r="AZ197" s="425"/>
      <c r="BA197" s="427"/>
      <c r="BB197" s="425"/>
      <c r="BC197" s="427"/>
      <c r="BD197" s="425"/>
      <c r="BE197" s="427"/>
      <c r="BF197" s="427"/>
      <c r="BG197" s="427"/>
      <c r="BH197" s="427"/>
      <c r="BI197" s="425"/>
      <c r="BJ197" s="425"/>
      <c r="BK197" s="425"/>
      <c r="BL197" s="426"/>
      <c r="BM197" s="425"/>
      <c r="BN197" s="426"/>
      <c r="BO197" s="426"/>
      <c r="BP197" s="426"/>
      <c r="BQ197" s="426"/>
      <c r="BR197" s="426"/>
      <c r="BS197" s="430"/>
      <c r="BT197" s="425"/>
      <c r="BU197" s="425"/>
      <c r="BV197" s="425"/>
      <c r="BW197" s="426"/>
      <c r="BX197" s="426"/>
      <c r="BY197" s="426"/>
      <c r="BZ197" s="426"/>
      <c r="CA197" s="427"/>
      <c r="CB197" s="427"/>
      <c r="CC197" s="426"/>
      <c r="CD197" s="425"/>
      <c r="CE197" s="425"/>
      <c r="CF197" s="427"/>
      <c r="CG197" s="427"/>
      <c r="CH197" s="427"/>
      <c r="CI197" s="427"/>
      <c r="CJ197" s="425"/>
      <c r="CK197" s="425"/>
      <c r="CL197" s="425"/>
      <c r="CM197" s="425"/>
      <c r="CN197" s="425"/>
      <c r="CO197" s="425"/>
      <c r="CP197" s="427"/>
      <c r="CQ197" s="425"/>
      <c r="CR197" s="427"/>
      <c r="CS197" s="425"/>
      <c r="CT197" s="427"/>
      <c r="CU197" s="425"/>
      <c r="CV197" s="425"/>
      <c r="CW197" s="427"/>
      <c r="CX197" s="425"/>
      <c r="CY197" s="427"/>
      <c r="CZ197" s="425"/>
      <c r="DA197" s="427"/>
      <c r="DB197" s="425"/>
      <c r="DC197" s="425"/>
      <c r="DD197" s="425"/>
      <c r="DE197" s="425"/>
      <c r="DF197" s="425"/>
    </row>
    <row r="198">
      <c r="A198" s="425"/>
      <c r="B198" s="425"/>
      <c r="C198" s="425"/>
      <c r="D198" s="425"/>
      <c r="E198" s="425"/>
      <c r="F198" s="425"/>
      <c r="G198" s="426"/>
      <c r="H198" s="426"/>
      <c r="I198" s="427"/>
      <c r="J198" s="427"/>
      <c r="K198" s="427"/>
      <c r="L198" s="427"/>
      <c r="M198" s="427"/>
      <c r="N198" s="427"/>
      <c r="O198" s="427"/>
      <c r="P198" s="427"/>
      <c r="Q198" s="426"/>
      <c r="R198" s="427"/>
      <c r="S198" s="426"/>
      <c r="T198" s="425"/>
      <c r="U198" s="425"/>
      <c r="V198" s="425"/>
      <c r="W198" s="425"/>
      <c r="X198" s="425"/>
      <c r="Y198" s="425"/>
      <c r="Z198" s="427"/>
      <c r="AA198" s="426"/>
      <c r="AB198" s="427"/>
      <c r="AC198" s="426"/>
      <c r="AD198" s="427"/>
      <c r="AE198" s="426"/>
      <c r="AF198" s="427"/>
      <c r="AG198" s="426"/>
      <c r="AH198" s="428"/>
      <c r="AI198" s="426"/>
      <c r="AJ198" s="428"/>
      <c r="AK198" s="426"/>
      <c r="AL198" s="425"/>
      <c r="AM198" s="425"/>
      <c r="AN198" s="427"/>
      <c r="AO198" s="426"/>
      <c r="AP198" s="425"/>
      <c r="AQ198" s="429"/>
      <c r="AR198" s="427"/>
      <c r="AS198" s="425"/>
      <c r="AT198" s="425"/>
      <c r="AU198" s="425"/>
      <c r="AV198" s="425"/>
      <c r="AW198" s="425"/>
      <c r="AX198" s="425"/>
      <c r="AY198" s="427"/>
      <c r="AZ198" s="425"/>
      <c r="BA198" s="427"/>
      <c r="BB198" s="425"/>
      <c r="BC198" s="427"/>
      <c r="BD198" s="425"/>
      <c r="BE198" s="427"/>
      <c r="BF198" s="427"/>
      <c r="BG198" s="427"/>
      <c r="BH198" s="427"/>
      <c r="BI198" s="425"/>
      <c r="BJ198" s="425"/>
      <c r="BK198" s="425"/>
      <c r="BL198" s="426"/>
      <c r="BM198" s="425"/>
      <c r="BN198" s="426"/>
      <c r="BO198" s="426"/>
      <c r="BP198" s="426"/>
      <c r="BQ198" s="426"/>
      <c r="BR198" s="426"/>
      <c r="BS198" s="430"/>
      <c r="BT198" s="425"/>
      <c r="BU198" s="425"/>
      <c r="BV198" s="425"/>
      <c r="BW198" s="426"/>
      <c r="BX198" s="426"/>
      <c r="BY198" s="426"/>
      <c r="BZ198" s="426"/>
      <c r="CA198" s="427"/>
      <c r="CB198" s="427"/>
      <c r="CC198" s="426"/>
      <c r="CD198" s="425"/>
      <c r="CE198" s="425"/>
      <c r="CF198" s="427"/>
      <c r="CG198" s="427"/>
      <c r="CH198" s="427"/>
      <c r="CI198" s="427"/>
      <c r="CJ198" s="425"/>
      <c r="CK198" s="425"/>
      <c r="CL198" s="425"/>
      <c r="CM198" s="425"/>
      <c r="CN198" s="425"/>
      <c r="CO198" s="425"/>
      <c r="CP198" s="427"/>
      <c r="CQ198" s="425"/>
      <c r="CR198" s="427"/>
      <c r="CS198" s="425"/>
      <c r="CT198" s="427"/>
      <c r="CU198" s="425"/>
      <c r="CV198" s="425"/>
      <c r="CW198" s="427"/>
      <c r="CX198" s="425"/>
      <c r="CY198" s="427"/>
      <c r="CZ198" s="425"/>
      <c r="DA198" s="427"/>
      <c r="DB198" s="425"/>
      <c r="DC198" s="425"/>
      <c r="DD198" s="425"/>
      <c r="DE198" s="425"/>
      <c r="DF198" s="425"/>
    </row>
    <row r="199">
      <c r="A199" s="425"/>
      <c r="B199" s="425"/>
      <c r="C199" s="425"/>
      <c r="D199" s="425"/>
      <c r="E199" s="425"/>
      <c r="F199" s="425"/>
      <c r="G199" s="426"/>
      <c r="H199" s="426"/>
      <c r="I199" s="427"/>
      <c r="J199" s="427"/>
      <c r="K199" s="427"/>
      <c r="L199" s="427"/>
      <c r="M199" s="427"/>
      <c r="N199" s="427"/>
      <c r="O199" s="427"/>
      <c r="P199" s="427"/>
      <c r="Q199" s="426"/>
      <c r="R199" s="427"/>
      <c r="S199" s="426"/>
      <c r="T199" s="425"/>
      <c r="U199" s="425"/>
      <c r="V199" s="425"/>
      <c r="W199" s="425"/>
      <c r="X199" s="425"/>
      <c r="Y199" s="425"/>
      <c r="Z199" s="427"/>
      <c r="AA199" s="426"/>
      <c r="AB199" s="427"/>
      <c r="AC199" s="426"/>
      <c r="AD199" s="427"/>
      <c r="AE199" s="426"/>
      <c r="AF199" s="427"/>
      <c r="AG199" s="426"/>
      <c r="AH199" s="428"/>
      <c r="AI199" s="426"/>
      <c r="AJ199" s="428"/>
      <c r="AK199" s="426"/>
      <c r="AL199" s="425"/>
      <c r="AM199" s="425"/>
      <c r="AN199" s="427"/>
      <c r="AO199" s="426"/>
      <c r="AP199" s="425"/>
      <c r="AQ199" s="429"/>
      <c r="AR199" s="427"/>
      <c r="AS199" s="425"/>
      <c r="AT199" s="425"/>
      <c r="AU199" s="425"/>
      <c r="AV199" s="425"/>
      <c r="AW199" s="425"/>
      <c r="AX199" s="425"/>
      <c r="AY199" s="427"/>
      <c r="AZ199" s="425"/>
      <c r="BA199" s="427"/>
      <c r="BB199" s="425"/>
      <c r="BC199" s="427"/>
      <c r="BD199" s="425"/>
      <c r="BE199" s="427"/>
      <c r="BF199" s="427"/>
      <c r="BG199" s="427"/>
      <c r="BH199" s="427"/>
      <c r="BI199" s="425"/>
      <c r="BJ199" s="425"/>
      <c r="BK199" s="425"/>
      <c r="BL199" s="426"/>
      <c r="BM199" s="425"/>
      <c r="BN199" s="426"/>
      <c r="BO199" s="426"/>
      <c r="BP199" s="426"/>
      <c r="BQ199" s="426"/>
      <c r="BR199" s="426"/>
      <c r="BS199" s="430"/>
      <c r="BT199" s="425"/>
      <c r="BU199" s="425"/>
      <c r="BV199" s="425"/>
      <c r="BW199" s="426"/>
      <c r="BX199" s="426"/>
      <c r="BY199" s="426"/>
      <c r="BZ199" s="426"/>
      <c r="CA199" s="427"/>
      <c r="CB199" s="427"/>
      <c r="CC199" s="426"/>
      <c r="CD199" s="425"/>
      <c r="CE199" s="425"/>
      <c r="CF199" s="427"/>
      <c r="CG199" s="427"/>
      <c r="CH199" s="427"/>
      <c r="CI199" s="427"/>
      <c r="CJ199" s="425"/>
      <c r="CK199" s="425"/>
      <c r="CL199" s="425"/>
      <c r="CM199" s="425"/>
      <c r="CN199" s="425"/>
      <c r="CO199" s="425"/>
      <c r="CP199" s="427"/>
      <c r="CQ199" s="425"/>
      <c r="CR199" s="427"/>
      <c r="CS199" s="425"/>
      <c r="CT199" s="427"/>
      <c r="CU199" s="425"/>
      <c r="CV199" s="425"/>
      <c r="CW199" s="427"/>
      <c r="CX199" s="425"/>
      <c r="CY199" s="427"/>
      <c r="CZ199" s="425"/>
      <c r="DA199" s="427"/>
      <c r="DB199" s="425"/>
      <c r="DC199" s="425"/>
      <c r="DD199" s="425"/>
      <c r="DE199" s="425"/>
      <c r="DF199" s="425"/>
    </row>
    <row r="200">
      <c r="A200" s="425"/>
      <c r="B200" s="425"/>
      <c r="C200" s="425"/>
      <c r="D200" s="425"/>
      <c r="E200" s="425"/>
      <c r="F200" s="425"/>
      <c r="G200" s="426"/>
      <c r="H200" s="426"/>
      <c r="I200" s="427"/>
      <c r="J200" s="427"/>
      <c r="K200" s="427"/>
      <c r="L200" s="427"/>
      <c r="M200" s="427"/>
      <c r="N200" s="427"/>
      <c r="O200" s="427"/>
      <c r="P200" s="427"/>
      <c r="Q200" s="426"/>
      <c r="R200" s="427"/>
      <c r="S200" s="426"/>
      <c r="T200" s="425"/>
      <c r="U200" s="425"/>
      <c r="V200" s="425"/>
      <c r="W200" s="425"/>
      <c r="X200" s="425"/>
      <c r="Y200" s="425"/>
      <c r="Z200" s="427"/>
      <c r="AA200" s="426"/>
      <c r="AB200" s="427"/>
      <c r="AC200" s="426"/>
      <c r="AD200" s="427"/>
      <c r="AE200" s="426"/>
      <c r="AF200" s="427"/>
      <c r="AG200" s="426"/>
      <c r="AH200" s="428"/>
      <c r="AI200" s="426"/>
      <c r="AJ200" s="428"/>
      <c r="AK200" s="426"/>
      <c r="AL200" s="425"/>
      <c r="AM200" s="425"/>
      <c r="AN200" s="427"/>
      <c r="AO200" s="426"/>
      <c r="AP200" s="425"/>
      <c r="AQ200" s="429"/>
      <c r="AR200" s="427"/>
      <c r="AS200" s="425"/>
      <c r="AT200" s="425"/>
      <c r="AU200" s="425"/>
      <c r="AV200" s="425"/>
      <c r="AW200" s="425"/>
      <c r="AX200" s="425"/>
      <c r="AY200" s="427"/>
      <c r="AZ200" s="425"/>
      <c r="BA200" s="427"/>
      <c r="BB200" s="425"/>
      <c r="BC200" s="427"/>
      <c r="BD200" s="425"/>
      <c r="BE200" s="427"/>
      <c r="BF200" s="427"/>
      <c r="BG200" s="427"/>
      <c r="BH200" s="427"/>
      <c r="BI200" s="425"/>
      <c r="BJ200" s="425"/>
      <c r="BK200" s="425"/>
      <c r="BL200" s="426"/>
      <c r="BM200" s="425"/>
      <c r="BN200" s="426"/>
      <c r="BO200" s="426"/>
      <c r="BP200" s="426"/>
      <c r="BQ200" s="426"/>
      <c r="BR200" s="426"/>
      <c r="BS200" s="430"/>
      <c r="BT200" s="425"/>
      <c r="BU200" s="425"/>
      <c r="BV200" s="425"/>
      <c r="BW200" s="426"/>
      <c r="BX200" s="426"/>
      <c r="BY200" s="426"/>
      <c r="BZ200" s="426"/>
      <c r="CA200" s="427"/>
      <c r="CB200" s="427"/>
      <c r="CC200" s="426"/>
      <c r="CD200" s="425"/>
      <c r="CE200" s="425"/>
      <c r="CF200" s="427"/>
      <c r="CG200" s="427"/>
      <c r="CH200" s="427"/>
      <c r="CI200" s="427"/>
      <c r="CJ200" s="425"/>
      <c r="CK200" s="425"/>
      <c r="CL200" s="425"/>
      <c r="CM200" s="425"/>
      <c r="CN200" s="425"/>
      <c r="CO200" s="425"/>
      <c r="CP200" s="427"/>
      <c r="CQ200" s="425"/>
      <c r="CR200" s="427"/>
      <c r="CS200" s="425"/>
      <c r="CT200" s="427"/>
      <c r="CU200" s="425"/>
      <c r="CV200" s="425"/>
      <c r="CW200" s="427"/>
      <c r="CX200" s="425"/>
      <c r="CY200" s="427"/>
      <c r="CZ200" s="425"/>
      <c r="DA200" s="427"/>
      <c r="DB200" s="425"/>
      <c r="DC200" s="425"/>
      <c r="DD200" s="425"/>
      <c r="DE200" s="425"/>
      <c r="DF200" s="425"/>
    </row>
    <row r="201">
      <c r="A201" s="425"/>
      <c r="B201" s="425"/>
      <c r="C201" s="425"/>
      <c r="D201" s="425"/>
      <c r="E201" s="425"/>
      <c r="F201" s="425"/>
      <c r="G201" s="426"/>
      <c r="H201" s="426"/>
      <c r="I201" s="427"/>
      <c r="J201" s="427"/>
      <c r="K201" s="427"/>
      <c r="L201" s="427"/>
      <c r="M201" s="427"/>
      <c r="N201" s="427"/>
      <c r="O201" s="427"/>
      <c r="P201" s="427"/>
      <c r="Q201" s="426"/>
      <c r="R201" s="427"/>
      <c r="S201" s="426"/>
      <c r="T201" s="425"/>
      <c r="U201" s="425"/>
      <c r="V201" s="425"/>
      <c r="W201" s="425"/>
      <c r="X201" s="425"/>
      <c r="Y201" s="425"/>
      <c r="Z201" s="427"/>
      <c r="AA201" s="426"/>
      <c r="AB201" s="427"/>
      <c r="AC201" s="426"/>
      <c r="AD201" s="427"/>
      <c r="AE201" s="426"/>
      <c r="AF201" s="427"/>
      <c r="AG201" s="426"/>
      <c r="AH201" s="428"/>
      <c r="AI201" s="426"/>
      <c r="AJ201" s="428"/>
      <c r="AK201" s="426"/>
      <c r="AL201" s="425"/>
      <c r="AM201" s="425"/>
      <c r="AN201" s="427"/>
      <c r="AO201" s="426"/>
      <c r="AP201" s="425"/>
      <c r="AQ201" s="429"/>
      <c r="AR201" s="427"/>
      <c r="AS201" s="425"/>
      <c r="AT201" s="425"/>
      <c r="AU201" s="425"/>
      <c r="AV201" s="425"/>
      <c r="AW201" s="425"/>
      <c r="AX201" s="425"/>
      <c r="AY201" s="427"/>
      <c r="AZ201" s="425"/>
      <c r="BA201" s="427"/>
      <c r="BB201" s="425"/>
      <c r="BC201" s="427"/>
      <c r="BD201" s="425"/>
      <c r="BE201" s="427"/>
      <c r="BF201" s="427"/>
      <c r="BG201" s="427"/>
      <c r="BH201" s="427"/>
      <c r="BI201" s="425"/>
      <c r="BJ201" s="425"/>
      <c r="BK201" s="425"/>
      <c r="BL201" s="426"/>
      <c r="BM201" s="425"/>
      <c r="BN201" s="426"/>
      <c r="BO201" s="426"/>
      <c r="BP201" s="426"/>
      <c r="BQ201" s="426"/>
      <c r="BR201" s="426"/>
      <c r="BS201" s="430"/>
      <c r="BT201" s="425"/>
      <c r="BU201" s="425"/>
      <c r="BV201" s="425"/>
      <c r="BW201" s="426"/>
      <c r="BX201" s="426"/>
      <c r="BY201" s="426"/>
      <c r="BZ201" s="426"/>
      <c r="CA201" s="427"/>
      <c r="CB201" s="427"/>
      <c r="CC201" s="426"/>
      <c r="CD201" s="425"/>
      <c r="CE201" s="425"/>
      <c r="CF201" s="427"/>
      <c r="CG201" s="427"/>
      <c r="CH201" s="427"/>
      <c r="CI201" s="427"/>
      <c r="CJ201" s="425"/>
      <c r="CK201" s="425"/>
      <c r="CL201" s="425"/>
      <c r="CM201" s="425"/>
      <c r="CN201" s="425"/>
      <c r="CO201" s="425"/>
      <c r="CP201" s="427"/>
      <c r="CQ201" s="425"/>
      <c r="CR201" s="427"/>
      <c r="CS201" s="425"/>
      <c r="CT201" s="427"/>
      <c r="CU201" s="425"/>
      <c r="CV201" s="425"/>
      <c r="CW201" s="427"/>
      <c r="CX201" s="425"/>
      <c r="CY201" s="427"/>
      <c r="CZ201" s="425"/>
      <c r="DA201" s="427"/>
      <c r="DB201" s="425"/>
      <c r="DC201" s="425"/>
      <c r="DD201" s="425"/>
      <c r="DE201" s="425"/>
      <c r="DF201" s="425"/>
    </row>
    <row r="202">
      <c r="A202" s="425"/>
      <c r="B202" s="425"/>
      <c r="C202" s="425"/>
      <c r="D202" s="425"/>
      <c r="E202" s="425"/>
      <c r="F202" s="425"/>
      <c r="G202" s="426"/>
      <c r="H202" s="426"/>
      <c r="I202" s="427"/>
      <c r="J202" s="427"/>
      <c r="K202" s="427"/>
      <c r="L202" s="427"/>
      <c r="M202" s="427"/>
      <c r="N202" s="427"/>
      <c r="O202" s="427"/>
      <c r="P202" s="427"/>
      <c r="Q202" s="426"/>
      <c r="R202" s="427"/>
      <c r="S202" s="426"/>
      <c r="T202" s="425"/>
      <c r="U202" s="425"/>
      <c r="V202" s="425"/>
      <c r="W202" s="425"/>
      <c r="X202" s="425"/>
      <c r="Y202" s="425"/>
      <c r="Z202" s="427"/>
      <c r="AA202" s="426"/>
      <c r="AB202" s="427"/>
      <c r="AC202" s="426"/>
      <c r="AD202" s="427"/>
      <c r="AE202" s="426"/>
      <c r="AF202" s="427"/>
      <c r="AG202" s="426"/>
      <c r="AH202" s="428"/>
      <c r="AI202" s="426"/>
      <c r="AJ202" s="428"/>
      <c r="AK202" s="426"/>
      <c r="AL202" s="425"/>
      <c r="AM202" s="425"/>
      <c r="AN202" s="427"/>
      <c r="AO202" s="426"/>
      <c r="AP202" s="425"/>
      <c r="AQ202" s="429"/>
      <c r="AR202" s="427"/>
      <c r="AS202" s="425"/>
      <c r="AT202" s="425"/>
      <c r="AU202" s="425"/>
      <c r="AV202" s="425"/>
      <c r="AW202" s="425"/>
      <c r="AX202" s="425"/>
      <c r="AY202" s="427"/>
      <c r="AZ202" s="425"/>
      <c r="BA202" s="427"/>
      <c r="BB202" s="425"/>
      <c r="BC202" s="427"/>
      <c r="BD202" s="425"/>
      <c r="BE202" s="427"/>
      <c r="BF202" s="427"/>
      <c r="BG202" s="427"/>
      <c r="BH202" s="427"/>
      <c r="BI202" s="425"/>
      <c r="BJ202" s="425"/>
      <c r="BK202" s="425"/>
      <c r="BL202" s="426"/>
      <c r="BM202" s="425"/>
      <c r="BN202" s="426"/>
      <c r="BO202" s="426"/>
      <c r="BP202" s="426"/>
      <c r="BQ202" s="426"/>
      <c r="BR202" s="426"/>
      <c r="BS202" s="430"/>
      <c r="BT202" s="425"/>
      <c r="BU202" s="425"/>
      <c r="BV202" s="425"/>
      <c r="BW202" s="426"/>
      <c r="BX202" s="426"/>
      <c r="BY202" s="426"/>
      <c r="BZ202" s="426"/>
      <c r="CA202" s="427"/>
      <c r="CB202" s="427"/>
      <c r="CC202" s="426"/>
      <c r="CD202" s="425"/>
      <c r="CE202" s="425"/>
      <c r="CF202" s="427"/>
      <c r="CG202" s="427"/>
      <c r="CH202" s="427"/>
      <c r="CI202" s="427"/>
      <c r="CJ202" s="425"/>
      <c r="CK202" s="425"/>
      <c r="CL202" s="425"/>
      <c r="CM202" s="425"/>
      <c r="CN202" s="425"/>
      <c r="CO202" s="425"/>
      <c r="CP202" s="427"/>
      <c r="CQ202" s="425"/>
      <c r="CR202" s="427"/>
      <c r="CS202" s="425"/>
      <c r="CT202" s="427"/>
      <c r="CU202" s="425"/>
      <c r="CV202" s="425"/>
      <c r="CW202" s="427"/>
      <c r="CX202" s="425"/>
      <c r="CY202" s="427"/>
      <c r="CZ202" s="425"/>
      <c r="DA202" s="427"/>
      <c r="DB202" s="425"/>
      <c r="DC202" s="425"/>
      <c r="DD202" s="425"/>
      <c r="DE202" s="425"/>
      <c r="DF202" s="425"/>
    </row>
    <row r="203">
      <c r="A203" s="425"/>
      <c r="B203" s="425"/>
      <c r="C203" s="425"/>
      <c r="D203" s="425"/>
      <c r="E203" s="425"/>
      <c r="F203" s="425"/>
      <c r="G203" s="426"/>
      <c r="H203" s="426"/>
      <c r="I203" s="427"/>
      <c r="J203" s="427"/>
      <c r="K203" s="427"/>
      <c r="L203" s="427"/>
      <c r="M203" s="427"/>
      <c r="N203" s="427"/>
      <c r="O203" s="427"/>
      <c r="P203" s="427"/>
      <c r="Q203" s="426"/>
      <c r="R203" s="427"/>
      <c r="S203" s="426"/>
      <c r="T203" s="425"/>
      <c r="U203" s="425"/>
      <c r="V203" s="425"/>
      <c r="W203" s="425"/>
      <c r="X203" s="425"/>
      <c r="Y203" s="425"/>
      <c r="Z203" s="427"/>
      <c r="AA203" s="426"/>
      <c r="AB203" s="427"/>
      <c r="AC203" s="426"/>
      <c r="AD203" s="427"/>
      <c r="AE203" s="426"/>
      <c r="AF203" s="427"/>
      <c r="AG203" s="426"/>
      <c r="AH203" s="428"/>
      <c r="AI203" s="426"/>
      <c r="AJ203" s="428"/>
      <c r="AK203" s="426"/>
      <c r="AL203" s="425"/>
      <c r="AM203" s="425"/>
      <c r="AN203" s="427"/>
      <c r="AO203" s="426"/>
      <c r="AP203" s="425"/>
      <c r="AQ203" s="429"/>
      <c r="AR203" s="427"/>
      <c r="AS203" s="425"/>
      <c r="AT203" s="425"/>
      <c r="AU203" s="425"/>
      <c r="AV203" s="425"/>
      <c r="AW203" s="425"/>
      <c r="AX203" s="425"/>
      <c r="AY203" s="427"/>
      <c r="AZ203" s="425"/>
      <c r="BA203" s="427"/>
      <c r="BB203" s="425"/>
      <c r="BC203" s="427"/>
      <c r="BD203" s="425"/>
      <c r="BE203" s="427"/>
      <c r="BF203" s="427"/>
      <c r="BG203" s="427"/>
      <c r="BH203" s="427"/>
      <c r="BI203" s="425"/>
      <c r="BJ203" s="425"/>
      <c r="BK203" s="425"/>
      <c r="BL203" s="426"/>
      <c r="BM203" s="425"/>
      <c r="BN203" s="426"/>
      <c r="BO203" s="426"/>
      <c r="BP203" s="426"/>
      <c r="BQ203" s="426"/>
      <c r="BR203" s="426"/>
      <c r="BS203" s="430"/>
      <c r="BT203" s="425"/>
      <c r="BU203" s="425"/>
      <c r="BV203" s="425"/>
      <c r="BW203" s="426"/>
      <c r="BX203" s="426"/>
      <c r="BY203" s="426"/>
      <c r="BZ203" s="426"/>
      <c r="CA203" s="427"/>
      <c r="CB203" s="427"/>
      <c r="CC203" s="426"/>
      <c r="CD203" s="425"/>
      <c r="CE203" s="425"/>
      <c r="CF203" s="427"/>
      <c r="CG203" s="427"/>
      <c r="CH203" s="427"/>
      <c r="CI203" s="427"/>
      <c r="CJ203" s="425"/>
      <c r="CK203" s="425"/>
      <c r="CL203" s="425"/>
      <c r="CM203" s="425"/>
      <c r="CN203" s="425"/>
      <c r="CO203" s="425"/>
      <c r="CP203" s="427"/>
      <c r="CQ203" s="425"/>
      <c r="CR203" s="427"/>
      <c r="CS203" s="425"/>
      <c r="CT203" s="427"/>
      <c r="CU203" s="425"/>
      <c r="CV203" s="425"/>
      <c r="CW203" s="427"/>
      <c r="CX203" s="425"/>
      <c r="CY203" s="427"/>
      <c r="CZ203" s="425"/>
      <c r="DA203" s="427"/>
      <c r="DB203" s="425"/>
      <c r="DC203" s="425"/>
      <c r="DD203" s="425"/>
      <c r="DE203" s="425"/>
      <c r="DF203" s="425"/>
    </row>
    <row r="204">
      <c r="A204" s="425"/>
      <c r="B204" s="425"/>
      <c r="C204" s="425"/>
      <c r="D204" s="425"/>
      <c r="E204" s="425"/>
      <c r="F204" s="425"/>
      <c r="G204" s="426"/>
      <c r="H204" s="426"/>
      <c r="I204" s="427"/>
      <c r="J204" s="427"/>
      <c r="K204" s="427"/>
      <c r="L204" s="427"/>
      <c r="M204" s="427"/>
      <c r="N204" s="427"/>
      <c r="O204" s="427"/>
      <c r="P204" s="427"/>
      <c r="Q204" s="426"/>
      <c r="R204" s="427"/>
      <c r="S204" s="426"/>
      <c r="T204" s="425"/>
      <c r="U204" s="425"/>
      <c r="V204" s="425"/>
      <c r="W204" s="425"/>
      <c r="X204" s="425"/>
      <c r="Y204" s="425"/>
      <c r="Z204" s="427"/>
      <c r="AA204" s="426"/>
      <c r="AB204" s="427"/>
      <c r="AC204" s="426"/>
      <c r="AD204" s="427"/>
      <c r="AE204" s="426"/>
      <c r="AF204" s="427"/>
      <c r="AG204" s="426"/>
      <c r="AH204" s="428"/>
      <c r="AI204" s="426"/>
      <c r="AJ204" s="428"/>
      <c r="AK204" s="426"/>
      <c r="AL204" s="425"/>
      <c r="AM204" s="425"/>
      <c r="AN204" s="427"/>
      <c r="AO204" s="426"/>
      <c r="AP204" s="425"/>
      <c r="AQ204" s="429"/>
      <c r="AR204" s="427"/>
      <c r="AS204" s="425"/>
      <c r="AT204" s="425"/>
      <c r="AU204" s="425"/>
      <c r="AV204" s="425"/>
      <c r="AW204" s="425"/>
      <c r="AX204" s="425"/>
      <c r="AY204" s="427"/>
      <c r="AZ204" s="425"/>
      <c r="BA204" s="427"/>
      <c r="BB204" s="425"/>
      <c r="BC204" s="427"/>
      <c r="BD204" s="425"/>
      <c r="BE204" s="427"/>
      <c r="BF204" s="427"/>
      <c r="BG204" s="427"/>
      <c r="BH204" s="427"/>
      <c r="BI204" s="425"/>
      <c r="BJ204" s="425"/>
      <c r="BK204" s="425"/>
      <c r="BL204" s="426"/>
      <c r="BM204" s="425"/>
      <c r="BN204" s="426"/>
      <c r="BO204" s="426"/>
      <c r="BP204" s="426"/>
      <c r="BQ204" s="426"/>
      <c r="BR204" s="426"/>
      <c r="BS204" s="430"/>
      <c r="BT204" s="425"/>
      <c r="BU204" s="425"/>
      <c r="BV204" s="425"/>
      <c r="BW204" s="426"/>
      <c r="BX204" s="426"/>
      <c r="BY204" s="426"/>
      <c r="BZ204" s="426"/>
      <c r="CA204" s="427"/>
      <c r="CB204" s="427"/>
      <c r="CC204" s="426"/>
      <c r="CD204" s="425"/>
      <c r="CE204" s="425"/>
      <c r="CF204" s="427"/>
      <c r="CG204" s="427"/>
      <c r="CH204" s="427"/>
      <c r="CI204" s="427"/>
      <c r="CJ204" s="425"/>
      <c r="CK204" s="425"/>
      <c r="CL204" s="425"/>
      <c r="CM204" s="425"/>
      <c r="CN204" s="425"/>
      <c r="CO204" s="425"/>
      <c r="CP204" s="427"/>
      <c r="CQ204" s="425"/>
      <c r="CR204" s="427"/>
      <c r="CS204" s="425"/>
      <c r="CT204" s="427"/>
      <c r="CU204" s="425"/>
      <c r="CV204" s="425"/>
      <c r="CW204" s="427"/>
      <c r="CX204" s="425"/>
      <c r="CY204" s="427"/>
      <c r="CZ204" s="425"/>
      <c r="DA204" s="427"/>
      <c r="DB204" s="425"/>
      <c r="DC204" s="425"/>
      <c r="DD204" s="425"/>
      <c r="DE204" s="425"/>
      <c r="DF204" s="425"/>
    </row>
    <row r="205">
      <c r="A205" s="425"/>
      <c r="B205" s="425"/>
      <c r="C205" s="425"/>
      <c r="D205" s="425"/>
      <c r="E205" s="425"/>
      <c r="F205" s="425"/>
      <c r="G205" s="426"/>
      <c r="H205" s="426"/>
      <c r="I205" s="427"/>
      <c r="J205" s="427"/>
      <c r="K205" s="427"/>
      <c r="L205" s="427"/>
      <c r="M205" s="427"/>
      <c r="N205" s="427"/>
      <c r="O205" s="427"/>
      <c r="P205" s="427"/>
      <c r="Q205" s="426"/>
      <c r="R205" s="427"/>
      <c r="S205" s="426"/>
      <c r="T205" s="425"/>
      <c r="U205" s="425"/>
      <c r="V205" s="425"/>
      <c r="W205" s="425"/>
      <c r="X205" s="425"/>
      <c r="Y205" s="425"/>
      <c r="Z205" s="427"/>
      <c r="AA205" s="426"/>
      <c r="AB205" s="427"/>
      <c r="AC205" s="426"/>
      <c r="AD205" s="427"/>
      <c r="AE205" s="426"/>
      <c r="AF205" s="427"/>
      <c r="AG205" s="426"/>
      <c r="AH205" s="428"/>
      <c r="AI205" s="426"/>
      <c r="AJ205" s="428"/>
      <c r="AK205" s="426"/>
      <c r="AL205" s="425"/>
      <c r="AM205" s="425"/>
      <c r="AN205" s="427"/>
      <c r="AO205" s="426"/>
      <c r="AP205" s="425"/>
      <c r="AQ205" s="429"/>
      <c r="AR205" s="427"/>
      <c r="AS205" s="425"/>
      <c r="AT205" s="425"/>
      <c r="AU205" s="425"/>
      <c r="AV205" s="425"/>
      <c r="AW205" s="425"/>
      <c r="AX205" s="425"/>
      <c r="AY205" s="427"/>
      <c r="AZ205" s="425"/>
      <c r="BA205" s="427"/>
      <c r="BB205" s="425"/>
      <c r="BC205" s="427"/>
      <c r="BD205" s="425"/>
      <c r="BE205" s="427"/>
      <c r="BF205" s="427"/>
      <c r="BG205" s="427"/>
      <c r="BH205" s="427"/>
      <c r="BI205" s="425"/>
      <c r="BJ205" s="425"/>
      <c r="BK205" s="425"/>
      <c r="BL205" s="426"/>
      <c r="BM205" s="425"/>
      <c r="BN205" s="426"/>
      <c r="BO205" s="426"/>
      <c r="BP205" s="426"/>
      <c r="BQ205" s="426"/>
      <c r="BR205" s="426"/>
      <c r="BS205" s="430"/>
      <c r="BT205" s="425"/>
      <c r="BU205" s="425"/>
      <c r="BV205" s="425"/>
      <c r="BW205" s="426"/>
      <c r="BX205" s="426"/>
      <c r="BY205" s="426"/>
      <c r="BZ205" s="426"/>
      <c r="CA205" s="427"/>
      <c r="CB205" s="427"/>
      <c r="CC205" s="426"/>
      <c r="CD205" s="425"/>
      <c r="CE205" s="425"/>
      <c r="CF205" s="427"/>
      <c r="CG205" s="427"/>
      <c r="CH205" s="427"/>
      <c r="CI205" s="427"/>
      <c r="CJ205" s="425"/>
      <c r="CK205" s="425"/>
      <c r="CL205" s="425"/>
      <c r="CM205" s="425"/>
      <c r="CN205" s="425"/>
      <c r="CO205" s="425"/>
      <c r="CP205" s="427"/>
      <c r="CQ205" s="425"/>
      <c r="CR205" s="427"/>
      <c r="CS205" s="425"/>
      <c r="CT205" s="427"/>
      <c r="CU205" s="425"/>
      <c r="CV205" s="425"/>
      <c r="CW205" s="427"/>
      <c r="CX205" s="425"/>
      <c r="CY205" s="427"/>
      <c r="CZ205" s="425"/>
      <c r="DA205" s="427"/>
      <c r="DB205" s="425"/>
      <c r="DC205" s="425"/>
      <c r="DD205" s="425"/>
      <c r="DE205" s="425"/>
      <c r="DF205" s="425"/>
    </row>
    <row r="206">
      <c r="A206" s="425"/>
      <c r="B206" s="425"/>
      <c r="C206" s="425"/>
      <c r="D206" s="425"/>
      <c r="E206" s="425"/>
      <c r="F206" s="425"/>
      <c r="G206" s="426"/>
      <c r="H206" s="426"/>
      <c r="I206" s="427"/>
      <c r="J206" s="427"/>
      <c r="K206" s="427"/>
      <c r="L206" s="427"/>
      <c r="M206" s="427"/>
      <c r="N206" s="427"/>
      <c r="O206" s="427"/>
      <c r="P206" s="427"/>
      <c r="Q206" s="426"/>
      <c r="R206" s="427"/>
      <c r="S206" s="426"/>
      <c r="T206" s="425"/>
      <c r="U206" s="425"/>
      <c r="V206" s="425"/>
      <c r="W206" s="425"/>
      <c r="X206" s="425"/>
      <c r="Y206" s="425"/>
      <c r="Z206" s="427"/>
      <c r="AA206" s="426"/>
      <c r="AB206" s="427"/>
      <c r="AC206" s="426"/>
      <c r="AD206" s="427"/>
      <c r="AE206" s="426"/>
      <c r="AF206" s="427"/>
      <c r="AG206" s="426"/>
      <c r="AH206" s="428"/>
      <c r="AI206" s="426"/>
      <c r="AJ206" s="428"/>
      <c r="AK206" s="426"/>
      <c r="AL206" s="425"/>
      <c r="AM206" s="425"/>
      <c r="AN206" s="427"/>
      <c r="AO206" s="426"/>
      <c r="AP206" s="425"/>
      <c r="AQ206" s="429"/>
      <c r="AR206" s="427"/>
      <c r="AS206" s="425"/>
      <c r="AT206" s="425"/>
      <c r="AU206" s="425"/>
      <c r="AV206" s="425"/>
      <c r="AW206" s="425"/>
      <c r="AX206" s="425"/>
      <c r="AY206" s="427"/>
      <c r="AZ206" s="425"/>
      <c r="BA206" s="427"/>
      <c r="BB206" s="425"/>
      <c r="BC206" s="427"/>
      <c r="BD206" s="425"/>
      <c r="BE206" s="427"/>
      <c r="BF206" s="427"/>
      <c r="BG206" s="427"/>
      <c r="BH206" s="427"/>
      <c r="BI206" s="425"/>
      <c r="BJ206" s="425"/>
      <c r="BK206" s="425"/>
      <c r="BL206" s="426"/>
      <c r="BM206" s="425"/>
      <c r="BN206" s="426"/>
      <c r="BO206" s="426"/>
      <c r="BP206" s="426"/>
      <c r="BQ206" s="426"/>
      <c r="BR206" s="426"/>
      <c r="BS206" s="430"/>
      <c r="BT206" s="425"/>
      <c r="BU206" s="425"/>
      <c r="BV206" s="425"/>
      <c r="BW206" s="426"/>
      <c r="BX206" s="426"/>
      <c r="BY206" s="426"/>
      <c r="BZ206" s="426"/>
      <c r="CA206" s="427"/>
      <c r="CB206" s="427"/>
      <c r="CC206" s="426"/>
      <c r="CD206" s="425"/>
      <c r="CE206" s="425"/>
      <c r="CF206" s="427"/>
      <c r="CG206" s="427"/>
      <c r="CH206" s="427"/>
      <c r="CI206" s="427"/>
      <c r="CJ206" s="425"/>
      <c r="CK206" s="425"/>
      <c r="CL206" s="425"/>
      <c r="CM206" s="425"/>
      <c r="CN206" s="425"/>
      <c r="CO206" s="425"/>
      <c r="CP206" s="427"/>
      <c r="CQ206" s="425"/>
      <c r="CR206" s="427"/>
      <c r="CS206" s="425"/>
      <c r="CT206" s="427"/>
      <c r="CU206" s="425"/>
      <c r="CV206" s="425"/>
      <c r="CW206" s="427"/>
      <c r="CX206" s="425"/>
      <c r="CY206" s="427"/>
      <c r="CZ206" s="425"/>
      <c r="DA206" s="427"/>
      <c r="DB206" s="425"/>
      <c r="DC206" s="425"/>
      <c r="DD206" s="425"/>
      <c r="DE206" s="425"/>
      <c r="DF206" s="425"/>
    </row>
    <row r="207">
      <c r="A207" s="425"/>
      <c r="B207" s="425"/>
      <c r="C207" s="425"/>
      <c r="D207" s="425"/>
      <c r="E207" s="425"/>
      <c r="F207" s="425"/>
      <c r="G207" s="426"/>
      <c r="H207" s="426"/>
      <c r="I207" s="427"/>
      <c r="J207" s="427"/>
      <c r="K207" s="427"/>
      <c r="L207" s="427"/>
      <c r="M207" s="427"/>
      <c r="N207" s="427"/>
      <c r="O207" s="427"/>
      <c r="P207" s="427"/>
      <c r="Q207" s="426"/>
      <c r="R207" s="427"/>
      <c r="S207" s="426"/>
      <c r="T207" s="425"/>
      <c r="U207" s="425"/>
      <c r="V207" s="425"/>
      <c r="W207" s="425"/>
      <c r="X207" s="425"/>
      <c r="Y207" s="425"/>
      <c r="Z207" s="427"/>
      <c r="AA207" s="426"/>
      <c r="AB207" s="427"/>
      <c r="AC207" s="426"/>
      <c r="AD207" s="427"/>
      <c r="AE207" s="426"/>
      <c r="AF207" s="427"/>
      <c r="AG207" s="426"/>
      <c r="AH207" s="428"/>
      <c r="AI207" s="426"/>
      <c r="AJ207" s="428"/>
      <c r="AK207" s="426"/>
      <c r="AL207" s="425"/>
      <c r="AM207" s="425"/>
      <c r="AN207" s="427"/>
      <c r="AO207" s="426"/>
      <c r="AP207" s="425"/>
      <c r="AQ207" s="429"/>
      <c r="AR207" s="427"/>
      <c r="AS207" s="425"/>
      <c r="AT207" s="425"/>
      <c r="AU207" s="425"/>
      <c r="AV207" s="425"/>
      <c r="AW207" s="425"/>
      <c r="AX207" s="425"/>
      <c r="AY207" s="427"/>
      <c r="AZ207" s="425"/>
      <c r="BA207" s="427"/>
      <c r="BB207" s="425"/>
      <c r="BC207" s="427"/>
      <c r="BD207" s="425"/>
      <c r="BE207" s="427"/>
      <c r="BF207" s="427"/>
      <c r="BG207" s="427"/>
      <c r="BH207" s="427"/>
      <c r="BI207" s="425"/>
      <c r="BJ207" s="425"/>
      <c r="BK207" s="425"/>
      <c r="BL207" s="426"/>
      <c r="BM207" s="425"/>
      <c r="BN207" s="426"/>
      <c r="BO207" s="426"/>
      <c r="BP207" s="426"/>
      <c r="BQ207" s="426"/>
      <c r="BR207" s="426"/>
      <c r="BS207" s="430"/>
      <c r="BT207" s="425"/>
      <c r="BU207" s="425"/>
      <c r="BV207" s="425"/>
      <c r="BW207" s="426"/>
      <c r="BX207" s="426"/>
      <c r="BY207" s="426"/>
      <c r="BZ207" s="426"/>
      <c r="CA207" s="427"/>
      <c r="CB207" s="427"/>
      <c r="CC207" s="426"/>
      <c r="CD207" s="425"/>
      <c r="CE207" s="425"/>
      <c r="CF207" s="427"/>
      <c r="CG207" s="427"/>
      <c r="CH207" s="427"/>
      <c r="CI207" s="427"/>
      <c r="CJ207" s="425"/>
      <c r="CK207" s="425"/>
      <c r="CL207" s="425"/>
      <c r="CM207" s="425"/>
      <c r="CN207" s="425"/>
      <c r="CO207" s="425"/>
      <c r="CP207" s="427"/>
      <c r="CQ207" s="425"/>
      <c r="CR207" s="427"/>
      <c r="CS207" s="425"/>
      <c r="CT207" s="427"/>
      <c r="CU207" s="425"/>
      <c r="CV207" s="425"/>
      <c r="CW207" s="427"/>
      <c r="CX207" s="425"/>
      <c r="CY207" s="427"/>
      <c r="CZ207" s="425"/>
      <c r="DA207" s="427"/>
      <c r="DB207" s="425"/>
      <c r="DC207" s="425"/>
      <c r="DD207" s="425"/>
      <c r="DE207" s="425"/>
      <c r="DF207" s="425"/>
    </row>
    <row r="208">
      <c r="A208" s="425"/>
      <c r="B208" s="425"/>
      <c r="C208" s="425"/>
      <c r="D208" s="425"/>
      <c r="E208" s="425"/>
      <c r="F208" s="425"/>
      <c r="G208" s="426"/>
      <c r="H208" s="426"/>
      <c r="I208" s="427"/>
      <c r="J208" s="427"/>
      <c r="K208" s="427"/>
      <c r="L208" s="427"/>
      <c r="M208" s="427"/>
      <c r="N208" s="427"/>
      <c r="O208" s="427"/>
      <c r="P208" s="427"/>
      <c r="Q208" s="426"/>
      <c r="R208" s="427"/>
      <c r="S208" s="426"/>
      <c r="T208" s="425"/>
      <c r="U208" s="425"/>
      <c r="V208" s="425"/>
      <c r="W208" s="425"/>
      <c r="X208" s="425"/>
      <c r="Y208" s="425"/>
      <c r="Z208" s="427"/>
      <c r="AA208" s="426"/>
      <c r="AB208" s="427"/>
      <c r="AC208" s="426"/>
      <c r="AD208" s="427"/>
      <c r="AE208" s="426"/>
      <c r="AF208" s="427"/>
      <c r="AG208" s="426"/>
      <c r="AH208" s="428"/>
      <c r="AI208" s="426"/>
      <c r="AJ208" s="428"/>
      <c r="AK208" s="426"/>
      <c r="AL208" s="425"/>
      <c r="AM208" s="425"/>
      <c r="AN208" s="427"/>
      <c r="AO208" s="426"/>
      <c r="AP208" s="425"/>
      <c r="AQ208" s="429"/>
      <c r="AR208" s="427"/>
      <c r="AS208" s="425"/>
      <c r="AT208" s="425"/>
      <c r="AU208" s="425"/>
      <c r="AV208" s="425"/>
      <c r="AW208" s="425"/>
      <c r="AX208" s="425"/>
      <c r="AY208" s="427"/>
      <c r="AZ208" s="425"/>
      <c r="BA208" s="427"/>
      <c r="BB208" s="425"/>
      <c r="BC208" s="427"/>
      <c r="BD208" s="425"/>
      <c r="BE208" s="427"/>
      <c r="BF208" s="427"/>
      <c r="BG208" s="427"/>
      <c r="BH208" s="427"/>
      <c r="BI208" s="425"/>
      <c r="BJ208" s="425"/>
      <c r="BK208" s="425"/>
      <c r="BL208" s="426"/>
      <c r="BM208" s="425"/>
      <c r="BN208" s="426"/>
      <c r="BO208" s="426"/>
      <c r="BP208" s="426"/>
      <c r="BQ208" s="426"/>
      <c r="BR208" s="426"/>
      <c r="BS208" s="430"/>
      <c r="BT208" s="425"/>
      <c r="BU208" s="425"/>
      <c r="BV208" s="425"/>
      <c r="BW208" s="426"/>
      <c r="BX208" s="426"/>
      <c r="BY208" s="426"/>
      <c r="BZ208" s="426"/>
      <c r="CA208" s="427"/>
      <c r="CB208" s="427"/>
      <c r="CC208" s="426"/>
      <c r="CD208" s="425"/>
      <c r="CE208" s="425"/>
      <c r="CF208" s="427"/>
      <c r="CG208" s="427"/>
      <c r="CH208" s="427"/>
      <c r="CI208" s="427"/>
      <c r="CJ208" s="425"/>
      <c r="CK208" s="425"/>
      <c r="CL208" s="425"/>
      <c r="CM208" s="425"/>
      <c r="CN208" s="425"/>
      <c r="CO208" s="425"/>
      <c r="CP208" s="427"/>
      <c r="CQ208" s="425"/>
      <c r="CR208" s="427"/>
      <c r="CS208" s="425"/>
      <c r="CT208" s="427"/>
      <c r="CU208" s="425"/>
      <c r="CV208" s="425"/>
      <c r="CW208" s="427"/>
      <c r="CX208" s="425"/>
      <c r="CY208" s="427"/>
      <c r="CZ208" s="425"/>
      <c r="DA208" s="427"/>
      <c r="DB208" s="425"/>
      <c r="DC208" s="425"/>
      <c r="DD208" s="425"/>
      <c r="DE208" s="425"/>
      <c r="DF208" s="425"/>
    </row>
    <row r="209">
      <c r="A209" s="425"/>
      <c r="B209" s="425"/>
      <c r="C209" s="425"/>
      <c r="D209" s="425"/>
      <c r="E209" s="425"/>
      <c r="F209" s="425"/>
      <c r="G209" s="426"/>
      <c r="H209" s="426"/>
      <c r="I209" s="427"/>
      <c r="J209" s="427"/>
      <c r="K209" s="427"/>
      <c r="L209" s="427"/>
      <c r="M209" s="427"/>
      <c r="N209" s="427"/>
      <c r="O209" s="427"/>
      <c r="P209" s="427"/>
      <c r="Q209" s="426"/>
      <c r="R209" s="427"/>
      <c r="S209" s="426"/>
      <c r="T209" s="425"/>
      <c r="U209" s="425"/>
      <c r="V209" s="425"/>
      <c r="W209" s="425"/>
      <c r="X209" s="425"/>
      <c r="Y209" s="425"/>
      <c r="Z209" s="427"/>
      <c r="AA209" s="426"/>
      <c r="AB209" s="427"/>
      <c r="AC209" s="426"/>
      <c r="AD209" s="427"/>
      <c r="AE209" s="426"/>
      <c r="AF209" s="427"/>
      <c r="AG209" s="426"/>
      <c r="AH209" s="428"/>
      <c r="AI209" s="426"/>
      <c r="AJ209" s="428"/>
      <c r="AK209" s="426"/>
      <c r="AL209" s="425"/>
      <c r="AM209" s="425"/>
      <c r="AN209" s="427"/>
      <c r="AO209" s="426"/>
      <c r="AP209" s="425"/>
      <c r="AQ209" s="429"/>
      <c r="AR209" s="427"/>
      <c r="AS209" s="425"/>
      <c r="AT209" s="425"/>
      <c r="AU209" s="425"/>
      <c r="AV209" s="425"/>
      <c r="AW209" s="425"/>
      <c r="AX209" s="425"/>
      <c r="AY209" s="427"/>
      <c r="AZ209" s="425"/>
      <c r="BA209" s="427"/>
      <c r="BB209" s="425"/>
      <c r="BC209" s="427"/>
      <c r="BD209" s="425"/>
      <c r="BE209" s="427"/>
      <c r="BF209" s="427"/>
      <c r="BG209" s="427"/>
      <c r="BH209" s="427"/>
      <c r="BI209" s="425"/>
      <c r="BJ209" s="425"/>
      <c r="BK209" s="425"/>
      <c r="BL209" s="426"/>
      <c r="BM209" s="425"/>
      <c r="BN209" s="426"/>
      <c r="BO209" s="426"/>
      <c r="BP209" s="426"/>
      <c r="BQ209" s="426"/>
      <c r="BR209" s="426"/>
      <c r="BS209" s="430"/>
      <c r="BT209" s="425"/>
      <c r="BU209" s="425"/>
      <c r="BV209" s="425"/>
      <c r="BW209" s="426"/>
      <c r="BX209" s="426"/>
      <c r="BY209" s="426"/>
      <c r="BZ209" s="426"/>
      <c r="CA209" s="427"/>
      <c r="CB209" s="427"/>
      <c r="CC209" s="426"/>
      <c r="CD209" s="425"/>
      <c r="CE209" s="425"/>
      <c r="CF209" s="427"/>
      <c r="CG209" s="427"/>
      <c r="CH209" s="427"/>
      <c r="CI209" s="427"/>
      <c r="CJ209" s="425"/>
      <c r="CK209" s="425"/>
      <c r="CL209" s="425"/>
      <c r="CM209" s="425"/>
      <c r="CN209" s="425"/>
      <c r="CO209" s="425"/>
      <c r="CP209" s="427"/>
      <c r="CQ209" s="425"/>
      <c r="CR209" s="427"/>
      <c r="CS209" s="425"/>
      <c r="CT209" s="427"/>
      <c r="CU209" s="425"/>
      <c r="CV209" s="425"/>
      <c r="CW209" s="427"/>
      <c r="CX209" s="425"/>
      <c r="CY209" s="427"/>
      <c r="CZ209" s="425"/>
      <c r="DA209" s="427"/>
      <c r="DB209" s="425"/>
      <c r="DC209" s="425"/>
      <c r="DD209" s="425"/>
      <c r="DE209" s="425"/>
      <c r="DF209" s="425"/>
    </row>
    <row r="210">
      <c r="A210" s="425"/>
      <c r="B210" s="425"/>
      <c r="C210" s="425"/>
      <c r="D210" s="425"/>
      <c r="E210" s="425"/>
      <c r="F210" s="425"/>
      <c r="G210" s="426"/>
      <c r="H210" s="426"/>
      <c r="I210" s="427"/>
      <c r="J210" s="427"/>
      <c r="K210" s="427"/>
      <c r="L210" s="427"/>
      <c r="M210" s="427"/>
      <c r="N210" s="427"/>
      <c r="O210" s="427"/>
      <c r="P210" s="427"/>
      <c r="Q210" s="426"/>
      <c r="R210" s="427"/>
      <c r="S210" s="426"/>
      <c r="T210" s="425"/>
      <c r="U210" s="425"/>
      <c r="V210" s="425"/>
      <c r="W210" s="425"/>
      <c r="X210" s="425"/>
      <c r="Y210" s="425"/>
      <c r="Z210" s="427"/>
      <c r="AA210" s="426"/>
      <c r="AB210" s="427"/>
      <c r="AC210" s="426"/>
      <c r="AD210" s="427"/>
      <c r="AE210" s="426"/>
      <c r="AF210" s="427"/>
      <c r="AG210" s="426"/>
      <c r="AH210" s="428"/>
      <c r="AI210" s="426"/>
      <c r="AJ210" s="428"/>
      <c r="AK210" s="426"/>
      <c r="AL210" s="425"/>
      <c r="AM210" s="425"/>
      <c r="AN210" s="427"/>
      <c r="AO210" s="426"/>
      <c r="AP210" s="425"/>
      <c r="AQ210" s="429"/>
      <c r="AR210" s="427"/>
      <c r="AS210" s="425"/>
      <c r="AT210" s="425"/>
      <c r="AU210" s="425"/>
      <c r="AV210" s="425"/>
      <c r="AW210" s="425"/>
      <c r="AX210" s="425"/>
      <c r="AY210" s="427"/>
      <c r="AZ210" s="425"/>
      <c r="BA210" s="427"/>
      <c r="BB210" s="425"/>
      <c r="BC210" s="427"/>
      <c r="BD210" s="425"/>
      <c r="BE210" s="427"/>
      <c r="BF210" s="427"/>
      <c r="BG210" s="427"/>
      <c r="BH210" s="427"/>
      <c r="BI210" s="425"/>
      <c r="BJ210" s="425"/>
      <c r="BK210" s="425"/>
      <c r="BL210" s="426"/>
      <c r="BM210" s="425"/>
      <c r="BN210" s="426"/>
      <c r="BO210" s="426"/>
      <c r="BP210" s="426"/>
      <c r="BQ210" s="426"/>
      <c r="BR210" s="426"/>
      <c r="BS210" s="430"/>
      <c r="BT210" s="425"/>
      <c r="BU210" s="425"/>
      <c r="BV210" s="425"/>
      <c r="BW210" s="426"/>
      <c r="BX210" s="426"/>
      <c r="BY210" s="426"/>
      <c r="BZ210" s="426"/>
      <c r="CA210" s="427"/>
      <c r="CB210" s="427"/>
      <c r="CC210" s="426"/>
      <c r="CD210" s="425"/>
      <c r="CE210" s="425"/>
      <c r="CF210" s="427"/>
      <c r="CG210" s="427"/>
      <c r="CH210" s="427"/>
      <c r="CI210" s="427"/>
      <c r="CJ210" s="425"/>
      <c r="CK210" s="425"/>
      <c r="CL210" s="425"/>
      <c r="CM210" s="425"/>
      <c r="CN210" s="425"/>
      <c r="CO210" s="425"/>
      <c r="CP210" s="427"/>
      <c r="CQ210" s="425"/>
      <c r="CR210" s="427"/>
      <c r="CS210" s="425"/>
      <c r="CT210" s="427"/>
      <c r="CU210" s="425"/>
      <c r="CV210" s="425"/>
      <c r="CW210" s="427"/>
      <c r="CX210" s="425"/>
      <c r="CY210" s="427"/>
      <c r="CZ210" s="425"/>
      <c r="DA210" s="427"/>
      <c r="DB210" s="425"/>
      <c r="DC210" s="425"/>
      <c r="DD210" s="425"/>
      <c r="DE210" s="425"/>
      <c r="DF210" s="425"/>
    </row>
    <row r="211">
      <c r="A211" s="425"/>
      <c r="B211" s="425"/>
      <c r="C211" s="425"/>
      <c r="D211" s="425"/>
      <c r="E211" s="425"/>
      <c r="F211" s="425"/>
      <c r="G211" s="426"/>
      <c r="H211" s="426"/>
      <c r="I211" s="427"/>
      <c r="J211" s="427"/>
      <c r="K211" s="427"/>
      <c r="L211" s="427"/>
      <c r="M211" s="427"/>
      <c r="N211" s="427"/>
      <c r="O211" s="427"/>
      <c r="P211" s="427"/>
      <c r="Q211" s="426"/>
      <c r="R211" s="427"/>
      <c r="S211" s="426"/>
      <c r="T211" s="425"/>
      <c r="U211" s="425"/>
      <c r="V211" s="425"/>
      <c r="W211" s="425"/>
      <c r="X211" s="425"/>
      <c r="Y211" s="425"/>
      <c r="Z211" s="427"/>
      <c r="AA211" s="426"/>
      <c r="AB211" s="427"/>
      <c r="AC211" s="426"/>
      <c r="AD211" s="427"/>
      <c r="AE211" s="426"/>
      <c r="AF211" s="427"/>
      <c r="AG211" s="426"/>
      <c r="AH211" s="428"/>
      <c r="AI211" s="426"/>
      <c r="AJ211" s="428"/>
      <c r="AK211" s="426"/>
      <c r="AL211" s="425"/>
      <c r="AM211" s="425"/>
      <c r="AN211" s="427"/>
      <c r="AO211" s="426"/>
      <c r="AP211" s="425"/>
      <c r="AQ211" s="429"/>
      <c r="AR211" s="427"/>
      <c r="AS211" s="425"/>
      <c r="AT211" s="425"/>
      <c r="AU211" s="425"/>
      <c r="AV211" s="425"/>
      <c r="AW211" s="425"/>
      <c r="AX211" s="425"/>
      <c r="AY211" s="427"/>
      <c r="AZ211" s="425"/>
      <c r="BA211" s="427"/>
      <c r="BB211" s="425"/>
      <c r="BC211" s="427"/>
      <c r="BD211" s="425"/>
      <c r="BE211" s="427"/>
      <c r="BF211" s="427"/>
      <c r="BG211" s="427"/>
      <c r="BH211" s="427"/>
      <c r="BI211" s="425"/>
      <c r="BJ211" s="425"/>
      <c r="BK211" s="425"/>
      <c r="BL211" s="426"/>
      <c r="BM211" s="425"/>
      <c r="BN211" s="426"/>
      <c r="BO211" s="426"/>
      <c r="BP211" s="426"/>
      <c r="BQ211" s="426"/>
      <c r="BR211" s="426"/>
      <c r="BS211" s="430"/>
      <c r="BT211" s="425"/>
      <c r="BU211" s="425"/>
      <c r="BV211" s="425"/>
      <c r="BW211" s="426"/>
      <c r="BX211" s="426"/>
      <c r="BY211" s="426"/>
      <c r="BZ211" s="426"/>
      <c r="CA211" s="427"/>
      <c r="CB211" s="427"/>
      <c r="CC211" s="426"/>
      <c r="CD211" s="425"/>
      <c r="CE211" s="425"/>
      <c r="CF211" s="427"/>
      <c r="CG211" s="427"/>
      <c r="CH211" s="427"/>
      <c r="CI211" s="427"/>
      <c r="CJ211" s="425"/>
      <c r="CK211" s="425"/>
      <c r="CL211" s="425"/>
      <c r="CM211" s="425"/>
      <c r="CN211" s="425"/>
      <c r="CO211" s="425"/>
      <c r="CP211" s="427"/>
      <c r="CQ211" s="425"/>
      <c r="CR211" s="427"/>
      <c r="CS211" s="425"/>
      <c r="CT211" s="427"/>
      <c r="CU211" s="425"/>
      <c r="CV211" s="425"/>
      <c r="CW211" s="427"/>
      <c r="CX211" s="425"/>
      <c r="CY211" s="427"/>
      <c r="CZ211" s="425"/>
      <c r="DA211" s="427"/>
      <c r="DB211" s="425"/>
      <c r="DC211" s="425"/>
      <c r="DD211" s="425"/>
      <c r="DE211" s="425"/>
      <c r="DF211" s="425"/>
    </row>
    <row r="212">
      <c r="A212" s="425"/>
      <c r="B212" s="425"/>
      <c r="C212" s="425"/>
      <c r="D212" s="425"/>
      <c r="E212" s="425"/>
      <c r="F212" s="425"/>
      <c r="G212" s="426"/>
      <c r="H212" s="426"/>
      <c r="I212" s="427"/>
      <c r="J212" s="427"/>
      <c r="K212" s="427"/>
      <c r="L212" s="427"/>
      <c r="M212" s="427"/>
      <c r="N212" s="427"/>
      <c r="O212" s="427"/>
      <c r="P212" s="427"/>
      <c r="Q212" s="426"/>
      <c r="R212" s="427"/>
      <c r="S212" s="426"/>
      <c r="T212" s="425"/>
      <c r="U212" s="425"/>
      <c r="V212" s="425"/>
      <c r="W212" s="425"/>
      <c r="X212" s="425"/>
      <c r="Y212" s="425"/>
      <c r="Z212" s="427"/>
      <c r="AA212" s="426"/>
      <c r="AB212" s="427"/>
      <c r="AC212" s="426"/>
      <c r="AD212" s="427"/>
      <c r="AE212" s="426"/>
      <c r="AF212" s="427"/>
      <c r="AG212" s="426"/>
      <c r="AH212" s="428"/>
      <c r="AI212" s="426"/>
      <c r="AJ212" s="428"/>
      <c r="AK212" s="426"/>
      <c r="AL212" s="425"/>
      <c r="AM212" s="425"/>
      <c r="AN212" s="427"/>
      <c r="AO212" s="426"/>
      <c r="AP212" s="425"/>
      <c r="AQ212" s="429"/>
      <c r="AR212" s="427"/>
      <c r="AS212" s="425"/>
      <c r="AT212" s="425"/>
      <c r="AU212" s="425"/>
      <c r="AV212" s="425"/>
      <c r="AW212" s="425"/>
      <c r="AX212" s="425"/>
      <c r="AY212" s="427"/>
      <c r="AZ212" s="425"/>
      <c r="BA212" s="427"/>
      <c r="BB212" s="425"/>
      <c r="BC212" s="427"/>
      <c r="BD212" s="425"/>
      <c r="BE212" s="427"/>
      <c r="BF212" s="427"/>
      <c r="BG212" s="427"/>
      <c r="BH212" s="427"/>
      <c r="BI212" s="425"/>
      <c r="BJ212" s="425"/>
      <c r="BK212" s="425"/>
      <c r="BL212" s="426"/>
      <c r="BM212" s="425"/>
      <c r="BN212" s="426"/>
      <c r="BO212" s="426"/>
      <c r="BP212" s="426"/>
      <c r="BQ212" s="426"/>
      <c r="BR212" s="426"/>
      <c r="BS212" s="430"/>
      <c r="BT212" s="425"/>
      <c r="BU212" s="425"/>
      <c r="BV212" s="425"/>
      <c r="BW212" s="426"/>
      <c r="BX212" s="426"/>
      <c r="BY212" s="426"/>
      <c r="BZ212" s="426"/>
      <c r="CA212" s="427"/>
      <c r="CB212" s="427"/>
      <c r="CC212" s="426"/>
      <c r="CD212" s="425"/>
      <c r="CE212" s="425"/>
      <c r="CF212" s="427"/>
      <c r="CG212" s="427"/>
      <c r="CH212" s="427"/>
      <c r="CI212" s="427"/>
      <c r="CJ212" s="425"/>
      <c r="CK212" s="425"/>
      <c r="CL212" s="425"/>
      <c r="CM212" s="425"/>
      <c r="CN212" s="425"/>
      <c r="CO212" s="425"/>
      <c r="CP212" s="427"/>
      <c r="CQ212" s="425"/>
      <c r="CR212" s="427"/>
      <c r="CS212" s="425"/>
      <c r="CT212" s="427"/>
      <c r="CU212" s="425"/>
      <c r="CV212" s="425"/>
      <c r="CW212" s="427"/>
      <c r="CX212" s="425"/>
      <c r="CY212" s="427"/>
      <c r="CZ212" s="425"/>
      <c r="DA212" s="427"/>
      <c r="DB212" s="425"/>
      <c r="DC212" s="425"/>
      <c r="DD212" s="425"/>
      <c r="DE212" s="425"/>
      <c r="DF212" s="425"/>
    </row>
    <row r="213">
      <c r="A213" s="425"/>
      <c r="B213" s="425"/>
      <c r="C213" s="425"/>
      <c r="D213" s="425"/>
      <c r="E213" s="425"/>
      <c r="F213" s="425"/>
      <c r="G213" s="426"/>
      <c r="H213" s="426"/>
      <c r="I213" s="427"/>
      <c r="J213" s="427"/>
      <c r="K213" s="427"/>
      <c r="L213" s="427"/>
      <c r="M213" s="427"/>
      <c r="N213" s="427"/>
      <c r="O213" s="427"/>
      <c r="P213" s="427"/>
      <c r="Q213" s="426"/>
      <c r="R213" s="427"/>
      <c r="S213" s="426"/>
      <c r="T213" s="425"/>
      <c r="U213" s="425"/>
      <c r="V213" s="425"/>
      <c r="W213" s="425"/>
      <c r="X213" s="425"/>
      <c r="Y213" s="425"/>
      <c r="Z213" s="427"/>
      <c r="AA213" s="426"/>
      <c r="AB213" s="427"/>
      <c r="AC213" s="426"/>
      <c r="AD213" s="427"/>
      <c r="AE213" s="426"/>
      <c r="AF213" s="427"/>
      <c r="AG213" s="426"/>
      <c r="AH213" s="428"/>
      <c r="AI213" s="426"/>
      <c r="AJ213" s="428"/>
      <c r="AK213" s="426"/>
      <c r="AL213" s="425"/>
      <c r="AM213" s="425"/>
      <c r="AN213" s="427"/>
      <c r="AO213" s="426"/>
      <c r="AP213" s="425"/>
      <c r="AQ213" s="429"/>
      <c r="AR213" s="427"/>
      <c r="AS213" s="425"/>
      <c r="AT213" s="425"/>
      <c r="AU213" s="425"/>
      <c r="AV213" s="425"/>
      <c r="AW213" s="425"/>
      <c r="AX213" s="425"/>
      <c r="AY213" s="427"/>
      <c r="AZ213" s="425"/>
      <c r="BA213" s="427"/>
      <c r="BB213" s="425"/>
      <c r="BC213" s="427"/>
      <c r="BD213" s="425"/>
      <c r="BE213" s="427"/>
      <c r="BF213" s="427"/>
      <c r="BG213" s="427"/>
      <c r="BH213" s="427"/>
      <c r="BI213" s="425"/>
      <c r="BJ213" s="425"/>
      <c r="BK213" s="425"/>
      <c r="BL213" s="426"/>
      <c r="BM213" s="425"/>
      <c r="BN213" s="426"/>
      <c r="BO213" s="426"/>
      <c r="BP213" s="426"/>
      <c r="BQ213" s="426"/>
      <c r="BR213" s="426"/>
      <c r="BS213" s="430"/>
      <c r="BT213" s="425"/>
      <c r="BU213" s="425"/>
      <c r="BV213" s="425"/>
      <c r="BW213" s="426"/>
      <c r="BX213" s="426"/>
      <c r="BY213" s="426"/>
      <c r="BZ213" s="426"/>
      <c r="CA213" s="427"/>
      <c r="CB213" s="427"/>
      <c r="CC213" s="426"/>
      <c r="CD213" s="425"/>
      <c r="CE213" s="425"/>
      <c r="CF213" s="427"/>
      <c r="CG213" s="427"/>
      <c r="CH213" s="427"/>
      <c r="CI213" s="427"/>
      <c r="CJ213" s="425"/>
      <c r="CK213" s="425"/>
      <c r="CL213" s="425"/>
      <c r="CM213" s="425"/>
      <c r="CN213" s="425"/>
      <c r="CO213" s="425"/>
      <c r="CP213" s="427"/>
      <c r="CQ213" s="425"/>
      <c r="CR213" s="427"/>
      <c r="CS213" s="425"/>
      <c r="CT213" s="427"/>
      <c r="CU213" s="425"/>
      <c r="CV213" s="425"/>
      <c r="CW213" s="427"/>
      <c r="CX213" s="425"/>
      <c r="CY213" s="427"/>
      <c r="CZ213" s="425"/>
      <c r="DA213" s="427"/>
      <c r="DB213" s="425"/>
      <c r="DC213" s="425"/>
      <c r="DD213" s="425"/>
      <c r="DE213" s="425"/>
      <c r="DF213" s="425"/>
    </row>
    <row r="214">
      <c r="A214" s="425"/>
      <c r="B214" s="425"/>
      <c r="C214" s="425"/>
      <c r="D214" s="425"/>
      <c r="E214" s="425"/>
      <c r="F214" s="425"/>
      <c r="G214" s="426"/>
      <c r="H214" s="426"/>
      <c r="I214" s="427"/>
      <c r="J214" s="427"/>
      <c r="K214" s="427"/>
      <c r="L214" s="427"/>
      <c r="M214" s="427"/>
      <c r="N214" s="427"/>
      <c r="O214" s="427"/>
      <c r="P214" s="427"/>
      <c r="Q214" s="426"/>
      <c r="R214" s="427"/>
      <c r="S214" s="426"/>
      <c r="T214" s="425"/>
      <c r="U214" s="425"/>
      <c r="V214" s="425"/>
      <c r="W214" s="425"/>
      <c r="X214" s="425"/>
      <c r="Y214" s="425"/>
      <c r="Z214" s="427"/>
      <c r="AA214" s="426"/>
      <c r="AB214" s="427"/>
      <c r="AC214" s="426"/>
      <c r="AD214" s="427"/>
      <c r="AE214" s="426"/>
      <c r="AF214" s="427"/>
      <c r="AG214" s="426"/>
      <c r="AH214" s="428"/>
      <c r="AI214" s="426"/>
      <c r="AJ214" s="428"/>
      <c r="AK214" s="426"/>
      <c r="AL214" s="425"/>
      <c r="AM214" s="425"/>
      <c r="AN214" s="427"/>
      <c r="AO214" s="426"/>
      <c r="AP214" s="425"/>
      <c r="AQ214" s="429"/>
      <c r="AR214" s="427"/>
      <c r="AS214" s="425"/>
      <c r="AT214" s="425"/>
      <c r="AU214" s="425"/>
      <c r="AV214" s="425"/>
      <c r="AW214" s="425"/>
      <c r="AX214" s="425"/>
      <c r="AY214" s="427"/>
      <c r="AZ214" s="425"/>
      <c r="BA214" s="427"/>
      <c r="BB214" s="425"/>
      <c r="BC214" s="427"/>
      <c r="BD214" s="425"/>
      <c r="BE214" s="427"/>
      <c r="BF214" s="427"/>
      <c r="BG214" s="427"/>
      <c r="BH214" s="427"/>
      <c r="BI214" s="425"/>
      <c r="BJ214" s="425"/>
      <c r="BK214" s="425"/>
      <c r="BL214" s="426"/>
      <c r="BM214" s="425"/>
      <c r="BN214" s="426"/>
      <c r="BO214" s="426"/>
      <c r="BP214" s="426"/>
      <c r="BQ214" s="426"/>
      <c r="BR214" s="426"/>
      <c r="BS214" s="430"/>
      <c r="BT214" s="425"/>
      <c r="BU214" s="425"/>
      <c r="BV214" s="425"/>
      <c r="BW214" s="426"/>
      <c r="BX214" s="426"/>
      <c r="BY214" s="426"/>
      <c r="BZ214" s="426"/>
      <c r="CA214" s="427"/>
      <c r="CB214" s="427"/>
      <c r="CC214" s="426"/>
      <c r="CD214" s="425"/>
      <c r="CE214" s="425"/>
      <c r="CF214" s="427"/>
      <c r="CG214" s="427"/>
      <c r="CH214" s="427"/>
      <c r="CI214" s="427"/>
      <c r="CJ214" s="425"/>
      <c r="CK214" s="425"/>
      <c r="CL214" s="425"/>
      <c r="CM214" s="425"/>
      <c r="CN214" s="425"/>
      <c r="CO214" s="425"/>
      <c r="CP214" s="427"/>
      <c r="CQ214" s="425"/>
      <c r="CR214" s="427"/>
      <c r="CS214" s="425"/>
      <c r="CT214" s="427"/>
      <c r="CU214" s="425"/>
      <c r="CV214" s="425"/>
      <c r="CW214" s="427"/>
      <c r="CX214" s="425"/>
      <c r="CY214" s="427"/>
      <c r="CZ214" s="425"/>
      <c r="DA214" s="427"/>
      <c r="DB214" s="425"/>
      <c r="DC214" s="425"/>
      <c r="DD214" s="425"/>
      <c r="DE214" s="425"/>
      <c r="DF214" s="425"/>
    </row>
    <row r="215">
      <c r="A215" s="425"/>
      <c r="B215" s="425"/>
      <c r="C215" s="425"/>
      <c r="D215" s="425"/>
      <c r="E215" s="425"/>
      <c r="F215" s="425"/>
      <c r="G215" s="426"/>
      <c r="H215" s="426"/>
      <c r="I215" s="427"/>
      <c r="J215" s="427"/>
      <c r="K215" s="427"/>
      <c r="L215" s="427"/>
      <c r="M215" s="427"/>
      <c r="N215" s="427"/>
      <c r="O215" s="427"/>
      <c r="P215" s="427"/>
      <c r="Q215" s="426"/>
      <c r="R215" s="427"/>
      <c r="S215" s="426"/>
      <c r="T215" s="425"/>
      <c r="U215" s="425"/>
      <c r="V215" s="425"/>
      <c r="W215" s="425"/>
      <c r="X215" s="425"/>
      <c r="Y215" s="425"/>
      <c r="Z215" s="427"/>
      <c r="AA215" s="426"/>
      <c r="AB215" s="427"/>
      <c r="AC215" s="426"/>
      <c r="AD215" s="427"/>
      <c r="AE215" s="426"/>
      <c r="AF215" s="427"/>
      <c r="AG215" s="426"/>
      <c r="AH215" s="428"/>
      <c r="AI215" s="426"/>
      <c r="AJ215" s="428"/>
      <c r="AK215" s="426"/>
      <c r="AL215" s="425"/>
      <c r="AM215" s="425"/>
      <c r="AN215" s="427"/>
      <c r="AO215" s="426"/>
      <c r="AP215" s="425"/>
      <c r="AQ215" s="429"/>
      <c r="AR215" s="427"/>
      <c r="AS215" s="425"/>
      <c r="AT215" s="425"/>
      <c r="AU215" s="425"/>
      <c r="AV215" s="425"/>
      <c r="AW215" s="425"/>
      <c r="AX215" s="425"/>
      <c r="AY215" s="427"/>
      <c r="AZ215" s="425"/>
      <c r="BA215" s="427"/>
      <c r="BB215" s="425"/>
      <c r="BC215" s="427"/>
      <c r="BD215" s="425"/>
      <c r="BE215" s="427"/>
      <c r="BF215" s="427"/>
      <c r="BG215" s="427"/>
      <c r="BH215" s="427"/>
      <c r="BI215" s="425"/>
      <c r="BJ215" s="425"/>
      <c r="BK215" s="425"/>
      <c r="BL215" s="426"/>
      <c r="BM215" s="425"/>
      <c r="BN215" s="426"/>
      <c r="BO215" s="426"/>
      <c r="BP215" s="426"/>
      <c r="BQ215" s="426"/>
      <c r="BR215" s="426"/>
      <c r="BS215" s="430"/>
      <c r="BT215" s="425"/>
      <c r="BU215" s="425"/>
      <c r="BV215" s="425"/>
      <c r="BW215" s="426"/>
      <c r="BX215" s="426"/>
      <c r="BY215" s="426"/>
      <c r="BZ215" s="426"/>
      <c r="CA215" s="427"/>
      <c r="CB215" s="427"/>
      <c r="CC215" s="426"/>
      <c r="CD215" s="425"/>
      <c r="CE215" s="425"/>
      <c r="CF215" s="427"/>
      <c r="CG215" s="427"/>
      <c r="CH215" s="427"/>
      <c r="CI215" s="427"/>
      <c r="CJ215" s="425"/>
      <c r="CK215" s="425"/>
      <c r="CL215" s="425"/>
      <c r="CM215" s="425"/>
      <c r="CN215" s="425"/>
      <c r="CO215" s="425"/>
      <c r="CP215" s="427"/>
      <c r="CQ215" s="425"/>
      <c r="CR215" s="427"/>
      <c r="CS215" s="425"/>
      <c r="CT215" s="427"/>
      <c r="CU215" s="425"/>
      <c r="CV215" s="425"/>
      <c r="CW215" s="427"/>
      <c r="CX215" s="425"/>
      <c r="CY215" s="427"/>
      <c r="CZ215" s="425"/>
      <c r="DA215" s="427"/>
      <c r="DB215" s="425"/>
      <c r="DC215" s="425"/>
      <c r="DD215" s="425"/>
      <c r="DE215" s="425"/>
      <c r="DF215" s="425"/>
    </row>
    <row r="216">
      <c r="A216" s="425"/>
      <c r="B216" s="425"/>
      <c r="C216" s="425"/>
      <c r="D216" s="425"/>
      <c r="E216" s="425"/>
      <c r="F216" s="425"/>
      <c r="G216" s="426"/>
      <c r="H216" s="426"/>
      <c r="I216" s="427"/>
      <c r="J216" s="427"/>
      <c r="K216" s="427"/>
      <c r="L216" s="427"/>
      <c r="M216" s="427"/>
      <c r="N216" s="427"/>
      <c r="O216" s="427"/>
      <c r="P216" s="427"/>
      <c r="Q216" s="426"/>
      <c r="R216" s="427"/>
      <c r="S216" s="426"/>
      <c r="T216" s="425"/>
      <c r="U216" s="425"/>
      <c r="V216" s="425"/>
      <c r="W216" s="425"/>
      <c r="X216" s="425"/>
      <c r="Y216" s="425"/>
      <c r="Z216" s="427"/>
      <c r="AA216" s="426"/>
      <c r="AB216" s="427"/>
      <c r="AC216" s="426"/>
      <c r="AD216" s="427"/>
      <c r="AE216" s="426"/>
      <c r="AF216" s="427"/>
      <c r="AG216" s="426"/>
      <c r="AH216" s="428"/>
      <c r="AI216" s="426"/>
      <c r="AJ216" s="428"/>
      <c r="AK216" s="426"/>
      <c r="AL216" s="425"/>
      <c r="AM216" s="425"/>
      <c r="AN216" s="427"/>
      <c r="AO216" s="426"/>
      <c r="AP216" s="425"/>
      <c r="AQ216" s="429"/>
      <c r="AR216" s="427"/>
      <c r="AS216" s="425"/>
      <c r="AT216" s="425"/>
      <c r="AU216" s="425"/>
      <c r="AV216" s="425"/>
      <c r="AW216" s="425"/>
      <c r="AX216" s="425"/>
      <c r="AY216" s="427"/>
      <c r="AZ216" s="425"/>
      <c r="BA216" s="427"/>
      <c r="BB216" s="425"/>
      <c r="BC216" s="427"/>
      <c r="BD216" s="425"/>
      <c r="BE216" s="427"/>
      <c r="BF216" s="427"/>
      <c r="BG216" s="427"/>
      <c r="BH216" s="427"/>
      <c r="BI216" s="425"/>
      <c r="BJ216" s="425"/>
      <c r="BK216" s="425"/>
      <c r="BL216" s="426"/>
      <c r="BM216" s="425"/>
      <c r="BN216" s="426"/>
      <c r="BO216" s="426"/>
      <c r="BP216" s="426"/>
      <c r="BQ216" s="426"/>
      <c r="BR216" s="426"/>
      <c r="BS216" s="430"/>
      <c r="BT216" s="425"/>
      <c r="BU216" s="425"/>
      <c r="BV216" s="425"/>
      <c r="BW216" s="426"/>
      <c r="BX216" s="426"/>
      <c r="BY216" s="426"/>
      <c r="BZ216" s="426"/>
      <c r="CA216" s="427"/>
      <c r="CB216" s="427"/>
      <c r="CC216" s="426"/>
      <c r="CD216" s="425"/>
      <c r="CE216" s="425"/>
      <c r="CF216" s="427"/>
      <c r="CG216" s="427"/>
      <c r="CH216" s="427"/>
      <c r="CI216" s="427"/>
      <c r="CJ216" s="425"/>
      <c r="CK216" s="425"/>
      <c r="CL216" s="425"/>
      <c r="CM216" s="425"/>
      <c r="CN216" s="425"/>
      <c r="CO216" s="425"/>
      <c r="CP216" s="427"/>
      <c r="CQ216" s="425"/>
      <c r="CR216" s="427"/>
      <c r="CS216" s="425"/>
      <c r="CT216" s="427"/>
      <c r="CU216" s="425"/>
      <c r="CV216" s="425"/>
      <c r="CW216" s="427"/>
      <c r="CX216" s="425"/>
      <c r="CY216" s="427"/>
      <c r="CZ216" s="425"/>
      <c r="DA216" s="427"/>
      <c r="DB216" s="425"/>
      <c r="DC216" s="425"/>
      <c r="DD216" s="425"/>
      <c r="DE216" s="425"/>
      <c r="DF216" s="425"/>
    </row>
    <row r="217">
      <c r="A217" s="425"/>
      <c r="B217" s="425"/>
      <c r="C217" s="425"/>
      <c r="D217" s="425"/>
      <c r="E217" s="425"/>
      <c r="F217" s="425"/>
      <c r="G217" s="426"/>
      <c r="H217" s="426"/>
      <c r="I217" s="427"/>
      <c r="J217" s="427"/>
      <c r="K217" s="427"/>
      <c r="L217" s="427"/>
      <c r="M217" s="427"/>
      <c r="N217" s="427"/>
      <c r="O217" s="427"/>
      <c r="P217" s="427"/>
      <c r="Q217" s="426"/>
      <c r="R217" s="427"/>
      <c r="S217" s="426"/>
      <c r="T217" s="425"/>
      <c r="U217" s="425"/>
      <c r="V217" s="425"/>
      <c r="W217" s="425"/>
      <c r="X217" s="425"/>
      <c r="Y217" s="425"/>
      <c r="Z217" s="427"/>
      <c r="AA217" s="426"/>
      <c r="AB217" s="427"/>
      <c r="AC217" s="426"/>
      <c r="AD217" s="427"/>
      <c r="AE217" s="426"/>
      <c r="AF217" s="427"/>
      <c r="AG217" s="426"/>
      <c r="AH217" s="428"/>
      <c r="AI217" s="426"/>
      <c r="AJ217" s="428"/>
      <c r="AK217" s="426"/>
      <c r="AL217" s="425"/>
      <c r="AM217" s="425"/>
      <c r="AN217" s="427"/>
      <c r="AO217" s="426"/>
      <c r="AP217" s="425"/>
      <c r="AQ217" s="429"/>
      <c r="AR217" s="427"/>
      <c r="AS217" s="425"/>
      <c r="AT217" s="425"/>
      <c r="AU217" s="425"/>
      <c r="AV217" s="425"/>
      <c r="AW217" s="425"/>
      <c r="AX217" s="425"/>
      <c r="AY217" s="427"/>
      <c r="AZ217" s="425"/>
      <c r="BA217" s="427"/>
      <c r="BB217" s="425"/>
      <c r="BC217" s="427"/>
      <c r="BD217" s="425"/>
      <c r="BE217" s="427"/>
      <c r="BF217" s="427"/>
      <c r="BG217" s="427"/>
      <c r="BH217" s="427"/>
      <c r="BI217" s="425"/>
      <c r="BJ217" s="425"/>
      <c r="BK217" s="425"/>
      <c r="BL217" s="426"/>
      <c r="BM217" s="425"/>
      <c r="BN217" s="426"/>
      <c r="BO217" s="426"/>
      <c r="BP217" s="426"/>
      <c r="BQ217" s="426"/>
      <c r="BR217" s="426"/>
      <c r="BS217" s="430"/>
      <c r="BT217" s="425"/>
      <c r="BU217" s="425"/>
      <c r="BV217" s="425"/>
      <c r="BW217" s="426"/>
      <c r="BX217" s="426"/>
      <c r="BY217" s="426"/>
      <c r="BZ217" s="426"/>
      <c r="CA217" s="427"/>
      <c r="CB217" s="427"/>
      <c r="CC217" s="426"/>
      <c r="CD217" s="425"/>
      <c r="CE217" s="425"/>
      <c r="CF217" s="427"/>
      <c r="CG217" s="427"/>
      <c r="CH217" s="427"/>
      <c r="CI217" s="427"/>
      <c r="CJ217" s="425"/>
      <c r="CK217" s="425"/>
      <c r="CL217" s="425"/>
      <c r="CM217" s="425"/>
      <c r="CN217" s="425"/>
      <c r="CO217" s="425"/>
      <c r="CP217" s="427"/>
      <c r="CQ217" s="425"/>
      <c r="CR217" s="427"/>
      <c r="CS217" s="425"/>
      <c r="CT217" s="427"/>
      <c r="CU217" s="425"/>
      <c r="CV217" s="425"/>
      <c r="CW217" s="427"/>
      <c r="CX217" s="425"/>
      <c r="CY217" s="427"/>
      <c r="CZ217" s="425"/>
      <c r="DA217" s="427"/>
      <c r="DB217" s="425"/>
      <c r="DC217" s="425"/>
      <c r="DD217" s="425"/>
      <c r="DE217" s="425"/>
      <c r="DF217" s="425"/>
    </row>
    <row r="218">
      <c r="A218" s="425"/>
      <c r="B218" s="425"/>
      <c r="C218" s="425"/>
      <c r="D218" s="425"/>
      <c r="E218" s="425"/>
      <c r="F218" s="425"/>
      <c r="G218" s="426"/>
      <c r="H218" s="426"/>
      <c r="I218" s="427"/>
      <c r="J218" s="427"/>
      <c r="K218" s="427"/>
      <c r="L218" s="427"/>
      <c r="M218" s="427"/>
      <c r="N218" s="427"/>
      <c r="O218" s="427"/>
      <c r="P218" s="427"/>
      <c r="Q218" s="426"/>
      <c r="R218" s="427"/>
      <c r="S218" s="426"/>
      <c r="T218" s="425"/>
      <c r="U218" s="425"/>
      <c r="V218" s="425"/>
      <c r="W218" s="425"/>
      <c r="X218" s="425"/>
      <c r="Y218" s="425"/>
      <c r="Z218" s="427"/>
      <c r="AA218" s="426"/>
      <c r="AB218" s="427"/>
      <c r="AC218" s="426"/>
      <c r="AD218" s="427"/>
      <c r="AE218" s="426"/>
      <c r="AF218" s="427"/>
      <c r="AG218" s="426"/>
      <c r="AH218" s="428"/>
      <c r="AI218" s="426"/>
      <c r="AJ218" s="428"/>
      <c r="AK218" s="426"/>
      <c r="AL218" s="425"/>
      <c r="AM218" s="425"/>
      <c r="AN218" s="427"/>
      <c r="AO218" s="426"/>
      <c r="AP218" s="425"/>
      <c r="AQ218" s="429"/>
      <c r="AR218" s="427"/>
      <c r="AS218" s="425"/>
      <c r="AT218" s="425"/>
      <c r="AU218" s="425"/>
      <c r="AV218" s="425"/>
      <c r="AW218" s="425"/>
      <c r="AX218" s="425"/>
      <c r="AY218" s="427"/>
      <c r="AZ218" s="425"/>
      <c r="BA218" s="427"/>
      <c r="BB218" s="425"/>
      <c r="BC218" s="427"/>
      <c r="BD218" s="425"/>
      <c r="BE218" s="427"/>
      <c r="BF218" s="427"/>
      <c r="BG218" s="427"/>
      <c r="BH218" s="427"/>
      <c r="BI218" s="425"/>
      <c r="BJ218" s="425"/>
      <c r="BK218" s="425"/>
      <c r="BL218" s="426"/>
      <c r="BM218" s="425"/>
      <c r="BN218" s="426"/>
      <c r="BO218" s="426"/>
      <c r="BP218" s="426"/>
      <c r="BQ218" s="426"/>
      <c r="BR218" s="426"/>
      <c r="BS218" s="430"/>
      <c r="BT218" s="425"/>
      <c r="BU218" s="425"/>
      <c r="BV218" s="425"/>
      <c r="BW218" s="426"/>
      <c r="BX218" s="426"/>
      <c r="BY218" s="426"/>
      <c r="BZ218" s="426"/>
      <c r="CA218" s="427"/>
      <c r="CB218" s="427"/>
      <c r="CC218" s="426"/>
      <c r="CD218" s="425"/>
      <c r="CE218" s="425"/>
      <c r="CF218" s="427"/>
      <c r="CG218" s="427"/>
      <c r="CH218" s="427"/>
      <c r="CI218" s="427"/>
      <c r="CJ218" s="425"/>
      <c r="CK218" s="425"/>
      <c r="CL218" s="425"/>
      <c r="CM218" s="425"/>
      <c r="CN218" s="425"/>
      <c r="CO218" s="425"/>
      <c r="CP218" s="427"/>
      <c r="CQ218" s="425"/>
      <c r="CR218" s="427"/>
      <c r="CS218" s="425"/>
      <c r="CT218" s="427"/>
      <c r="CU218" s="425"/>
      <c r="CV218" s="425"/>
      <c r="CW218" s="427"/>
      <c r="CX218" s="425"/>
      <c r="CY218" s="427"/>
      <c r="CZ218" s="425"/>
      <c r="DA218" s="427"/>
      <c r="DB218" s="425"/>
      <c r="DC218" s="425"/>
      <c r="DD218" s="425"/>
      <c r="DE218" s="425"/>
      <c r="DF218" s="425"/>
    </row>
    <row r="219">
      <c r="A219" s="425"/>
      <c r="B219" s="425"/>
      <c r="C219" s="425"/>
      <c r="D219" s="425"/>
      <c r="E219" s="425"/>
      <c r="F219" s="425"/>
      <c r="G219" s="426"/>
      <c r="H219" s="426"/>
      <c r="I219" s="427"/>
      <c r="J219" s="427"/>
      <c r="K219" s="427"/>
      <c r="L219" s="427"/>
      <c r="M219" s="427"/>
      <c r="N219" s="427"/>
      <c r="O219" s="427"/>
      <c r="P219" s="427"/>
      <c r="Q219" s="426"/>
      <c r="R219" s="427"/>
      <c r="S219" s="426"/>
      <c r="T219" s="425"/>
      <c r="U219" s="425"/>
      <c r="V219" s="425"/>
      <c r="W219" s="425"/>
      <c r="X219" s="425"/>
      <c r="Y219" s="425"/>
      <c r="Z219" s="427"/>
      <c r="AA219" s="426"/>
      <c r="AB219" s="427"/>
      <c r="AC219" s="426"/>
      <c r="AD219" s="427"/>
      <c r="AE219" s="426"/>
      <c r="AF219" s="427"/>
      <c r="AG219" s="426"/>
      <c r="AH219" s="428"/>
      <c r="AI219" s="426"/>
      <c r="AJ219" s="428"/>
      <c r="AK219" s="426"/>
      <c r="AL219" s="425"/>
      <c r="AM219" s="425"/>
      <c r="AN219" s="427"/>
      <c r="AO219" s="426"/>
      <c r="AP219" s="425"/>
      <c r="AQ219" s="429"/>
      <c r="AR219" s="427"/>
      <c r="AS219" s="425"/>
      <c r="AT219" s="425"/>
      <c r="AU219" s="425"/>
      <c r="AV219" s="425"/>
      <c r="AW219" s="425"/>
      <c r="AX219" s="425"/>
      <c r="AY219" s="427"/>
      <c r="AZ219" s="425"/>
      <c r="BA219" s="427"/>
      <c r="BB219" s="425"/>
      <c r="BC219" s="427"/>
      <c r="BD219" s="425"/>
      <c r="BE219" s="427"/>
      <c r="BF219" s="427"/>
      <c r="BG219" s="427"/>
      <c r="BH219" s="427"/>
      <c r="BI219" s="425"/>
      <c r="BJ219" s="425"/>
      <c r="BK219" s="425"/>
      <c r="BL219" s="426"/>
      <c r="BM219" s="425"/>
      <c r="BN219" s="426"/>
      <c r="BO219" s="426"/>
      <c r="BP219" s="426"/>
      <c r="BQ219" s="426"/>
      <c r="BR219" s="426"/>
      <c r="BS219" s="430"/>
      <c r="BT219" s="425"/>
      <c r="BU219" s="425"/>
      <c r="BV219" s="425"/>
      <c r="BW219" s="426"/>
      <c r="BX219" s="426"/>
      <c r="BY219" s="426"/>
      <c r="BZ219" s="426"/>
      <c r="CA219" s="427"/>
      <c r="CB219" s="427"/>
      <c r="CC219" s="426"/>
      <c r="CD219" s="425"/>
      <c r="CE219" s="425"/>
      <c r="CF219" s="427"/>
      <c r="CG219" s="427"/>
      <c r="CH219" s="427"/>
      <c r="CI219" s="427"/>
      <c r="CJ219" s="425"/>
      <c r="CK219" s="425"/>
      <c r="CL219" s="425"/>
      <c r="CM219" s="425"/>
      <c r="CN219" s="425"/>
      <c r="CO219" s="425"/>
      <c r="CP219" s="427"/>
      <c r="CQ219" s="425"/>
      <c r="CR219" s="427"/>
      <c r="CS219" s="425"/>
      <c r="CT219" s="427"/>
      <c r="CU219" s="425"/>
      <c r="CV219" s="425"/>
      <c r="CW219" s="427"/>
      <c r="CX219" s="425"/>
      <c r="CY219" s="427"/>
      <c r="CZ219" s="425"/>
      <c r="DA219" s="427"/>
      <c r="DB219" s="425"/>
      <c r="DC219" s="425"/>
      <c r="DD219" s="425"/>
      <c r="DE219" s="425"/>
      <c r="DF219" s="425"/>
    </row>
    <row r="220">
      <c r="A220" s="425"/>
      <c r="B220" s="425"/>
      <c r="C220" s="425"/>
      <c r="D220" s="425"/>
      <c r="E220" s="425"/>
      <c r="F220" s="425"/>
      <c r="G220" s="426"/>
      <c r="H220" s="426"/>
      <c r="I220" s="427"/>
      <c r="J220" s="427"/>
      <c r="K220" s="427"/>
      <c r="L220" s="427"/>
      <c r="M220" s="427"/>
      <c r="N220" s="427"/>
      <c r="O220" s="427"/>
      <c r="P220" s="427"/>
      <c r="Q220" s="426"/>
      <c r="R220" s="427"/>
      <c r="S220" s="426"/>
      <c r="T220" s="425"/>
      <c r="U220" s="425"/>
      <c r="V220" s="425"/>
      <c r="W220" s="425"/>
      <c r="X220" s="425"/>
      <c r="Y220" s="425"/>
      <c r="Z220" s="427"/>
      <c r="AA220" s="426"/>
      <c r="AB220" s="427"/>
      <c r="AC220" s="426"/>
      <c r="AD220" s="427"/>
      <c r="AE220" s="426"/>
      <c r="AF220" s="427"/>
      <c r="AG220" s="426"/>
      <c r="AH220" s="428"/>
      <c r="AI220" s="426"/>
      <c r="AJ220" s="428"/>
      <c r="AK220" s="426"/>
      <c r="AL220" s="425"/>
      <c r="AM220" s="425"/>
      <c r="AN220" s="427"/>
      <c r="AO220" s="426"/>
      <c r="AP220" s="425"/>
      <c r="AQ220" s="429"/>
      <c r="AR220" s="427"/>
      <c r="AS220" s="425"/>
      <c r="AT220" s="425"/>
      <c r="AU220" s="425"/>
      <c r="AV220" s="425"/>
      <c r="AW220" s="425"/>
      <c r="AX220" s="425"/>
      <c r="AY220" s="427"/>
      <c r="AZ220" s="425"/>
      <c r="BA220" s="427"/>
      <c r="BB220" s="425"/>
      <c r="BC220" s="427"/>
      <c r="BD220" s="425"/>
      <c r="BE220" s="427"/>
      <c r="BF220" s="427"/>
      <c r="BG220" s="427"/>
      <c r="BH220" s="427"/>
      <c r="BI220" s="425"/>
      <c r="BJ220" s="425"/>
      <c r="BK220" s="425"/>
      <c r="BL220" s="426"/>
      <c r="BM220" s="425"/>
      <c r="BN220" s="426"/>
      <c r="BO220" s="426"/>
      <c r="BP220" s="426"/>
      <c r="BQ220" s="426"/>
      <c r="BR220" s="426"/>
      <c r="BS220" s="430"/>
      <c r="BT220" s="425"/>
      <c r="BU220" s="425"/>
      <c r="BV220" s="425"/>
      <c r="BW220" s="426"/>
      <c r="BX220" s="426"/>
      <c r="BY220" s="426"/>
      <c r="BZ220" s="426"/>
      <c r="CA220" s="427"/>
      <c r="CB220" s="427"/>
      <c r="CC220" s="426"/>
      <c r="CD220" s="425"/>
      <c r="CE220" s="425"/>
      <c r="CF220" s="427"/>
      <c r="CG220" s="427"/>
      <c r="CH220" s="427"/>
      <c r="CI220" s="427"/>
      <c r="CJ220" s="425"/>
      <c r="CK220" s="425"/>
      <c r="CL220" s="425"/>
      <c r="CM220" s="425"/>
      <c r="CN220" s="425"/>
      <c r="CO220" s="425"/>
      <c r="CP220" s="427"/>
      <c r="CQ220" s="425"/>
      <c r="CR220" s="427"/>
      <c r="CS220" s="425"/>
      <c r="CT220" s="427"/>
      <c r="CU220" s="425"/>
      <c r="CV220" s="425"/>
      <c r="CW220" s="427"/>
      <c r="CX220" s="425"/>
      <c r="CY220" s="427"/>
      <c r="CZ220" s="425"/>
      <c r="DA220" s="427"/>
      <c r="DB220" s="425"/>
      <c r="DC220" s="425"/>
      <c r="DD220" s="425"/>
      <c r="DE220" s="425"/>
      <c r="DF220" s="425"/>
    </row>
    <row r="221">
      <c r="A221" s="425"/>
      <c r="B221" s="425"/>
      <c r="C221" s="425"/>
      <c r="D221" s="425"/>
      <c r="E221" s="425"/>
      <c r="F221" s="425"/>
      <c r="G221" s="426"/>
      <c r="H221" s="426"/>
      <c r="I221" s="427"/>
      <c r="J221" s="427"/>
      <c r="K221" s="427"/>
      <c r="L221" s="427"/>
      <c r="M221" s="427"/>
      <c r="N221" s="427"/>
      <c r="O221" s="427"/>
      <c r="P221" s="427"/>
      <c r="Q221" s="426"/>
      <c r="R221" s="427"/>
      <c r="S221" s="426"/>
      <c r="T221" s="425"/>
      <c r="U221" s="425"/>
      <c r="V221" s="425"/>
      <c r="W221" s="425"/>
      <c r="X221" s="425"/>
      <c r="Y221" s="425"/>
      <c r="Z221" s="427"/>
      <c r="AA221" s="426"/>
      <c r="AB221" s="427"/>
      <c r="AC221" s="426"/>
      <c r="AD221" s="427"/>
      <c r="AE221" s="426"/>
      <c r="AF221" s="427"/>
      <c r="AG221" s="426"/>
      <c r="AH221" s="428"/>
      <c r="AI221" s="426"/>
      <c r="AJ221" s="428"/>
      <c r="AK221" s="426"/>
      <c r="AL221" s="425"/>
      <c r="AM221" s="425"/>
      <c r="AN221" s="427"/>
      <c r="AO221" s="426"/>
      <c r="AP221" s="425"/>
      <c r="AQ221" s="429"/>
      <c r="AR221" s="427"/>
      <c r="AS221" s="425"/>
      <c r="AT221" s="425"/>
      <c r="AU221" s="425"/>
      <c r="AV221" s="425"/>
      <c r="AW221" s="425"/>
      <c r="AX221" s="425"/>
      <c r="AY221" s="427"/>
      <c r="AZ221" s="425"/>
      <c r="BA221" s="427"/>
      <c r="BB221" s="425"/>
      <c r="BC221" s="427"/>
      <c r="BD221" s="425"/>
      <c r="BE221" s="427"/>
      <c r="BF221" s="427"/>
      <c r="BG221" s="427"/>
      <c r="BH221" s="427"/>
      <c r="BI221" s="425"/>
      <c r="BJ221" s="425"/>
      <c r="BK221" s="425"/>
      <c r="BL221" s="426"/>
      <c r="BM221" s="425"/>
      <c r="BN221" s="426"/>
      <c r="BO221" s="426"/>
      <c r="BP221" s="426"/>
      <c r="BQ221" s="426"/>
      <c r="BR221" s="426"/>
      <c r="BS221" s="430"/>
      <c r="BT221" s="425"/>
      <c r="BU221" s="425"/>
      <c r="BV221" s="425"/>
      <c r="BW221" s="426"/>
      <c r="BX221" s="426"/>
      <c r="BY221" s="426"/>
      <c r="BZ221" s="426"/>
      <c r="CA221" s="427"/>
      <c r="CB221" s="427"/>
      <c r="CC221" s="426"/>
      <c r="CD221" s="425"/>
      <c r="CE221" s="425"/>
      <c r="CF221" s="427"/>
      <c r="CG221" s="427"/>
      <c r="CH221" s="427"/>
      <c r="CI221" s="427"/>
      <c r="CJ221" s="425"/>
      <c r="CK221" s="425"/>
      <c r="CL221" s="425"/>
      <c r="CM221" s="425"/>
      <c r="CN221" s="425"/>
      <c r="CO221" s="425"/>
      <c r="CP221" s="427"/>
      <c r="CQ221" s="425"/>
      <c r="CR221" s="427"/>
      <c r="CS221" s="425"/>
      <c r="CT221" s="427"/>
      <c r="CU221" s="425"/>
      <c r="CV221" s="425"/>
      <c r="CW221" s="427"/>
      <c r="CX221" s="425"/>
      <c r="CY221" s="427"/>
      <c r="CZ221" s="425"/>
      <c r="DA221" s="427"/>
      <c r="DB221" s="425"/>
      <c r="DC221" s="425"/>
      <c r="DD221" s="425"/>
      <c r="DE221" s="425"/>
      <c r="DF221" s="425"/>
    </row>
    <row r="222">
      <c r="A222" s="425"/>
      <c r="B222" s="425"/>
      <c r="C222" s="425"/>
      <c r="D222" s="425"/>
      <c r="E222" s="425"/>
      <c r="F222" s="425"/>
      <c r="G222" s="426"/>
      <c r="H222" s="426"/>
      <c r="I222" s="427"/>
      <c r="J222" s="427"/>
      <c r="K222" s="427"/>
      <c r="L222" s="427"/>
      <c r="M222" s="427"/>
      <c r="N222" s="427"/>
      <c r="O222" s="427"/>
      <c r="P222" s="427"/>
      <c r="Q222" s="426"/>
      <c r="R222" s="427"/>
      <c r="S222" s="426"/>
      <c r="T222" s="425"/>
      <c r="U222" s="425"/>
      <c r="V222" s="425"/>
      <c r="W222" s="425"/>
      <c r="X222" s="425"/>
      <c r="Y222" s="425"/>
      <c r="Z222" s="427"/>
      <c r="AA222" s="426"/>
      <c r="AB222" s="427"/>
      <c r="AC222" s="426"/>
      <c r="AD222" s="427"/>
      <c r="AE222" s="426"/>
      <c r="AF222" s="427"/>
      <c r="AG222" s="426"/>
      <c r="AH222" s="428"/>
      <c r="AI222" s="426"/>
      <c r="AJ222" s="428"/>
      <c r="AK222" s="426"/>
      <c r="AL222" s="425"/>
      <c r="AM222" s="425"/>
      <c r="AN222" s="427"/>
      <c r="AO222" s="426"/>
      <c r="AP222" s="425"/>
      <c r="AQ222" s="429"/>
      <c r="AR222" s="427"/>
      <c r="AS222" s="425"/>
      <c r="AT222" s="425"/>
      <c r="AU222" s="425"/>
      <c r="AV222" s="425"/>
      <c r="AW222" s="425"/>
      <c r="AX222" s="425"/>
      <c r="AY222" s="427"/>
      <c r="AZ222" s="425"/>
      <c r="BA222" s="427"/>
      <c r="BB222" s="425"/>
      <c r="BC222" s="427"/>
      <c r="BD222" s="425"/>
      <c r="BE222" s="427"/>
      <c r="BF222" s="427"/>
      <c r="BG222" s="427"/>
      <c r="BH222" s="427"/>
      <c r="BI222" s="425"/>
      <c r="BJ222" s="425"/>
      <c r="BK222" s="425"/>
      <c r="BL222" s="426"/>
      <c r="BM222" s="425"/>
      <c r="BN222" s="426"/>
      <c r="BO222" s="426"/>
      <c r="BP222" s="426"/>
      <c r="BQ222" s="426"/>
      <c r="BR222" s="426"/>
      <c r="BS222" s="430"/>
      <c r="BT222" s="425"/>
      <c r="BU222" s="425"/>
      <c r="BV222" s="425"/>
      <c r="BW222" s="426"/>
      <c r="BX222" s="426"/>
      <c r="BY222" s="426"/>
      <c r="BZ222" s="426"/>
      <c r="CA222" s="427"/>
      <c r="CB222" s="427"/>
      <c r="CC222" s="426"/>
      <c r="CD222" s="425"/>
      <c r="CE222" s="425"/>
      <c r="CF222" s="427"/>
      <c r="CG222" s="427"/>
      <c r="CH222" s="427"/>
      <c r="CI222" s="427"/>
      <c r="CJ222" s="425"/>
      <c r="CK222" s="425"/>
      <c r="CL222" s="425"/>
      <c r="CM222" s="425"/>
      <c r="CN222" s="425"/>
      <c r="CO222" s="425"/>
      <c r="CP222" s="427"/>
      <c r="CQ222" s="425"/>
      <c r="CR222" s="427"/>
      <c r="CS222" s="425"/>
      <c r="CT222" s="427"/>
      <c r="CU222" s="425"/>
      <c r="CV222" s="425"/>
      <c r="CW222" s="427"/>
      <c r="CX222" s="425"/>
      <c r="CY222" s="427"/>
      <c r="CZ222" s="425"/>
      <c r="DA222" s="427"/>
      <c r="DB222" s="425"/>
      <c r="DC222" s="425"/>
      <c r="DD222" s="425"/>
      <c r="DE222" s="425"/>
      <c r="DF222" s="425"/>
    </row>
    <row r="223">
      <c r="A223" s="425"/>
      <c r="B223" s="425"/>
      <c r="C223" s="425"/>
      <c r="D223" s="425"/>
      <c r="E223" s="425"/>
      <c r="F223" s="425"/>
      <c r="G223" s="426"/>
      <c r="H223" s="426"/>
      <c r="I223" s="427"/>
      <c r="J223" s="427"/>
      <c r="K223" s="427"/>
      <c r="L223" s="427"/>
      <c r="M223" s="427"/>
      <c r="N223" s="427"/>
      <c r="O223" s="427"/>
      <c r="P223" s="427"/>
      <c r="Q223" s="426"/>
      <c r="R223" s="427"/>
      <c r="S223" s="426"/>
      <c r="T223" s="425"/>
      <c r="U223" s="425"/>
      <c r="V223" s="425"/>
      <c r="W223" s="425"/>
      <c r="X223" s="425"/>
      <c r="Y223" s="425"/>
      <c r="Z223" s="427"/>
      <c r="AA223" s="426"/>
      <c r="AB223" s="427"/>
      <c r="AC223" s="426"/>
      <c r="AD223" s="427"/>
      <c r="AE223" s="426"/>
      <c r="AF223" s="427"/>
      <c r="AG223" s="426"/>
      <c r="AH223" s="428"/>
      <c r="AI223" s="426"/>
      <c r="AJ223" s="428"/>
      <c r="AK223" s="426"/>
      <c r="AL223" s="425"/>
      <c r="AM223" s="425"/>
      <c r="AN223" s="427"/>
      <c r="AO223" s="426"/>
      <c r="AP223" s="425"/>
      <c r="AQ223" s="429"/>
      <c r="AR223" s="427"/>
      <c r="AS223" s="425"/>
      <c r="AT223" s="425"/>
      <c r="AU223" s="425"/>
      <c r="AV223" s="425"/>
      <c r="AW223" s="425"/>
      <c r="AX223" s="425"/>
      <c r="AY223" s="427"/>
      <c r="AZ223" s="425"/>
      <c r="BA223" s="427"/>
      <c r="BB223" s="425"/>
      <c r="BC223" s="427"/>
      <c r="BD223" s="425"/>
      <c r="BE223" s="427"/>
      <c r="BF223" s="427"/>
      <c r="BG223" s="427"/>
      <c r="BH223" s="427"/>
      <c r="BI223" s="425"/>
      <c r="BJ223" s="425"/>
      <c r="BK223" s="425"/>
      <c r="BL223" s="426"/>
      <c r="BM223" s="425"/>
      <c r="BN223" s="426"/>
      <c r="BO223" s="426"/>
      <c r="BP223" s="426"/>
      <c r="BQ223" s="426"/>
      <c r="BR223" s="426"/>
      <c r="BS223" s="430"/>
      <c r="BT223" s="425"/>
      <c r="BU223" s="425"/>
      <c r="BV223" s="425"/>
      <c r="BW223" s="426"/>
      <c r="BX223" s="426"/>
      <c r="BY223" s="426"/>
      <c r="BZ223" s="426"/>
      <c r="CA223" s="427"/>
      <c r="CB223" s="427"/>
      <c r="CC223" s="426"/>
      <c r="CD223" s="425"/>
      <c r="CE223" s="425"/>
      <c r="CF223" s="427"/>
      <c r="CG223" s="427"/>
      <c r="CH223" s="427"/>
      <c r="CI223" s="427"/>
      <c r="CJ223" s="425"/>
      <c r="CK223" s="425"/>
      <c r="CL223" s="425"/>
      <c r="CM223" s="425"/>
      <c r="CN223" s="425"/>
      <c r="CO223" s="425"/>
      <c r="CP223" s="427"/>
      <c r="CQ223" s="425"/>
      <c r="CR223" s="427"/>
      <c r="CS223" s="425"/>
      <c r="CT223" s="427"/>
      <c r="CU223" s="425"/>
      <c r="CV223" s="425"/>
      <c r="CW223" s="427"/>
      <c r="CX223" s="425"/>
      <c r="CY223" s="427"/>
      <c r="CZ223" s="425"/>
      <c r="DA223" s="427"/>
      <c r="DB223" s="425"/>
      <c r="DC223" s="425"/>
      <c r="DD223" s="425"/>
      <c r="DE223" s="425"/>
      <c r="DF223" s="425"/>
    </row>
    <row r="224">
      <c r="A224" s="425"/>
      <c r="B224" s="425"/>
      <c r="C224" s="425"/>
      <c r="D224" s="425"/>
      <c r="E224" s="425"/>
      <c r="F224" s="425"/>
      <c r="G224" s="426"/>
      <c r="H224" s="426"/>
      <c r="I224" s="427"/>
      <c r="J224" s="427"/>
      <c r="K224" s="427"/>
      <c r="L224" s="427"/>
      <c r="M224" s="427"/>
      <c r="N224" s="427"/>
      <c r="O224" s="427"/>
      <c r="P224" s="427"/>
      <c r="Q224" s="426"/>
      <c r="R224" s="427"/>
      <c r="S224" s="426"/>
      <c r="T224" s="425"/>
      <c r="U224" s="425"/>
      <c r="V224" s="425"/>
      <c r="W224" s="425"/>
      <c r="X224" s="425"/>
      <c r="Y224" s="425"/>
      <c r="Z224" s="427"/>
      <c r="AA224" s="426"/>
      <c r="AB224" s="427"/>
      <c r="AC224" s="426"/>
      <c r="AD224" s="427"/>
      <c r="AE224" s="426"/>
      <c r="AF224" s="427"/>
      <c r="AG224" s="426"/>
      <c r="AH224" s="428"/>
      <c r="AI224" s="426"/>
      <c r="AJ224" s="428"/>
      <c r="AK224" s="426"/>
      <c r="AL224" s="425"/>
      <c r="AM224" s="425"/>
      <c r="AN224" s="427"/>
      <c r="AO224" s="426"/>
      <c r="AP224" s="425"/>
      <c r="AQ224" s="429"/>
      <c r="AR224" s="427"/>
      <c r="AS224" s="425"/>
      <c r="AT224" s="425"/>
      <c r="AU224" s="425"/>
      <c r="AV224" s="425"/>
      <c r="AW224" s="425"/>
      <c r="AX224" s="425"/>
      <c r="AY224" s="427"/>
      <c r="AZ224" s="425"/>
      <c r="BA224" s="427"/>
      <c r="BB224" s="425"/>
      <c r="BC224" s="427"/>
      <c r="BD224" s="425"/>
      <c r="BE224" s="427"/>
      <c r="BF224" s="427"/>
      <c r="BG224" s="427"/>
      <c r="BH224" s="427"/>
      <c r="BI224" s="425"/>
      <c r="BJ224" s="425"/>
      <c r="BK224" s="425"/>
      <c r="BL224" s="426"/>
      <c r="BM224" s="425"/>
      <c r="BN224" s="426"/>
      <c r="BO224" s="426"/>
      <c r="BP224" s="426"/>
      <c r="BQ224" s="426"/>
      <c r="BR224" s="426"/>
      <c r="BS224" s="430"/>
      <c r="BT224" s="425"/>
      <c r="BU224" s="425"/>
      <c r="BV224" s="425"/>
      <c r="BW224" s="426"/>
      <c r="BX224" s="426"/>
      <c r="BY224" s="426"/>
      <c r="BZ224" s="426"/>
      <c r="CA224" s="427"/>
      <c r="CB224" s="427"/>
      <c r="CC224" s="426"/>
      <c r="CD224" s="425"/>
      <c r="CE224" s="425"/>
      <c r="CF224" s="427"/>
      <c r="CG224" s="427"/>
      <c r="CH224" s="427"/>
      <c r="CI224" s="427"/>
      <c r="CJ224" s="425"/>
      <c r="CK224" s="425"/>
      <c r="CL224" s="425"/>
      <c r="CM224" s="425"/>
      <c r="CN224" s="425"/>
      <c r="CO224" s="425"/>
      <c r="CP224" s="427"/>
      <c r="CQ224" s="425"/>
      <c r="CR224" s="427"/>
      <c r="CS224" s="425"/>
      <c r="CT224" s="427"/>
      <c r="CU224" s="425"/>
      <c r="CV224" s="425"/>
      <c r="CW224" s="427"/>
      <c r="CX224" s="425"/>
      <c r="CY224" s="427"/>
      <c r="CZ224" s="425"/>
      <c r="DA224" s="427"/>
      <c r="DB224" s="425"/>
      <c r="DC224" s="425"/>
      <c r="DD224" s="425"/>
      <c r="DE224" s="425"/>
      <c r="DF224" s="425"/>
    </row>
    <row r="225">
      <c r="A225" s="425"/>
      <c r="B225" s="425"/>
      <c r="C225" s="425"/>
      <c r="D225" s="425"/>
      <c r="E225" s="425"/>
      <c r="F225" s="425"/>
      <c r="G225" s="426"/>
      <c r="H225" s="426"/>
      <c r="I225" s="427"/>
      <c r="J225" s="427"/>
      <c r="K225" s="427"/>
      <c r="L225" s="427"/>
      <c r="M225" s="427"/>
      <c r="N225" s="427"/>
      <c r="O225" s="427"/>
      <c r="P225" s="427"/>
      <c r="Q225" s="426"/>
      <c r="R225" s="427"/>
      <c r="S225" s="426"/>
      <c r="T225" s="425"/>
      <c r="U225" s="425"/>
      <c r="V225" s="425"/>
      <c r="W225" s="425"/>
      <c r="X225" s="425"/>
      <c r="Y225" s="425"/>
      <c r="Z225" s="427"/>
      <c r="AA225" s="426"/>
      <c r="AB225" s="427"/>
      <c r="AC225" s="426"/>
      <c r="AD225" s="427"/>
      <c r="AE225" s="426"/>
      <c r="AF225" s="427"/>
      <c r="AG225" s="426"/>
      <c r="AH225" s="428"/>
      <c r="AI225" s="426"/>
      <c r="AJ225" s="428"/>
      <c r="AK225" s="426"/>
      <c r="AL225" s="425"/>
      <c r="AM225" s="425"/>
      <c r="AN225" s="427"/>
      <c r="AO225" s="426"/>
      <c r="AP225" s="425"/>
      <c r="AQ225" s="429"/>
      <c r="AR225" s="427"/>
      <c r="AS225" s="425"/>
      <c r="AT225" s="425"/>
      <c r="AU225" s="425"/>
      <c r="AV225" s="425"/>
      <c r="AW225" s="425"/>
      <c r="AX225" s="425"/>
      <c r="AY225" s="427"/>
      <c r="AZ225" s="425"/>
      <c r="BA225" s="427"/>
      <c r="BB225" s="425"/>
      <c r="BC225" s="427"/>
      <c r="BD225" s="425"/>
      <c r="BE225" s="427"/>
      <c r="BF225" s="427"/>
      <c r="BG225" s="427"/>
      <c r="BH225" s="427"/>
      <c r="BI225" s="425"/>
      <c r="BJ225" s="425"/>
      <c r="BK225" s="425"/>
      <c r="BL225" s="426"/>
      <c r="BM225" s="425"/>
      <c r="BN225" s="426"/>
      <c r="BO225" s="426"/>
      <c r="BP225" s="426"/>
      <c r="BQ225" s="426"/>
      <c r="BR225" s="426"/>
      <c r="BS225" s="430"/>
      <c r="BT225" s="425"/>
      <c r="BU225" s="425"/>
      <c r="BV225" s="425"/>
      <c r="BW225" s="426"/>
      <c r="BX225" s="426"/>
      <c r="BY225" s="426"/>
      <c r="BZ225" s="426"/>
      <c r="CA225" s="427"/>
      <c r="CB225" s="427"/>
      <c r="CC225" s="426"/>
      <c r="CD225" s="425"/>
      <c r="CE225" s="425"/>
      <c r="CF225" s="427"/>
      <c r="CG225" s="427"/>
      <c r="CH225" s="427"/>
      <c r="CI225" s="427"/>
      <c r="CJ225" s="425"/>
      <c r="CK225" s="425"/>
      <c r="CL225" s="425"/>
      <c r="CM225" s="425"/>
      <c r="CN225" s="425"/>
      <c r="CO225" s="425"/>
      <c r="CP225" s="427"/>
      <c r="CQ225" s="425"/>
      <c r="CR225" s="427"/>
      <c r="CS225" s="425"/>
      <c r="CT225" s="427"/>
      <c r="CU225" s="425"/>
      <c r="CV225" s="425"/>
      <c r="CW225" s="427"/>
      <c r="CX225" s="425"/>
      <c r="CY225" s="427"/>
      <c r="CZ225" s="425"/>
      <c r="DA225" s="427"/>
      <c r="DB225" s="425"/>
      <c r="DC225" s="425"/>
      <c r="DD225" s="425"/>
      <c r="DE225" s="425"/>
      <c r="DF225" s="425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5" min="15" style="0" width="24.2"/>
    <col collapsed="false" customWidth="true" hidden="false" max="31" min="31" style="0" width="24.2"/>
    <col collapsed="false" customWidth="true" hidden="false" max="47" min="47" style="0" width="17.933333333333334"/>
    <col collapsed="false" customWidth="true" hidden="false" max="64" min="64" style="0" width="17.933333333333334"/>
    <col collapsed="false" customWidth="true" hidden="false" max="80" min="80" style="0" width="17.933333333333334"/>
    <col collapsed="false" customWidth="true" hidden="false" max="96" min="96" style="0" width="17.933333333333334"/>
    <col collapsed="false" customWidth="true" hidden="false" max="2" min="2" style="0" width="24.2"/>
    <col collapsed="false" customWidth="true" hidden="false" max="18" min="18" style="0" width="24.2"/>
    <col collapsed="false" customWidth="true" hidden="false" max="63" min="63" style="0" width="17.933333333333334"/>
    <col collapsed="false" customWidth="true" hidden="false" max="79" min="79" style="0" width="17.933333333333334"/>
    <col collapsed="false" customWidth="true" hidden="false" max="95" min="95" style="0" width="17.933333333333334"/>
    <col collapsed="false" customWidth="true" hidden="false" max="1" min="1" style="0" width="24.2"/>
    <col collapsed="false" customWidth="true" hidden="false" max="17" min="17" style="0" width="24.2"/>
    <col collapsed="false" customWidth="true" hidden="false" max="34" min="34" style="0" width="17.933333333333334"/>
    <col collapsed="false" customWidth="true" hidden="false" max="50" min="50" style="0" width="17.933333333333334"/>
    <col collapsed="false" customWidth="true" hidden="false" max="66" min="66" style="0" width="17.933333333333334"/>
    <col collapsed="false" customWidth="true" hidden="false" max="82" min="82" style="0" width="17.933333333333334"/>
    <col collapsed="false" customWidth="true" hidden="false" max="4" min="4" style="0" width="24.2"/>
    <col collapsed="false" customWidth="true" hidden="false" max="20" min="20" style="0" width="24.2"/>
    <col collapsed="false" customWidth="true" hidden="false" max="33" min="33" style="0" width="17.933333333333334"/>
    <col collapsed="false" customWidth="true" hidden="false" max="49" min="49" style="0" width="17.933333333333334"/>
    <col collapsed="false" customWidth="true" hidden="false" max="65" min="65" style="0" width="17.933333333333334"/>
    <col collapsed="false" customWidth="true" hidden="false" max="81" min="81" style="0" width="17.933333333333334"/>
    <col collapsed="false" customWidth="true" hidden="false" max="98" min="98" style="0" width="17.933333333333334"/>
    <col collapsed="false" customWidth="true" hidden="false" max="3" min="3" style="0" width="24.2"/>
    <col collapsed="false" customWidth="true" hidden="false" max="19" min="19" style="0" width="24.2"/>
    <col collapsed="false" customWidth="true" hidden="false" max="36" min="36" style="0" width="17.933333333333334"/>
    <col collapsed="false" customWidth="true" hidden="false" max="52" min="52" style="0" width="17.933333333333334"/>
    <col collapsed="false" customWidth="true" hidden="false" max="68" min="68" style="0" width="17.933333333333334"/>
    <col collapsed="false" customWidth="true" hidden="false" max="84" min="84" style="0" width="17.933333333333334"/>
    <col collapsed="false" customWidth="true" hidden="false" max="97" min="97" style="0" width="17.933333333333334"/>
    <col collapsed="false" customWidth="true" hidden="false" max="6" min="6" style="0" width="24.2"/>
    <col collapsed="false" customWidth="true" hidden="false" max="22" min="22" style="0" width="24.2"/>
    <col collapsed="false" customWidth="true" hidden="false" max="35" min="35" style="0" width="17.933333333333334"/>
    <col collapsed="false" customWidth="true" hidden="false" max="51" min="51" style="0" width="17.933333333333334"/>
    <col collapsed="false" customWidth="true" hidden="false" max="67" min="67" style="0" width="17.933333333333334"/>
    <col collapsed="false" customWidth="true" hidden="false" max="83" min="83" style="0" width="17.933333333333334"/>
    <col collapsed="false" customWidth="true" hidden="false" max="100" min="100" style="0" width="17.933333333333334"/>
    <col collapsed="false" customWidth="true" hidden="false" max="5" min="5" style="0" width="24.2"/>
    <col collapsed="false" customWidth="true" hidden="false" max="21" min="21" style="0" width="24.2"/>
    <col collapsed="false" customWidth="true" hidden="false" max="38" min="38" style="0" width="17.933333333333334"/>
    <col collapsed="false" customWidth="true" hidden="false" max="54" min="54" style="0" width="17.933333333333334"/>
    <col collapsed="false" customWidth="true" hidden="false" max="70" min="70" style="0" width="17.933333333333334"/>
    <col collapsed="false" customWidth="true" hidden="false" max="86" min="86" style="0" width="17.933333333333334"/>
    <col collapsed="false" customWidth="true" hidden="false" max="99" min="99" style="0" width="17.933333333333334"/>
    <col collapsed="false" customWidth="true" hidden="false" max="8" min="8" style="0" width="24.2"/>
    <col collapsed="false" customWidth="true" hidden="false" max="24" min="24" style="0" width="24.2"/>
    <col collapsed="false" customWidth="true" hidden="false" max="37" min="37" style="0" width="17.933333333333334"/>
    <col collapsed="false" customWidth="true" hidden="false" max="53" min="53" style="0" width="17.933333333333334"/>
    <col collapsed="false" customWidth="true" hidden="false" max="69" min="69" style="0" width="17.933333333333334"/>
    <col collapsed="false" customWidth="true" hidden="false" max="85" min="85" style="0" width="17.933333333333334"/>
    <col collapsed="false" customWidth="true" hidden="false" max="102" min="102" style="0" width="17.933333333333334"/>
    <col collapsed="false" customWidth="true" hidden="false" max="7" min="7" style="0" width="24.2"/>
    <col collapsed="false" customWidth="true" hidden="false" max="23" min="23" style="0" width="24.2"/>
    <col collapsed="false" customWidth="true" hidden="false" max="40" min="40" style="0" width="17.933333333333334"/>
    <col collapsed="false" customWidth="true" hidden="false" max="56" min="56" style="0" width="17.933333333333334"/>
    <col collapsed="false" customWidth="true" hidden="false" max="72" min="72" style="0" width="17.933333333333334"/>
    <col collapsed="false" customWidth="true" hidden="false" max="88" min="88" style="0" width="17.933333333333334"/>
    <col collapsed="false" customWidth="true" hidden="false" max="101" min="101" style="0" width="17.933333333333334"/>
    <col collapsed="false" customWidth="true" hidden="false" max="104" min="104" style="0" width="17.933333333333334"/>
    <col collapsed="false" customWidth="true" hidden="false" max="10" min="10" style="0" width="24.2"/>
    <col collapsed="false" customWidth="true" hidden="false" max="26" min="26" style="0" width="24.2"/>
    <col collapsed="false" customWidth="true" hidden="false" max="39" min="39" style="0" width="17.933333333333334"/>
    <col collapsed="false" customWidth="true" hidden="false" max="55" min="55" style="0" width="17.933333333333334"/>
    <col collapsed="false" customWidth="true" hidden="false" max="71" min="71" style="0" width="17.933333333333334"/>
    <col collapsed="false" customWidth="true" hidden="false" max="87" min="87" style="0" width="17.933333333333334"/>
    <col collapsed="false" customWidth="true" hidden="false" max="103" min="103" style="0" width="17.933333333333334"/>
    <col collapsed="false" customWidth="true" hidden="false" max="9" min="9" style="0" width="24.2"/>
    <col collapsed="false" customWidth="true" hidden="false" max="25" min="25" style="0" width="24.2"/>
    <col collapsed="false" customWidth="true" hidden="false" max="42" min="42" style="0" width="17.933333333333334"/>
    <col collapsed="false" customWidth="true" hidden="false" max="58" min="58" style="0" width="17.933333333333334"/>
    <col collapsed="false" customWidth="true" hidden="false" max="74" min="74" style="0" width="17.933333333333334"/>
    <col collapsed="false" customWidth="true" hidden="false" max="90" min="90" style="0" width="17.933333333333334"/>
    <col collapsed="false" customWidth="true" hidden="false" max="106" min="106" style="0" width="17.933333333333334"/>
    <col collapsed="false" customWidth="true" hidden="false" max="12" min="12" style="0" width="24.2"/>
    <col collapsed="false" customWidth="true" hidden="false" max="28" min="28" style="0" width="24.2"/>
    <col collapsed="false" customWidth="true" hidden="false" max="41" min="41" style="0" width="17.933333333333334"/>
    <col collapsed="false" customWidth="true" hidden="false" max="57" min="57" style="0" width="17.933333333333334"/>
    <col collapsed="false" customWidth="true" hidden="false" max="73" min="73" style="0" width="17.933333333333334"/>
    <col collapsed="false" customWidth="true" hidden="false" max="89" min="89" style="0" width="17.933333333333334"/>
    <col collapsed="false" customWidth="true" hidden="false" max="105" min="105" style="0" width="17.933333333333334"/>
    <col collapsed="false" customWidth="true" hidden="false" max="11" min="11" style="0" width="24.2"/>
    <col collapsed="false" customWidth="true" hidden="false" max="27" min="27" style="0" width="24.2"/>
    <col collapsed="false" customWidth="true" hidden="false" max="44" min="44" style="0" width="17.933333333333334"/>
    <col collapsed="false" customWidth="true" hidden="false" max="60" min="60" style="0" width="17.933333333333334"/>
    <col collapsed="false" customWidth="true" hidden="false" max="76" min="76" style="0" width="17.933333333333334"/>
    <col collapsed="false" customWidth="true" hidden="false" max="92" min="92" style="0" width="17.933333333333334"/>
    <col collapsed="false" customWidth="true" hidden="false" max="108" min="108" style="0" width="17.933333333333334"/>
    <col collapsed="false" customWidth="true" hidden="false" max="14" min="14" style="0" width="24.2"/>
    <col collapsed="false" customWidth="true" hidden="false" max="30" min="30" style="0" width="24.2"/>
    <col collapsed="false" customWidth="true" hidden="false" max="43" min="43" style="0" width="17.933333333333334"/>
    <col collapsed="false" customWidth="true" hidden="false" max="59" min="59" style="0" width="17.933333333333334"/>
    <col collapsed="false" customWidth="true" hidden="false" max="75" min="75" style="0" width="17.933333333333334"/>
    <col collapsed="false" customWidth="true" hidden="false" max="91" min="91" style="0" width="17.933333333333334"/>
    <col collapsed="false" customWidth="true" hidden="false" max="107" min="107" style="0" width="17.933333333333334"/>
    <col collapsed="false" customWidth="true" hidden="false" max="110" min="110" style="0" width="17.933333333333334"/>
    <col collapsed="false" customWidth="true" hidden="false" max="13" min="13" style="0" width="24.2"/>
    <col collapsed="false" customWidth="true" hidden="false" max="29" min="29" style="0" width="24.2"/>
    <col collapsed="false" customWidth="true" hidden="false" max="45" min="45" style="0" width="17.933333333333334"/>
    <col collapsed="false" customWidth="true" hidden="false" max="46" min="46" style="0" width="17.933333333333334"/>
    <col collapsed="false" customWidth="true" hidden="false" max="62" min="62" style="0" width="17.933333333333334"/>
    <col collapsed="false" customWidth="true" hidden="false" max="78" min="78" style="0" width="17.933333333333334"/>
    <col collapsed="false" customWidth="true" hidden="false" max="94" min="94" style="0" width="17.933333333333334"/>
    <col collapsed="false" customWidth="true" hidden="false" max="16" min="16" style="0" width="24.2"/>
    <col collapsed="false" customWidth="true" hidden="false" max="32" min="32" style="0" width="17.933333333333334"/>
    <col collapsed="false" customWidth="true" hidden="false" max="48" min="48" style="0" width="17.933333333333334"/>
    <col collapsed="false" customWidth="true" hidden="false" max="61" min="61" style="0" width="17.933333333333334"/>
    <col collapsed="false" customWidth="true" hidden="false" max="77" min="77" style="0" width="17.933333333333334"/>
    <col collapsed="false" customWidth="true" hidden="false" max="93" min="93" style="0" width="17.933333333333334"/>
    <col collapsed="false" customWidth="true" hidden="false" max="109" min="109" style="0" width="17.933333333333334"/>
  </cols>
  <sheetData>
    <row customHeight="true" ht="16.296296296296294" r="1">
      <c r="A1" s="431" t="s">
        <v>765</v>
      </c>
      <c r="B1" s="431" t="s">
        <v>766</v>
      </c>
      <c r="C1" s="431" t="s">
        <v>767</v>
      </c>
      <c r="D1" s="431" t="s">
        <v>768</v>
      </c>
      <c r="E1" s="431" t="s">
        <v>769</v>
      </c>
      <c r="F1" s="431" t="s">
        <v>770</v>
      </c>
      <c r="G1" s="431" t="s">
        <v>771</v>
      </c>
      <c r="H1" s="431" t="s">
        <v>772</v>
      </c>
      <c r="I1" s="431" t="s">
        <v>773</v>
      </c>
      <c r="J1" s="431" t="s">
        <v>774</v>
      </c>
      <c r="K1" s="431" t="s">
        <v>775</v>
      </c>
      <c r="L1" s="431" t="s">
        <v>776</v>
      </c>
      <c r="M1" s="431" t="s">
        <v>777</v>
      </c>
      <c r="N1" s="431" t="s">
        <v>778</v>
      </c>
      <c r="O1" s="431" t="s">
        <v>779</v>
      </c>
      <c r="P1" s="431" t="s">
        <v>780</v>
      </c>
      <c r="Q1" s="431" t="s">
        <v>781</v>
      </c>
      <c r="R1" s="431" t="s">
        <v>782</v>
      </c>
      <c r="S1" s="431" t="s">
        <v>783</v>
      </c>
      <c r="T1" s="431" t="s">
        <v>784</v>
      </c>
      <c r="U1" s="431" t="s">
        <v>785</v>
      </c>
      <c r="V1" s="431" t="s">
        <v>786</v>
      </c>
      <c r="W1" s="431" t="s">
        <v>787</v>
      </c>
      <c r="X1" s="431" t="s">
        <v>788</v>
      </c>
      <c r="Y1" s="431" t="s">
        <v>789</v>
      </c>
      <c r="Z1" s="431" t="s">
        <v>790</v>
      </c>
      <c r="AA1" s="431" t="s">
        <v>791</v>
      </c>
      <c r="AB1" s="431" t="s">
        <v>792</v>
      </c>
      <c r="AC1" s="431" t="s">
        <v>793</v>
      </c>
      <c r="AD1" s="431" t="s">
        <v>794</v>
      </c>
      <c r="AE1" s="431" t="s">
        <v>795</v>
      </c>
      <c r="AF1" s="431" t="s">
        <v>796</v>
      </c>
      <c r="AG1" s="431" t="s">
        <v>797</v>
      </c>
      <c r="AH1" s="431" t="s">
        <v>798</v>
      </c>
      <c r="AI1" s="431" t="s">
        <v>799</v>
      </c>
      <c r="AJ1" s="431" t="s">
        <v>800</v>
      </c>
      <c r="AK1" s="431" t="s">
        <v>801</v>
      </c>
      <c r="AL1" s="431" t="s">
        <v>802</v>
      </c>
      <c r="AM1" s="431" t="s">
        <v>803</v>
      </c>
      <c r="AN1" s="431" t="s">
        <v>804</v>
      </c>
      <c r="AO1" s="431" t="s">
        <v>805</v>
      </c>
      <c r="AP1" s="431" t="s">
        <v>806</v>
      </c>
      <c r="AQ1" s="431" t="s">
        <v>807</v>
      </c>
      <c r="AR1" s="431" t="s">
        <v>808</v>
      </c>
      <c r="AS1" s="431" t="s">
        <v>809</v>
      </c>
      <c r="AT1" s="431" t="s">
        <v>810</v>
      </c>
      <c r="AU1" s="431" t="s">
        <v>811</v>
      </c>
      <c r="AV1" s="431" t="s">
        <v>812</v>
      </c>
      <c r="AW1" s="431" t="s">
        <v>813</v>
      </c>
      <c r="AX1" s="431" t="s">
        <v>814</v>
      </c>
      <c r="AY1" s="431" t="s">
        <v>815</v>
      </c>
      <c r="AZ1" s="431" t="s">
        <v>816</v>
      </c>
      <c r="BA1" s="431" t="s">
        <v>817</v>
      </c>
      <c r="BB1" s="431" t="s">
        <v>818</v>
      </c>
      <c r="BC1" s="431" t="s">
        <v>819</v>
      </c>
      <c r="BD1" s="431" t="s">
        <v>820</v>
      </c>
      <c r="BE1" s="431" t="s">
        <v>821</v>
      </c>
      <c r="BF1" s="431" t="s">
        <v>822</v>
      </c>
      <c r="BG1" s="431" t="s">
        <v>823</v>
      </c>
      <c r="BH1" s="431" t="s">
        <v>824</v>
      </c>
      <c r="BI1" s="431" t="s">
        <v>825</v>
      </c>
      <c r="BJ1" s="431" t="s">
        <v>826</v>
      </c>
      <c r="BK1" s="431" t="s">
        <v>827</v>
      </c>
      <c r="BL1" s="431" t="s">
        <v>828</v>
      </c>
      <c r="BM1" s="431" t="s">
        <v>829</v>
      </c>
      <c r="BN1" s="431" t="s">
        <v>830</v>
      </c>
      <c r="BO1" s="431" t="s">
        <v>831</v>
      </c>
      <c r="BP1" s="431" t="s">
        <v>832</v>
      </c>
      <c r="BQ1" s="431" t="s">
        <v>833</v>
      </c>
      <c r="BR1" s="431" t="s">
        <v>834</v>
      </c>
      <c r="BS1" s="431" t="s">
        <v>835</v>
      </c>
      <c r="BT1" s="431" t="s">
        <v>836</v>
      </c>
      <c r="BU1" s="431" t="s">
        <v>837</v>
      </c>
      <c r="BV1" s="431" t="s">
        <v>838</v>
      </c>
      <c r="BW1" s="431" t="s">
        <v>839</v>
      </c>
      <c r="BX1" s="431" t="s">
        <v>840</v>
      </c>
      <c r="BY1" s="431" t="s">
        <v>841</v>
      </c>
      <c r="BZ1" s="431" t="s">
        <v>842</v>
      </c>
      <c r="CA1" s="431" t="s">
        <v>843</v>
      </c>
      <c r="CB1" s="431" t="s">
        <v>844</v>
      </c>
      <c r="CC1" s="431" t="s">
        <v>845</v>
      </c>
      <c r="CD1" s="431" t="s">
        <v>846</v>
      </c>
      <c r="CE1" s="431" t="s">
        <v>847</v>
      </c>
      <c r="CF1" s="431" t="s">
        <v>848</v>
      </c>
      <c r="CG1" s="431" t="s">
        <v>849</v>
      </c>
      <c r="CH1" s="431" t="s">
        <v>850</v>
      </c>
      <c r="CI1" s="431" t="s">
        <v>851</v>
      </c>
      <c r="CJ1" s="431" t="s">
        <v>852</v>
      </c>
      <c r="CK1" s="431" t="s">
        <v>853</v>
      </c>
      <c r="CL1" s="431" t="s">
        <v>854</v>
      </c>
      <c r="CM1" s="431" t="s">
        <v>855</v>
      </c>
      <c r="CN1" s="431" t="s">
        <v>856</v>
      </c>
      <c r="CO1" s="431" t="s">
        <v>857</v>
      </c>
      <c r="CP1" s="431" t="s">
        <v>858</v>
      </c>
      <c r="CQ1" s="431" t="s">
        <v>859</v>
      </c>
      <c r="CR1" s="431" t="s">
        <v>860</v>
      </c>
      <c r="CS1" s="431" t="s">
        <v>861</v>
      </c>
      <c r="CT1" s="431" t="s">
        <v>862</v>
      </c>
      <c r="CU1" s="431" t="s">
        <v>863</v>
      </c>
      <c r="CV1" s="431" t="s">
        <v>864</v>
      </c>
      <c r="CW1" s="431" t="s">
        <v>865</v>
      </c>
      <c r="CX1" s="431" t="s">
        <v>866</v>
      </c>
      <c r="CY1" s="431" t="s">
        <v>867</v>
      </c>
      <c r="CZ1" s="431" t="s">
        <v>868</v>
      </c>
      <c r="DA1" s="431" t="s">
        <v>869</v>
      </c>
      <c r="DB1" s="431" t="s">
        <v>870</v>
      </c>
      <c r="DC1" s="431" t="s">
        <v>871</v>
      </c>
      <c r="DD1" s="431" t="s">
        <v>872</v>
      </c>
      <c r="DE1" s="431" t="s">
        <v>873</v>
      </c>
      <c r="DF1" s="431" t="s">
        <v>874</v>
      </c>
    </row>
    <row customHeight="true" ht="16.296296296296294" r="2">
      <c r="A2" s="432" t="s">
        <v>875</v>
      </c>
      <c r="B2" s="432" t="s">
        <v>876</v>
      </c>
      <c r="C2" s="432" t="s">
        <v>877</v>
      </c>
      <c r="D2" s="432" t="s">
        <v>877</v>
      </c>
      <c r="E2" s="432" t="s">
        <v>876</v>
      </c>
      <c r="F2" s="432" t="s">
        <v>878</v>
      </c>
      <c r="G2" s="433">
        <v>0</v>
      </c>
      <c r="H2" s="433">
        <v>0</v>
      </c>
      <c r="I2" s="434">
        <v>0</v>
      </c>
      <c r="J2" s="434">
        <v>0</v>
      </c>
      <c r="K2" s="434">
        <v>0</v>
      </c>
      <c r="L2" s="434">
        <v>0</v>
      </c>
      <c r="M2" s="434">
        <v>0</v>
      </c>
      <c r="N2" s="434">
        <v>0</v>
      </c>
      <c r="O2" s="434">
        <v>0</v>
      </c>
      <c r="P2" s="434">
        <v>0</v>
      </c>
      <c r="Q2" s="433">
        <v>0</v>
      </c>
      <c r="R2" s="434">
        <v>0</v>
      </c>
      <c r="S2" s="433">
        <v>0</v>
      </c>
      <c r="T2" s="432" t="s">
        <v>879</v>
      </c>
      <c r="U2" s="432" t="s">
        <v>879</v>
      </c>
      <c r="V2" s="432" t="s">
        <v>879</v>
      </c>
      <c r="W2" s="432" t="s">
        <v>879</v>
      </c>
      <c r="X2" s="432" t="s">
        <v>879</v>
      </c>
      <c r="Y2" s="432" t="s">
        <v>879</v>
      </c>
      <c r="Z2" s="434">
        <v>0</v>
      </c>
      <c r="AA2" s="433">
        <v>0</v>
      </c>
      <c r="AB2" s="434">
        <v>0</v>
      </c>
      <c r="AC2" s="433">
        <v>0</v>
      </c>
      <c r="AD2" s="434">
        <v>0</v>
      </c>
      <c r="AE2" s="433">
        <v>0</v>
      </c>
      <c r="AF2" s="434">
        <v>0</v>
      </c>
      <c r="AG2" s="433">
        <v>0</v>
      </c>
      <c r="AH2" s="435">
        <v>0</v>
      </c>
      <c r="AI2" s="433">
        <v>0</v>
      </c>
      <c r="AJ2" s="435">
        <v>0</v>
      </c>
      <c r="AK2" s="433">
        <v>0</v>
      </c>
      <c r="AL2" s="432"/>
      <c r="AM2" s="432"/>
      <c r="AN2" s="434">
        <v>0</v>
      </c>
      <c r="AO2" s="433">
        <v>0</v>
      </c>
      <c r="AP2" s="432" t="s">
        <v>879</v>
      </c>
      <c r="AQ2" s="436">
        <v>0</v>
      </c>
      <c r="AR2" s="434">
        <v>0</v>
      </c>
      <c r="AS2" s="432" t="s">
        <v>879</v>
      </c>
      <c r="AT2" s="432" t="s">
        <v>880</v>
      </c>
      <c r="AU2" s="432" t="s">
        <v>880</v>
      </c>
      <c r="AV2" s="432" t="s">
        <v>880</v>
      </c>
      <c r="AW2" s="432" t="s">
        <v>880</v>
      </c>
      <c r="AX2" s="432" t="s">
        <v>880</v>
      </c>
      <c r="AY2" s="434">
        <v>0</v>
      </c>
      <c r="AZ2" s="432" t="s">
        <v>879</v>
      </c>
      <c r="BA2" s="434">
        <v>0</v>
      </c>
      <c r="BB2" s="432" t="s">
        <v>879</v>
      </c>
      <c r="BC2" s="434">
        <v>0</v>
      </c>
      <c r="BD2" s="432" t="s">
        <v>879</v>
      </c>
      <c r="BE2" s="434">
        <v>0</v>
      </c>
      <c r="BF2" s="434">
        <v>0</v>
      </c>
      <c r="BG2" s="434">
        <v>0</v>
      </c>
      <c r="BH2" s="434">
        <v>0</v>
      </c>
      <c r="BI2" s="432" t="s">
        <v>879</v>
      </c>
      <c r="BJ2" s="432" t="s">
        <v>879</v>
      </c>
      <c r="BK2" s="432" t="s">
        <v>879</v>
      </c>
      <c r="BL2" s="433">
        <v>0</v>
      </c>
      <c r="BM2" s="432" t="s">
        <v>879</v>
      </c>
      <c r="BN2" s="433">
        <v>0</v>
      </c>
      <c r="BO2" s="433">
        <v>0</v>
      </c>
      <c r="BP2" s="433">
        <v>0</v>
      </c>
      <c r="BQ2" s="433">
        <v>0</v>
      </c>
      <c r="BR2" s="433">
        <v>0</v>
      </c>
      <c r="BS2" s="437">
        <v>0</v>
      </c>
      <c r="BT2" s="432" t="s">
        <v>879</v>
      </c>
      <c r="BU2" s="432" t="s">
        <v>879</v>
      </c>
      <c r="BV2" s="432" t="s">
        <v>879</v>
      </c>
      <c r="BW2" s="433">
        <v>0</v>
      </c>
      <c r="BX2" s="433">
        <v>0</v>
      </c>
      <c r="BY2" s="433">
        <v>0</v>
      </c>
      <c r="BZ2" s="433">
        <v>0</v>
      </c>
      <c r="CA2" s="434">
        <v>0</v>
      </c>
      <c r="CB2" s="434">
        <v>0</v>
      </c>
      <c r="CC2" s="433">
        <v>0</v>
      </c>
      <c r="CD2" s="432" t="s">
        <v>879</v>
      </c>
      <c r="CE2" s="432" t="s">
        <v>879</v>
      </c>
      <c r="CF2" s="434">
        <v>0</v>
      </c>
      <c r="CG2" s="434">
        <v>0</v>
      </c>
      <c r="CH2" s="434">
        <v>0</v>
      </c>
      <c r="CI2" s="434">
        <v>0</v>
      </c>
      <c r="CJ2" s="432" t="s">
        <v>879</v>
      </c>
      <c r="CK2" s="432" t="s">
        <v>879</v>
      </c>
      <c r="CL2" s="432" t="s">
        <v>879</v>
      </c>
      <c r="CM2" s="432" t="s">
        <v>879</v>
      </c>
      <c r="CN2" s="432" t="s">
        <v>879</v>
      </c>
      <c r="CO2" s="432" t="s">
        <v>879</v>
      </c>
      <c r="CP2" s="434">
        <v>0</v>
      </c>
      <c r="CQ2" s="432" t="s">
        <v>879</v>
      </c>
      <c r="CR2" s="434">
        <v>0</v>
      </c>
      <c r="CS2" s="432" t="s">
        <v>879</v>
      </c>
      <c r="CT2" s="434">
        <v>0</v>
      </c>
      <c r="CU2" s="432" t="s">
        <v>879</v>
      </c>
      <c r="CV2" s="432" t="s">
        <v>879</v>
      </c>
      <c r="CW2" s="434">
        <v>0</v>
      </c>
      <c r="CX2" s="432" t="s">
        <v>879</v>
      </c>
      <c r="CY2" s="434">
        <v>0</v>
      </c>
      <c r="CZ2" s="432" t="s">
        <v>879</v>
      </c>
      <c r="DA2" s="434">
        <v>0</v>
      </c>
      <c r="DB2" s="432" t="s">
        <v>879</v>
      </c>
      <c r="DC2" s="432" t="s">
        <v>879</v>
      </c>
      <c r="DD2" s="432" t="s">
        <v>879</v>
      </c>
      <c r="DE2" s="432" t="s">
        <v>879</v>
      </c>
      <c r="DF2" s="432"/>
    </row>
    <row customHeight="true" ht="16.296296296296294" r="3">
      <c r="A3" s="432" t="s">
        <v>881</v>
      </c>
      <c r="B3" s="432" t="s">
        <v>876</v>
      </c>
      <c r="C3" s="432" t="s">
        <v>877</v>
      </c>
      <c r="D3" s="432" t="s">
        <v>877</v>
      </c>
      <c r="E3" s="432" t="s">
        <v>876</v>
      </c>
      <c r="F3" s="432" t="s">
        <v>878</v>
      </c>
      <c r="G3" s="433">
        <v>0</v>
      </c>
      <c r="H3" s="433">
        <v>0</v>
      </c>
      <c r="I3" s="434">
        <v>0</v>
      </c>
      <c r="J3" s="434">
        <v>0</v>
      </c>
      <c r="K3" s="434">
        <v>0</v>
      </c>
      <c r="L3" s="434">
        <v>0</v>
      </c>
      <c r="M3" s="434">
        <v>0</v>
      </c>
      <c r="N3" s="434">
        <v>0</v>
      </c>
      <c r="O3" s="434">
        <v>0</v>
      </c>
      <c r="P3" s="434">
        <v>0</v>
      </c>
      <c r="Q3" s="433">
        <v>0</v>
      </c>
      <c r="R3" s="434">
        <v>0</v>
      </c>
      <c r="S3" s="433">
        <v>0</v>
      </c>
      <c r="T3" s="432" t="s">
        <v>879</v>
      </c>
      <c r="U3" s="432" t="s">
        <v>879</v>
      </c>
      <c r="V3" s="432" t="s">
        <v>879</v>
      </c>
      <c r="W3" s="432" t="s">
        <v>879</v>
      </c>
      <c r="X3" s="432" t="s">
        <v>879</v>
      </c>
      <c r="Y3" s="432" t="s">
        <v>879</v>
      </c>
      <c r="Z3" s="434">
        <v>0</v>
      </c>
      <c r="AA3" s="433">
        <v>0</v>
      </c>
      <c r="AB3" s="434">
        <v>0</v>
      </c>
      <c r="AC3" s="433">
        <v>0</v>
      </c>
      <c r="AD3" s="434">
        <v>0</v>
      </c>
      <c r="AE3" s="433">
        <v>0</v>
      </c>
      <c r="AF3" s="434">
        <v>0</v>
      </c>
      <c r="AG3" s="433">
        <v>0</v>
      </c>
      <c r="AH3" s="435">
        <v>0</v>
      </c>
      <c r="AI3" s="433">
        <v>0</v>
      </c>
      <c r="AJ3" s="435">
        <v>0</v>
      </c>
      <c r="AK3" s="433">
        <v>0</v>
      </c>
      <c r="AL3" s="432"/>
      <c r="AM3" s="432"/>
      <c r="AN3" s="434">
        <v>0</v>
      </c>
      <c r="AO3" s="433">
        <v>0</v>
      </c>
      <c r="AP3" s="432" t="s">
        <v>879</v>
      </c>
      <c r="AQ3" s="436">
        <v>0</v>
      </c>
      <c r="AR3" s="434">
        <v>0</v>
      </c>
      <c r="AS3" s="432" t="s">
        <v>879</v>
      </c>
      <c r="AT3" s="432" t="s">
        <v>880</v>
      </c>
      <c r="AU3" s="432" t="s">
        <v>880</v>
      </c>
      <c r="AV3" s="432" t="s">
        <v>880</v>
      </c>
      <c r="AW3" s="432" t="s">
        <v>880</v>
      </c>
      <c r="AX3" s="432" t="s">
        <v>880</v>
      </c>
      <c r="AY3" s="434">
        <v>0</v>
      </c>
      <c r="AZ3" s="432" t="s">
        <v>879</v>
      </c>
      <c r="BA3" s="434">
        <v>0</v>
      </c>
      <c r="BB3" s="432" t="s">
        <v>879</v>
      </c>
      <c r="BC3" s="434">
        <v>0</v>
      </c>
      <c r="BD3" s="432" t="s">
        <v>879</v>
      </c>
      <c r="BE3" s="434">
        <v>0</v>
      </c>
      <c r="BF3" s="434">
        <v>0</v>
      </c>
      <c r="BG3" s="434">
        <v>0</v>
      </c>
      <c r="BH3" s="434">
        <v>0</v>
      </c>
      <c r="BI3" s="432" t="s">
        <v>879</v>
      </c>
      <c r="BJ3" s="432" t="s">
        <v>879</v>
      </c>
      <c r="BK3" s="432" t="s">
        <v>879</v>
      </c>
      <c r="BL3" s="433">
        <v>0</v>
      </c>
      <c r="BM3" s="432" t="s">
        <v>879</v>
      </c>
      <c r="BN3" s="433">
        <v>0</v>
      </c>
      <c r="BO3" s="433">
        <v>0</v>
      </c>
      <c r="BP3" s="433">
        <v>0</v>
      </c>
      <c r="BQ3" s="433">
        <v>0</v>
      </c>
      <c r="BR3" s="433">
        <v>0</v>
      </c>
      <c r="BS3" s="437">
        <v>0</v>
      </c>
      <c r="BT3" s="432" t="s">
        <v>879</v>
      </c>
      <c r="BU3" s="432" t="s">
        <v>879</v>
      </c>
      <c r="BV3" s="432" t="s">
        <v>879</v>
      </c>
      <c r="BW3" s="433">
        <v>0</v>
      </c>
      <c r="BX3" s="433">
        <v>0</v>
      </c>
      <c r="BY3" s="433">
        <v>0</v>
      </c>
      <c r="BZ3" s="433">
        <v>0</v>
      </c>
      <c r="CA3" s="434">
        <v>0</v>
      </c>
      <c r="CB3" s="434">
        <v>0</v>
      </c>
      <c r="CC3" s="433">
        <v>0</v>
      </c>
      <c r="CD3" s="432" t="s">
        <v>879</v>
      </c>
      <c r="CE3" s="432" t="s">
        <v>879</v>
      </c>
      <c r="CF3" s="434">
        <v>0</v>
      </c>
      <c r="CG3" s="434">
        <v>0</v>
      </c>
      <c r="CH3" s="434">
        <v>0</v>
      </c>
      <c r="CI3" s="434">
        <v>0</v>
      </c>
      <c r="CJ3" s="432" t="s">
        <v>879</v>
      </c>
      <c r="CK3" s="432" t="s">
        <v>879</v>
      </c>
      <c r="CL3" s="432" t="s">
        <v>879</v>
      </c>
      <c r="CM3" s="432" t="s">
        <v>879</v>
      </c>
      <c r="CN3" s="432" t="s">
        <v>879</v>
      </c>
      <c r="CO3" s="432" t="s">
        <v>879</v>
      </c>
      <c r="CP3" s="434">
        <v>0</v>
      </c>
      <c r="CQ3" s="432" t="s">
        <v>879</v>
      </c>
      <c r="CR3" s="434">
        <v>0</v>
      </c>
      <c r="CS3" s="432" t="s">
        <v>879</v>
      </c>
      <c r="CT3" s="434">
        <v>0</v>
      </c>
      <c r="CU3" s="432" t="s">
        <v>879</v>
      </c>
      <c r="CV3" s="432" t="s">
        <v>879</v>
      </c>
      <c r="CW3" s="434">
        <v>0</v>
      </c>
      <c r="CX3" s="432" t="s">
        <v>879</v>
      </c>
      <c r="CY3" s="434">
        <v>0</v>
      </c>
      <c r="CZ3" s="432" t="s">
        <v>879</v>
      </c>
      <c r="DA3" s="434">
        <v>0</v>
      </c>
      <c r="DB3" s="432" t="s">
        <v>879</v>
      </c>
      <c r="DC3" s="432" t="s">
        <v>879</v>
      </c>
      <c r="DD3" s="432" t="s">
        <v>879</v>
      </c>
      <c r="DE3" s="432" t="s">
        <v>879</v>
      </c>
      <c r="DF3" s="432"/>
    </row>
    <row customHeight="true" ht="16.296296296296294" r="4">
      <c r="A4" s="432" t="s">
        <v>882</v>
      </c>
      <c r="B4" s="432" t="s">
        <v>876</v>
      </c>
      <c r="C4" s="432" t="s">
        <v>877</v>
      </c>
      <c r="D4" s="432" t="s">
        <v>877</v>
      </c>
      <c r="E4" s="432" t="s">
        <v>876</v>
      </c>
      <c r="F4" s="432" t="s">
        <v>878</v>
      </c>
      <c r="G4" s="433">
        <v>0</v>
      </c>
      <c r="H4" s="433">
        <v>0</v>
      </c>
      <c r="I4" s="434">
        <v>0</v>
      </c>
      <c r="J4" s="434">
        <v>0</v>
      </c>
      <c r="K4" s="434">
        <v>0</v>
      </c>
      <c r="L4" s="434">
        <v>0</v>
      </c>
      <c r="M4" s="434">
        <v>0</v>
      </c>
      <c r="N4" s="434">
        <v>0</v>
      </c>
      <c r="O4" s="434">
        <v>0</v>
      </c>
      <c r="P4" s="434">
        <v>0</v>
      </c>
      <c r="Q4" s="433">
        <v>0</v>
      </c>
      <c r="R4" s="434">
        <v>0</v>
      </c>
      <c r="S4" s="433">
        <v>0</v>
      </c>
      <c r="T4" s="432" t="s">
        <v>879</v>
      </c>
      <c r="U4" s="432" t="s">
        <v>879</v>
      </c>
      <c r="V4" s="432" t="s">
        <v>879</v>
      </c>
      <c r="W4" s="432" t="s">
        <v>879</v>
      </c>
      <c r="X4" s="432" t="s">
        <v>879</v>
      </c>
      <c r="Y4" s="432" t="s">
        <v>879</v>
      </c>
      <c r="Z4" s="434">
        <v>0</v>
      </c>
      <c r="AA4" s="433">
        <v>0</v>
      </c>
      <c r="AB4" s="434">
        <v>0</v>
      </c>
      <c r="AC4" s="433">
        <v>0</v>
      </c>
      <c r="AD4" s="434">
        <v>0</v>
      </c>
      <c r="AE4" s="433">
        <v>0</v>
      </c>
      <c r="AF4" s="434">
        <v>0</v>
      </c>
      <c r="AG4" s="433">
        <v>0</v>
      </c>
      <c r="AH4" s="435">
        <v>0</v>
      </c>
      <c r="AI4" s="433">
        <v>0</v>
      </c>
      <c r="AJ4" s="435">
        <v>0</v>
      </c>
      <c r="AK4" s="433">
        <v>0</v>
      </c>
      <c r="AL4" s="432"/>
      <c r="AM4" s="432"/>
      <c r="AN4" s="434">
        <v>0</v>
      </c>
      <c r="AO4" s="433">
        <v>0</v>
      </c>
      <c r="AP4" s="432" t="s">
        <v>879</v>
      </c>
      <c r="AQ4" s="436">
        <v>0</v>
      </c>
      <c r="AR4" s="434">
        <v>0</v>
      </c>
      <c r="AS4" s="432" t="s">
        <v>879</v>
      </c>
      <c r="AT4" s="432" t="s">
        <v>880</v>
      </c>
      <c r="AU4" s="432" t="s">
        <v>880</v>
      </c>
      <c r="AV4" s="432" t="s">
        <v>880</v>
      </c>
      <c r="AW4" s="432" t="s">
        <v>880</v>
      </c>
      <c r="AX4" s="432" t="s">
        <v>880</v>
      </c>
      <c r="AY4" s="434">
        <v>0</v>
      </c>
      <c r="AZ4" s="432" t="s">
        <v>879</v>
      </c>
      <c r="BA4" s="434">
        <v>0</v>
      </c>
      <c r="BB4" s="432" t="s">
        <v>879</v>
      </c>
      <c r="BC4" s="434">
        <v>0</v>
      </c>
      <c r="BD4" s="432" t="s">
        <v>879</v>
      </c>
      <c r="BE4" s="434">
        <v>0</v>
      </c>
      <c r="BF4" s="434">
        <v>0</v>
      </c>
      <c r="BG4" s="434">
        <v>0</v>
      </c>
      <c r="BH4" s="434">
        <v>0</v>
      </c>
      <c r="BI4" s="432" t="s">
        <v>879</v>
      </c>
      <c r="BJ4" s="432" t="s">
        <v>879</v>
      </c>
      <c r="BK4" s="432" t="s">
        <v>879</v>
      </c>
      <c r="BL4" s="433">
        <v>0</v>
      </c>
      <c r="BM4" s="432" t="s">
        <v>879</v>
      </c>
      <c r="BN4" s="433">
        <v>0</v>
      </c>
      <c r="BO4" s="433">
        <v>0</v>
      </c>
      <c r="BP4" s="433">
        <v>0</v>
      </c>
      <c r="BQ4" s="433">
        <v>0</v>
      </c>
      <c r="BR4" s="433">
        <v>0</v>
      </c>
      <c r="BS4" s="437">
        <v>0</v>
      </c>
      <c r="BT4" s="432" t="s">
        <v>879</v>
      </c>
      <c r="BU4" s="432" t="s">
        <v>879</v>
      </c>
      <c r="BV4" s="432" t="s">
        <v>879</v>
      </c>
      <c r="BW4" s="433">
        <v>0</v>
      </c>
      <c r="BX4" s="433">
        <v>0</v>
      </c>
      <c r="BY4" s="433">
        <v>0</v>
      </c>
      <c r="BZ4" s="433">
        <v>0</v>
      </c>
      <c r="CA4" s="434">
        <v>0</v>
      </c>
      <c r="CB4" s="434">
        <v>0</v>
      </c>
      <c r="CC4" s="433">
        <v>0</v>
      </c>
      <c r="CD4" s="432" t="s">
        <v>879</v>
      </c>
      <c r="CE4" s="432" t="s">
        <v>879</v>
      </c>
      <c r="CF4" s="434">
        <v>0</v>
      </c>
      <c r="CG4" s="434">
        <v>0</v>
      </c>
      <c r="CH4" s="434">
        <v>0</v>
      </c>
      <c r="CI4" s="434">
        <v>0</v>
      </c>
      <c r="CJ4" s="432" t="s">
        <v>879</v>
      </c>
      <c r="CK4" s="432" t="s">
        <v>879</v>
      </c>
      <c r="CL4" s="432" t="s">
        <v>879</v>
      </c>
      <c r="CM4" s="432" t="s">
        <v>879</v>
      </c>
      <c r="CN4" s="432" t="s">
        <v>879</v>
      </c>
      <c r="CO4" s="432" t="s">
        <v>879</v>
      </c>
      <c r="CP4" s="434">
        <v>0</v>
      </c>
      <c r="CQ4" s="432" t="s">
        <v>879</v>
      </c>
      <c r="CR4" s="434">
        <v>0</v>
      </c>
      <c r="CS4" s="432" t="s">
        <v>879</v>
      </c>
      <c r="CT4" s="434">
        <v>0</v>
      </c>
      <c r="CU4" s="432" t="s">
        <v>879</v>
      </c>
      <c r="CV4" s="432" t="s">
        <v>879</v>
      </c>
      <c r="CW4" s="434">
        <v>0</v>
      </c>
      <c r="CX4" s="432" t="s">
        <v>879</v>
      </c>
      <c r="CY4" s="434">
        <v>0</v>
      </c>
      <c r="CZ4" s="432" t="s">
        <v>879</v>
      </c>
      <c r="DA4" s="434">
        <v>0</v>
      </c>
      <c r="DB4" s="432" t="s">
        <v>879</v>
      </c>
      <c r="DC4" s="432" t="s">
        <v>879</v>
      </c>
      <c r="DD4" s="432" t="s">
        <v>879</v>
      </c>
      <c r="DE4" s="432" t="s">
        <v>879</v>
      </c>
      <c r="DF4" s="432"/>
    </row>
    <row customHeight="true" ht="16.296296296296294" r="5">
      <c r="A5" s="432" t="s">
        <v>883</v>
      </c>
      <c r="B5" s="432" t="s">
        <v>876</v>
      </c>
      <c r="C5" s="432" t="s">
        <v>877</v>
      </c>
      <c r="D5" s="432" t="s">
        <v>877</v>
      </c>
      <c r="E5" s="432" t="s">
        <v>876</v>
      </c>
      <c r="F5" s="432" t="s">
        <v>878</v>
      </c>
      <c r="G5" s="433">
        <v>0</v>
      </c>
      <c r="H5" s="433">
        <v>0</v>
      </c>
      <c r="I5" s="434">
        <v>0</v>
      </c>
      <c r="J5" s="434">
        <v>0</v>
      </c>
      <c r="K5" s="434">
        <v>0</v>
      </c>
      <c r="L5" s="434">
        <v>0</v>
      </c>
      <c r="M5" s="434">
        <v>0</v>
      </c>
      <c r="N5" s="434">
        <v>0</v>
      </c>
      <c r="O5" s="434">
        <v>0</v>
      </c>
      <c r="P5" s="434">
        <v>0</v>
      </c>
      <c r="Q5" s="433">
        <v>0</v>
      </c>
      <c r="R5" s="434">
        <v>0</v>
      </c>
      <c r="S5" s="433">
        <v>0</v>
      </c>
      <c r="T5" s="432" t="s">
        <v>879</v>
      </c>
      <c r="U5" s="432" t="s">
        <v>879</v>
      </c>
      <c r="V5" s="432" t="s">
        <v>879</v>
      </c>
      <c r="W5" s="432" t="s">
        <v>879</v>
      </c>
      <c r="X5" s="432" t="s">
        <v>879</v>
      </c>
      <c r="Y5" s="432" t="s">
        <v>879</v>
      </c>
      <c r="Z5" s="434">
        <v>0</v>
      </c>
      <c r="AA5" s="433">
        <v>0</v>
      </c>
      <c r="AB5" s="434">
        <v>0</v>
      </c>
      <c r="AC5" s="433">
        <v>0</v>
      </c>
      <c r="AD5" s="434">
        <v>0</v>
      </c>
      <c r="AE5" s="433">
        <v>0</v>
      </c>
      <c r="AF5" s="434">
        <v>0</v>
      </c>
      <c r="AG5" s="433">
        <v>0</v>
      </c>
      <c r="AH5" s="435">
        <v>0</v>
      </c>
      <c r="AI5" s="433">
        <v>0</v>
      </c>
      <c r="AJ5" s="435">
        <v>0</v>
      </c>
      <c r="AK5" s="433">
        <v>0</v>
      </c>
      <c r="AL5" s="432"/>
      <c r="AM5" s="432"/>
      <c r="AN5" s="434">
        <v>0</v>
      </c>
      <c r="AO5" s="433">
        <v>0</v>
      </c>
      <c r="AP5" s="432" t="s">
        <v>879</v>
      </c>
      <c r="AQ5" s="436">
        <v>0</v>
      </c>
      <c r="AR5" s="434">
        <v>0</v>
      </c>
      <c r="AS5" s="432" t="s">
        <v>879</v>
      </c>
      <c r="AT5" s="432" t="s">
        <v>880</v>
      </c>
      <c r="AU5" s="432" t="s">
        <v>880</v>
      </c>
      <c r="AV5" s="432" t="s">
        <v>880</v>
      </c>
      <c r="AW5" s="432" t="s">
        <v>880</v>
      </c>
      <c r="AX5" s="432" t="s">
        <v>880</v>
      </c>
      <c r="AY5" s="434">
        <v>0</v>
      </c>
      <c r="AZ5" s="432" t="s">
        <v>879</v>
      </c>
      <c r="BA5" s="434">
        <v>0</v>
      </c>
      <c r="BB5" s="432" t="s">
        <v>879</v>
      </c>
      <c r="BC5" s="434">
        <v>0</v>
      </c>
      <c r="BD5" s="432" t="s">
        <v>879</v>
      </c>
      <c r="BE5" s="434">
        <v>0</v>
      </c>
      <c r="BF5" s="434">
        <v>0</v>
      </c>
      <c r="BG5" s="434">
        <v>0</v>
      </c>
      <c r="BH5" s="434">
        <v>0</v>
      </c>
      <c r="BI5" s="432" t="s">
        <v>879</v>
      </c>
      <c r="BJ5" s="432" t="s">
        <v>879</v>
      </c>
      <c r="BK5" s="432" t="s">
        <v>879</v>
      </c>
      <c r="BL5" s="433">
        <v>0</v>
      </c>
      <c r="BM5" s="432" t="s">
        <v>879</v>
      </c>
      <c r="BN5" s="433">
        <v>0</v>
      </c>
      <c r="BO5" s="433">
        <v>0</v>
      </c>
      <c r="BP5" s="433">
        <v>0</v>
      </c>
      <c r="BQ5" s="433">
        <v>0</v>
      </c>
      <c r="BR5" s="433">
        <v>0</v>
      </c>
      <c r="BS5" s="437">
        <v>0</v>
      </c>
      <c r="BT5" s="432" t="s">
        <v>879</v>
      </c>
      <c r="BU5" s="432" t="s">
        <v>879</v>
      </c>
      <c r="BV5" s="432" t="s">
        <v>879</v>
      </c>
      <c r="BW5" s="433">
        <v>0</v>
      </c>
      <c r="BX5" s="433">
        <v>0</v>
      </c>
      <c r="BY5" s="433">
        <v>0</v>
      </c>
      <c r="BZ5" s="433">
        <v>0</v>
      </c>
      <c r="CA5" s="434">
        <v>0</v>
      </c>
      <c r="CB5" s="434">
        <v>0</v>
      </c>
      <c r="CC5" s="433">
        <v>0</v>
      </c>
      <c r="CD5" s="432" t="s">
        <v>879</v>
      </c>
      <c r="CE5" s="432" t="s">
        <v>879</v>
      </c>
      <c r="CF5" s="434">
        <v>0</v>
      </c>
      <c r="CG5" s="434">
        <v>0</v>
      </c>
      <c r="CH5" s="434">
        <v>0</v>
      </c>
      <c r="CI5" s="434">
        <v>0</v>
      </c>
      <c r="CJ5" s="432" t="s">
        <v>879</v>
      </c>
      <c r="CK5" s="432" t="s">
        <v>879</v>
      </c>
      <c r="CL5" s="432" t="s">
        <v>879</v>
      </c>
      <c r="CM5" s="432" t="s">
        <v>879</v>
      </c>
      <c r="CN5" s="432" t="s">
        <v>879</v>
      </c>
      <c r="CO5" s="432" t="s">
        <v>879</v>
      </c>
      <c r="CP5" s="434">
        <v>0</v>
      </c>
      <c r="CQ5" s="432" t="s">
        <v>879</v>
      </c>
      <c r="CR5" s="434">
        <v>0</v>
      </c>
      <c r="CS5" s="432" t="s">
        <v>879</v>
      </c>
      <c r="CT5" s="434">
        <v>0</v>
      </c>
      <c r="CU5" s="432" t="s">
        <v>879</v>
      </c>
      <c r="CV5" s="432" t="s">
        <v>879</v>
      </c>
      <c r="CW5" s="434">
        <v>0</v>
      </c>
      <c r="CX5" s="432" t="s">
        <v>879</v>
      </c>
      <c r="CY5" s="434">
        <v>0</v>
      </c>
      <c r="CZ5" s="432" t="s">
        <v>879</v>
      </c>
      <c r="DA5" s="434">
        <v>0</v>
      </c>
      <c r="DB5" s="432" t="s">
        <v>879</v>
      </c>
      <c r="DC5" s="432" t="s">
        <v>879</v>
      </c>
      <c r="DD5" s="432" t="s">
        <v>879</v>
      </c>
      <c r="DE5" s="432" t="s">
        <v>879</v>
      </c>
      <c r="DF5" s="432"/>
    </row>
    <row customHeight="true" ht="16.296296296296294" r="6">
      <c r="A6" s="432" t="s">
        <v>884</v>
      </c>
      <c r="B6" s="432" t="s">
        <v>876</v>
      </c>
      <c r="C6" s="432" t="s">
        <v>877</v>
      </c>
      <c r="D6" s="432" t="s">
        <v>877</v>
      </c>
      <c r="E6" s="432" t="s">
        <v>876</v>
      </c>
      <c r="F6" s="432" t="s">
        <v>878</v>
      </c>
      <c r="G6" s="433">
        <v>0</v>
      </c>
      <c r="H6" s="433">
        <v>0</v>
      </c>
      <c r="I6" s="434">
        <v>0</v>
      </c>
      <c r="J6" s="434">
        <v>0</v>
      </c>
      <c r="K6" s="434">
        <v>0</v>
      </c>
      <c r="L6" s="434">
        <v>0</v>
      </c>
      <c r="M6" s="434">
        <v>0</v>
      </c>
      <c r="N6" s="434">
        <v>0</v>
      </c>
      <c r="O6" s="434">
        <v>0</v>
      </c>
      <c r="P6" s="434">
        <v>0</v>
      </c>
      <c r="Q6" s="433">
        <v>0</v>
      </c>
      <c r="R6" s="434">
        <v>0</v>
      </c>
      <c r="S6" s="433">
        <v>0</v>
      </c>
      <c r="T6" s="432" t="s">
        <v>879</v>
      </c>
      <c r="U6" s="432" t="s">
        <v>879</v>
      </c>
      <c r="V6" s="432" t="s">
        <v>879</v>
      </c>
      <c r="W6" s="432" t="s">
        <v>879</v>
      </c>
      <c r="X6" s="432" t="s">
        <v>879</v>
      </c>
      <c r="Y6" s="432" t="s">
        <v>879</v>
      </c>
      <c r="Z6" s="434">
        <v>0</v>
      </c>
      <c r="AA6" s="433">
        <v>0</v>
      </c>
      <c r="AB6" s="434">
        <v>0</v>
      </c>
      <c r="AC6" s="433">
        <v>0</v>
      </c>
      <c r="AD6" s="434">
        <v>0</v>
      </c>
      <c r="AE6" s="433">
        <v>0</v>
      </c>
      <c r="AF6" s="434">
        <v>0</v>
      </c>
      <c r="AG6" s="433">
        <v>0</v>
      </c>
      <c r="AH6" s="435">
        <v>0</v>
      </c>
      <c r="AI6" s="433">
        <v>0</v>
      </c>
      <c r="AJ6" s="435">
        <v>0</v>
      </c>
      <c r="AK6" s="433">
        <v>0</v>
      </c>
      <c r="AL6" s="432"/>
      <c r="AM6" s="432"/>
      <c r="AN6" s="434">
        <v>0</v>
      </c>
      <c r="AO6" s="433">
        <v>0</v>
      </c>
      <c r="AP6" s="432" t="s">
        <v>879</v>
      </c>
      <c r="AQ6" s="436">
        <v>0</v>
      </c>
      <c r="AR6" s="434">
        <v>0</v>
      </c>
      <c r="AS6" s="432" t="s">
        <v>879</v>
      </c>
      <c r="AT6" s="432" t="s">
        <v>880</v>
      </c>
      <c r="AU6" s="432" t="s">
        <v>880</v>
      </c>
      <c r="AV6" s="432" t="s">
        <v>880</v>
      </c>
      <c r="AW6" s="432" t="s">
        <v>880</v>
      </c>
      <c r="AX6" s="432" t="s">
        <v>880</v>
      </c>
      <c r="AY6" s="434">
        <v>0</v>
      </c>
      <c r="AZ6" s="432" t="s">
        <v>879</v>
      </c>
      <c r="BA6" s="434">
        <v>0</v>
      </c>
      <c r="BB6" s="432" t="s">
        <v>879</v>
      </c>
      <c r="BC6" s="434">
        <v>0</v>
      </c>
      <c r="BD6" s="432" t="s">
        <v>879</v>
      </c>
      <c r="BE6" s="434">
        <v>0</v>
      </c>
      <c r="BF6" s="434">
        <v>0</v>
      </c>
      <c r="BG6" s="434">
        <v>0</v>
      </c>
      <c r="BH6" s="434">
        <v>0</v>
      </c>
      <c r="BI6" s="432" t="s">
        <v>879</v>
      </c>
      <c r="BJ6" s="432" t="s">
        <v>879</v>
      </c>
      <c r="BK6" s="432" t="s">
        <v>879</v>
      </c>
      <c r="BL6" s="433">
        <v>0</v>
      </c>
      <c r="BM6" s="432" t="s">
        <v>879</v>
      </c>
      <c r="BN6" s="433">
        <v>0</v>
      </c>
      <c r="BO6" s="433">
        <v>0</v>
      </c>
      <c r="BP6" s="433">
        <v>0</v>
      </c>
      <c r="BQ6" s="433">
        <v>0</v>
      </c>
      <c r="BR6" s="433">
        <v>0</v>
      </c>
      <c r="BS6" s="437">
        <v>0</v>
      </c>
      <c r="BT6" s="432" t="s">
        <v>879</v>
      </c>
      <c r="BU6" s="432" t="s">
        <v>879</v>
      </c>
      <c r="BV6" s="432" t="s">
        <v>879</v>
      </c>
      <c r="BW6" s="433">
        <v>0</v>
      </c>
      <c r="BX6" s="433">
        <v>0</v>
      </c>
      <c r="BY6" s="433">
        <v>0</v>
      </c>
      <c r="BZ6" s="433">
        <v>0</v>
      </c>
      <c r="CA6" s="434">
        <v>0</v>
      </c>
      <c r="CB6" s="434">
        <v>0</v>
      </c>
      <c r="CC6" s="433">
        <v>0</v>
      </c>
      <c r="CD6" s="432" t="s">
        <v>879</v>
      </c>
      <c r="CE6" s="432" t="s">
        <v>879</v>
      </c>
      <c r="CF6" s="434">
        <v>0</v>
      </c>
      <c r="CG6" s="434">
        <v>0</v>
      </c>
      <c r="CH6" s="434">
        <v>0</v>
      </c>
      <c r="CI6" s="434">
        <v>0</v>
      </c>
      <c r="CJ6" s="432" t="s">
        <v>879</v>
      </c>
      <c r="CK6" s="432" t="s">
        <v>879</v>
      </c>
      <c r="CL6" s="432" t="s">
        <v>879</v>
      </c>
      <c r="CM6" s="432" t="s">
        <v>879</v>
      </c>
      <c r="CN6" s="432" t="s">
        <v>879</v>
      </c>
      <c r="CO6" s="432" t="s">
        <v>879</v>
      </c>
      <c r="CP6" s="434">
        <v>0</v>
      </c>
      <c r="CQ6" s="432" t="s">
        <v>879</v>
      </c>
      <c r="CR6" s="434">
        <v>0</v>
      </c>
      <c r="CS6" s="432" t="s">
        <v>879</v>
      </c>
      <c r="CT6" s="434">
        <v>0</v>
      </c>
      <c r="CU6" s="432" t="s">
        <v>879</v>
      </c>
      <c r="CV6" s="432" t="s">
        <v>879</v>
      </c>
      <c r="CW6" s="434">
        <v>0</v>
      </c>
      <c r="CX6" s="432" t="s">
        <v>879</v>
      </c>
      <c r="CY6" s="434">
        <v>0</v>
      </c>
      <c r="CZ6" s="432" t="s">
        <v>879</v>
      </c>
      <c r="DA6" s="434">
        <v>0</v>
      </c>
      <c r="DB6" s="432" t="s">
        <v>879</v>
      </c>
      <c r="DC6" s="432" t="s">
        <v>879</v>
      </c>
      <c r="DD6" s="432" t="s">
        <v>879</v>
      </c>
      <c r="DE6" s="432" t="s">
        <v>879</v>
      </c>
      <c r="DF6" s="432"/>
    </row>
    <row customHeight="true" ht="16.296296296296294" r="7">
      <c r="A7" s="432" t="s">
        <v>885</v>
      </c>
      <c r="B7" s="432" t="s">
        <v>876</v>
      </c>
      <c r="C7" s="432" t="s">
        <v>877</v>
      </c>
      <c r="D7" s="432" t="s">
        <v>877</v>
      </c>
      <c r="E7" s="432" t="s">
        <v>876</v>
      </c>
      <c r="F7" s="432" t="s">
        <v>878</v>
      </c>
      <c r="G7" s="433">
        <v>0</v>
      </c>
      <c r="H7" s="433">
        <v>0</v>
      </c>
      <c r="I7" s="434">
        <v>0</v>
      </c>
      <c r="J7" s="434">
        <v>0</v>
      </c>
      <c r="K7" s="434">
        <v>0</v>
      </c>
      <c r="L7" s="434">
        <v>0</v>
      </c>
      <c r="M7" s="434">
        <v>0</v>
      </c>
      <c r="N7" s="434">
        <v>0</v>
      </c>
      <c r="O7" s="434">
        <v>0</v>
      </c>
      <c r="P7" s="434">
        <v>0</v>
      </c>
      <c r="Q7" s="433">
        <v>0</v>
      </c>
      <c r="R7" s="434">
        <v>0</v>
      </c>
      <c r="S7" s="433">
        <v>0</v>
      </c>
      <c r="T7" s="432" t="s">
        <v>879</v>
      </c>
      <c r="U7" s="432" t="s">
        <v>879</v>
      </c>
      <c r="V7" s="432" t="s">
        <v>879</v>
      </c>
      <c r="W7" s="432" t="s">
        <v>879</v>
      </c>
      <c r="X7" s="432" t="s">
        <v>879</v>
      </c>
      <c r="Y7" s="432" t="s">
        <v>879</v>
      </c>
      <c r="Z7" s="434">
        <v>0</v>
      </c>
      <c r="AA7" s="433">
        <v>0</v>
      </c>
      <c r="AB7" s="434">
        <v>0</v>
      </c>
      <c r="AC7" s="433">
        <v>0</v>
      </c>
      <c r="AD7" s="434">
        <v>0</v>
      </c>
      <c r="AE7" s="433">
        <v>0</v>
      </c>
      <c r="AF7" s="434">
        <v>0</v>
      </c>
      <c r="AG7" s="433">
        <v>0</v>
      </c>
      <c r="AH7" s="435">
        <v>0</v>
      </c>
      <c r="AI7" s="433">
        <v>0</v>
      </c>
      <c r="AJ7" s="435">
        <v>0</v>
      </c>
      <c r="AK7" s="433">
        <v>0</v>
      </c>
      <c r="AL7" s="432"/>
      <c r="AM7" s="432"/>
      <c r="AN7" s="434">
        <v>0</v>
      </c>
      <c r="AO7" s="433">
        <v>0</v>
      </c>
      <c r="AP7" s="432" t="s">
        <v>879</v>
      </c>
      <c r="AQ7" s="436">
        <v>0</v>
      </c>
      <c r="AR7" s="434">
        <v>0</v>
      </c>
      <c r="AS7" s="432" t="s">
        <v>879</v>
      </c>
      <c r="AT7" s="432" t="s">
        <v>880</v>
      </c>
      <c r="AU7" s="432" t="s">
        <v>880</v>
      </c>
      <c r="AV7" s="432" t="s">
        <v>880</v>
      </c>
      <c r="AW7" s="432" t="s">
        <v>880</v>
      </c>
      <c r="AX7" s="432" t="s">
        <v>880</v>
      </c>
      <c r="AY7" s="434">
        <v>0</v>
      </c>
      <c r="AZ7" s="432" t="s">
        <v>879</v>
      </c>
      <c r="BA7" s="434">
        <v>0</v>
      </c>
      <c r="BB7" s="432" t="s">
        <v>879</v>
      </c>
      <c r="BC7" s="434">
        <v>0</v>
      </c>
      <c r="BD7" s="432" t="s">
        <v>879</v>
      </c>
      <c r="BE7" s="434">
        <v>0</v>
      </c>
      <c r="BF7" s="434">
        <v>0</v>
      </c>
      <c r="BG7" s="434">
        <v>0</v>
      </c>
      <c r="BH7" s="434">
        <v>0</v>
      </c>
      <c r="BI7" s="432" t="s">
        <v>879</v>
      </c>
      <c r="BJ7" s="432" t="s">
        <v>879</v>
      </c>
      <c r="BK7" s="432" t="s">
        <v>879</v>
      </c>
      <c r="BL7" s="433">
        <v>0</v>
      </c>
      <c r="BM7" s="432" t="s">
        <v>879</v>
      </c>
      <c r="BN7" s="433">
        <v>0</v>
      </c>
      <c r="BO7" s="433">
        <v>0</v>
      </c>
      <c r="BP7" s="433">
        <v>0</v>
      </c>
      <c r="BQ7" s="433">
        <v>0</v>
      </c>
      <c r="BR7" s="433">
        <v>0</v>
      </c>
      <c r="BS7" s="437">
        <v>0</v>
      </c>
      <c r="BT7" s="432" t="s">
        <v>879</v>
      </c>
      <c r="BU7" s="432" t="s">
        <v>879</v>
      </c>
      <c r="BV7" s="432" t="s">
        <v>879</v>
      </c>
      <c r="BW7" s="433">
        <v>0</v>
      </c>
      <c r="BX7" s="433">
        <v>0</v>
      </c>
      <c r="BY7" s="433">
        <v>0</v>
      </c>
      <c r="BZ7" s="433">
        <v>0</v>
      </c>
      <c r="CA7" s="434">
        <v>0</v>
      </c>
      <c r="CB7" s="434">
        <v>0</v>
      </c>
      <c r="CC7" s="433">
        <v>0</v>
      </c>
      <c r="CD7" s="432" t="s">
        <v>879</v>
      </c>
      <c r="CE7" s="432" t="s">
        <v>879</v>
      </c>
      <c r="CF7" s="434">
        <v>0</v>
      </c>
      <c r="CG7" s="434">
        <v>0</v>
      </c>
      <c r="CH7" s="434">
        <v>0</v>
      </c>
      <c r="CI7" s="434">
        <v>0</v>
      </c>
      <c r="CJ7" s="432" t="s">
        <v>879</v>
      </c>
      <c r="CK7" s="432" t="s">
        <v>879</v>
      </c>
      <c r="CL7" s="432" t="s">
        <v>879</v>
      </c>
      <c r="CM7" s="432" t="s">
        <v>879</v>
      </c>
      <c r="CN7" s="432" t="s">
        <v>879</v>
      </c>
      <c r="CO7" s="432" t="s">
        <v>879</v>
      </c>
      <c r="CP7" s="434">
        <v>0</v>
      </c>
      <c r="CQ7" s="432" t="s">
        <v>879</v>
      </c>
      <c r="CR7" s="434">
        <v>0</v>
      </c>
      <c r="CS7" s="432" t="s">
        <v>879</v>
      </c>
      <c r="CT7" s="434">
        <v>0</v>
      </c>
      <c r="CU7" s="432" t="s">
        <v>879</v>
      </c>
      <c r="CV7" s="432" t="s">
        <v>879</v>
      </c>
      <c r="CW7" s="434">
        <v>0</v>
      </c>
      <c r="CX7" s="432" t="s">
        <v>879</v>
      </c>
      <c r="CY7" s="434">
        <v>0</v>
      </c>
      <c r="CZ7" s="432" t="s">
        <v>879</v>
      </c>
      <c r="DA7" s="434">
        <v>0</v>
      </c>
      <c r="DB7" s="432" t="s">
        <v>879</v>
      </c>
      <c r="DC7" s="432" t="s">
        <v>879</v>
      </c>
      <c r="DD7" s="432" t="s">
        <v>879</v>
      </c>
      <c r="DE7" s="432" t="s">
        <v>879</v>
      </c>
      <c r="DF7" s="432"/>
    </row>
    <row customHeight="true" ht="16.296296296296294" r="8">
      <c r="A8" s="432" t="s">
        <v>886</v>
      </c>
      <c r="B8" s="432" t="s">
        <v>876</v>
      </c>
      <c r="C8" s="432" t="s">
        <v>877</v>
      </c>
      <c r="D8" s="432" t="s">
        <v>877</v>
      </c>
      <c r="E8" s="432" t="s">
        <v>876</v>
      </c>
      <c r="F8" s="432" t="s">
        <v>878</v>
      </c>
      <c r="G8" s="433">
        <v>0</v>
      </c>
      <c r="H8" s="433">
        <v>0</v>
      </c>
      <c r="I8" s="434">
        <v>0</v>
      </c>
      <c r="J8" s="434">
        <v>0</v>
      </c>
      <c r="K8" s="434">
        <v>0</v>
      </c>
      <c r="L8" s="434">
        <v>0</v>
      </c>
      <c r="M8" s="434">
        <v>0</v>
      </c>
      <c r="N8" s="434">
        <v>0</v>
      </c>
      <c r="O8" s="434">
        <v>0</v>
      </c>
      <c r="P8" s="434">
        <v>0</v>
      </c>
      <c r="Q8" s="433">
        <v>0</v>
      </c>
      <c r="R8" s="434">
        <v>0</v>
      </c>
      <c r="S8" s="433">
        <v>0</v>
      </c>
      <c r="T8" s="432" t="s">
        <v>879</v>
      </c>
      <c r="U8" s="432" t="s">
        <v>879</v>
      </c>
      <c r="V8" s="432" t="s">
        <v>879</v>
      </c>
      <c r="W8" s="432" t="s">
        <v>879</v>
      </c>
      <c r="X8" s="432" t="s">
        <v>879</v>
      </c>
      <c r="Y8" s="432" t="s">
        <v>879</v>
      </c>
      <c r="Z8" s="434">
        <v>0</v>
      </c>
      <c r="AA8" s="433">
        <v>0</v>
      </c>
      <c r="AB8" s="434">
        <v>0</v>
      </c>
      <c r="AC8" s="433">
        <v>0</v>
      </c>
      <c r="AD8" s="434">
        <v>0</v>
      </c>
      <c r="AE8" s="433">
        <v>0</v>
      </c>
      <c r="AF8" s="434">
        <v>0</v>
      </c>
      <c r="AG8" s="433">
        <v>0</v>
      </c>
      <c r="AH8" s="435">
        <v>0</v>
      </c>
      <c r="AI8" s="433">
        <v>0</v>
      </c>
      <c r="AJ8" s="435">
        <v>0</v>
      </c>
      <c r="AK8" s="433">
        <v>0</v>
      </c>
      <c r="AL8" s="432"/>
      <c r="AM8" s="432"/>
      <c r="AN8" s="434">
        <v>0</v>
      </c>
      <c r="AO8" s="433">
        <v>0</v>
      </c>
      <c r="AP8" s="432" t="s">
        <v>879</v>
      </c>
      <c r="AQ8" s="436">
        <v>0</v>
      </c>
      <c r="AR8" s="434">
        <v>0</v>
      </c>
      <c r="AS8" s="432" t="s">
        <v>879</v>
      </c>
      <c r="AT8" s="432" t="s">
        <v>880</v>
      </c>
      <c r="AU8" s="432" t="s">
        <v>880</v>
      </c>
      <c r="AV8" s="432" t="s">
        <v>880</v>
      </c>
      <c r="AW8" s="432" t="s">
        <v>880</v>
      </c>
      <c r="AX8" s="432" t="s">
        <v>880</v>
      </c>
      <c r="AY8" s="434">
        <v>0</v>
      </c>
      <c r="AZ8" s="432" t="s">
        <v>879</v>
      </c>
      <c r="BA8" s="434">
        <v>0</v>
      </c>
      <c r="BB8" s="432" t="s">
        <v>879</v>
      </c>
      <c r="BC8" s="434">
        <v>0</v>
      </c>
      <c r="BD8" s="432" t="s">
        <v>879</v>
      </c>
      <c r="BE8" s="434">
        <v>0</v>
      </c>
      <c r="BF8" s="434">
        <v>0</v>
      </c>
      <c r="BG8" s="434">
        <v>0</v>
      </c>
      <c r="BH8" s="434">
        <v>0</v>
      </c>
      <c r="BI8" s="432" t="s">
        <v>879</v>
      </c>
      <c r="BJ8" s="432" t="s">
        <v>879</v>
      </c>
      <c r="BK8" s="432" t="s">
        <v>879</v>
      </c>
      <c r="BL8" s="433">
        <v>0</v>
      </c>
      <c r="BM8" s="432" t="s">
        <v>879</v>
      </c>
      <c r="BN8" s="433">
        <v>0</v>
      </c>
      <c r="BO8" s="433">
        <v>0</v>
      </c>
      <c r="BP8" s="433">
        <v>0</v>
      </c>
      <c r="BQ8" s="433">
        <v>0</v>
      </c>
      <c r="BR8" s="433">
        <v>0</v>
      </c>
      <c r="BS8" s="437">
        <v>0</v>
      </c>
      <c r="BT8" s="432" t="s">
        <v>879</v>
      </c>
      <c r="BU8" s="432" t="s">
        <v>879</v>
      </c>
      <c r="BV8" s="432" t="s">
        <v>879</v>
      </c>
      <c r="BW8" s="433">
        <v>0</v>
      </c>
      <c r="BX8" s="433">
        <v>0</v>
      </c>
      <c r="BY8" s="433">
        <v>0</v>
      </c>
      <c r="BZ8" s="433">
        <v>0</v>
      </c>
      <c r="CA8" s="434">
        <v>0</v>
      </c>
      <c r="CB8" s="434">
        <v>0</v>
      </c>
      <c r="CC8" s="433">
        <v>0</v>
      </c>
      <c r="CD8" s="432" t="s">
        <v>879</v>
      </c>
      <c r="CE8" s="432" t="s">
        <v>879</v>
      </c>
      <c r="CF8" s="434">
        <v>0</v>
      </c>
      <c r="CG8" s="434">
        <v>0</v>
      </c>
      <c r="CH8" s="434">
        <v>0</v>
      </c>
      <c r="CI8" s="434">
        <v>0</v>
      </c>
      <c r="CJ8" s="432" t="s">
        <v>879</v>
      </c>
      <c r="CK8" s="432" t="s">
        <v>879</v>
      </c>
      <c r="CL8" s="432" t="s">
        <v>879</v>
      </c>
      <c r="CM8" s="432" t="s">
        <v>879</v>
      </c>
      <c r="CN8" s="432" t="s">
        <v>879</v>
      </c>
      <c r="CO8" s="432" t="s">
        <v>879</v>
      </c>
      <c r="CP8" s="434">
        <v>0</v>
      </c>
      <c r="CQ8" s="432" t="s">
        <v>879</v>
      </c>
      <c r="CR8" s="434">
        <v>0</v>
      </c>
      <c r="CS8" s="432" t="s">
        <v>879</v>
      </c>
      <c r="CT8" s="434">
        <v>0</v>
      </c>
      <c r="CU8" s="432" t="s">
        <v>879</v>
      </c>
      <c r="CV8" s="432" t="s">
        <v>879</v>
      </c>
      <c r="CW8" s="434">
        <v>0</v>
      </c>
      <c r="CX8" s="432" t="s">
        <v>879</v>
      </c>
      <c r="CY8" s="434">
        <v>0</v>
      </c>
      <c r="CZ8" s="432" t="s">
        <v>879</v>
      </c>
      <c r="DA8" s="434">
        <v>0</v>
      </c>
      <c r="DB8" s="432" t="s">
        <v>879</v>
      </c>
      <c r="DC8" s="432" t="s">
        <v>879</v>
      </c>
      <c r="DD8" s="432" t="s">
        <v>879</v>
      </c>
      <c r="DE8" s="432" t="s">
        <v>879</v>
      </c>
      <c r="DF8" s="432"/>
    </row>
    <row customHeight="true" ht="16.296296296296294" r="9">
      <c r="A9" s="432" t="s">
        <v>887</v>
      </c>
      <c r="B9" s="432" t="s">
        <v>876</v>
      </c>
      <c r="C9" s="432" t="s">
        <v>877</v>
      </c>
      <c r="D9" s="432" t="s">
        <v>877</v>
      </c>
      <c r="E9" s="432" t="s">
        <v>876</v>
      </c>
      <c r="F9" s="432" t="s">
        <v>878</v>
      </c>
      <c r="G9" s="433">
        <v>0</v>
      </c>
      <c r="H9" s="433">
        <v>0</v>
      </c>
      <c r="I9" s="434">
        <v>0</v>
      </c>
      <c r="J9" s="434">
        <v>0</v>
      </c>
      <c r="K9" s="434">
        <v>0</v>
      </c>
      <c r="L9" s="434">
        <v>0</v>
      </c>
      <c r="M9" s="434">
        <v>0</v>
      </c>
      <c r="N9" s="434">
        <v>0</v>
      </c>
      <c r="O9" s="434">
        <v>0</v>
      </c>
      <c r="P9" s="434">
        <v>0</v>
      </c>
      <c r="Q9" s="433">
        <v>0</v>
      </c>
      <c r="R9" s="434">
        <v>0</v>
      </c>
      <c r="S9" s="433">
        <v>0</v>
      </c>
      <c r="T9" s="432" t="s">
        <v>879</v>
      </c>
      <c r="U9" s="432" t="s">
        <v>879</v>
      </c>
      <c r="V9" s="432" t="s">
        <v>879</v>
      </c>
      <c r="W9" s="432" t="s">
        <v>879</v>
      </c>
      <c r="X9" s="432" t="s">
        <v>879</v>
      </c>
      <c r="Y9" s="432" t="s">
        <v>879</v>
      </c>
      <c r="Z9" s="434">
        <v>0</v>
      </c>
      <c r="AA9" s="433">
        <v>0</v>
      </c>
      <c r="AB9" s="434">
        <v>0</v>
      </c>
      <c r="AC9" s="433">
        <v>0</v>
      </c>
      <c r="AD9" s="434">
        <v>0</v>
      </c>
      <c r="AE9" s="433">
        <v>0</v>
      </c>
      <c r="AF9" s="434">
        <v>0</v>
      </c>
      <c r="AG9" s="433">
        <v>0</v>
      </c>
      <c r="AH9" s="435">
        <v>0</v>
      </c>
      <c r="AI9" s="433">
        <v>0</v>
      </c>
      <c r="AJ9" s="435">
        <v>0</v>
      </c>
      <c r="AK9" s="433">
        <v>0</v>
      </c>
      <c r="AL9" s="432"/>
      <c r="AM9" s="432"/>
      <c r="AN9" s="434">
        <v>0</v>
      </c>
      <c r="AO9" s="433">
        <v>0</v>
      </c>
      <c r="AP9" s="432" t="s">
        <v>879</v>
      </c>
      <c r="AQ9" s="436">
        <v>0</v>
      </c>
      <c r="AR9" s="434">
        <v>0</v>
      </c>
      <c r="AS9" s="432" t="s">
        <v>879</v>
      </c>
      <c r="AT9" s="432" t="s">
        <v>880</v>
      </c>
      <c r="AU9" s="432" t="s">
        <v>880</v>
      </c>
      <c r="AV9" s="432" t="s">
        <v>880</v>
      </c>
      <c r="AW9" s="432" t="s">
        <v>880</v>
      </c>
      <c r="AX9" s="432" t="s">
        <v>880</v>
      </c>
      <c r="AY9" s="434">
        <v>0</v>
      </c>
      <c r="AZ9" s="432" t="s">
        <v>879</v>
      </c>
      <c r="BA9" s="434">
        <v>0</v>
      </c>
      <c r="BB9" s="432" t="s">
        <v>879</v>
      </c>
      <c r="BC9" s="434">
        <v>0</v>
      </c>
      <c r="BD9" s="432" t="s">
        <v>879</v>
      </c>
      <c r="BE9" s="434">
        <v>0</v>
      </c>
      <c r="BF9" s="434">
        <v>0</v>
      </c>
      <c r="BG9" s="434">
        <v>0</v>
      </c>
      <c r="BH9" s="434">
        <v>0</v>
      </c>
      <c r="BI9" s="432" t="s">
        <v>879</v>
      </c>
      <c r="BJ9" s="432" t="s">
        <v>879</v>
      </c>
      <c r="BK9" s="432" t="s">
        <v>879</v>
      </c>
      <c r="BL9" s="433">
        <v>0</v>
      </c>
      <c r="BM9" s="432" t="s">
        <v>879</v>
      </c>
      <c r="BN9" s="433">
        <v>0</v>
      </c>
      <c r="BO9" s="433">
        <v>0</v>
      </c>
      <c r="BP9" s="433">
        <v>0</v>
      </c>
      <c r="BQ9" s="433">
        <v>0</v>
      </c>
      <c r="BR9" s="433">
        <v>0</v>
      </c>
      <c r="BS9" s="437">
        <v>0</v>
      </c>
      <c r="BT9" s="432" t="s">
        <v>879</v>
      </c>
      <c r="BU9" s="432" t="s">
        <v>879</v>
      </c>
      <c r="BV9" s="432" t="s">
        <v>879</v>
      </c>
      <c r="BW9" s="433">
        <v>0</v>
      </c>
      <c r="BX9" s="433">
        <v>0</v>
      </c>
      <c r="BY9" s="433">
        <v>0</v>
      </c>
      <c r="BZ9" s="433">
        <v>0</v>
      </c>
      <c r="CA9" s="434">
        <v>0</v>
      </c>
      <c r="CB9" s="434">
        <v>0</v>
      </c>
      <c r="CC9" s="433">
        <v>0</v>
      </c>
      <c r="CD9" s="432" t="s">
        <v>879</v>
      </c>
      <c r="CE9" s="432" t="s">
        <v>879</v>
      </c>
      <c r="CF9" s="434">
        <v>0</v>
      </c>
      <c r="CG9" s="434">
        <v>0</v>
      </c>
      <c r="CH9" s="434">
        <v>0</v>
      </c>
      <c r="CI9" s="434">
        <v>0</v>
      </c>
      <c r="CJ9" s="432" t="s">
        <v>879</v>
      </c>
      <c r="CK9" s="432" t="s">
        <v>879</v>
      </c>
      <c r="CL9" s="432" t="s">
        <v>879</v>
      </c>
      <c r="CM9" s="432" t="s">
        <v>879</v>
      </c>
      <c r="CN9" s="432" t="s">
        <v>879</v>
      </c>
      <c r="CO9" s="432" t="s">
        <v>879</v>
      </c>
      <c r="CP9" s="434">
        <v>0</v>
      </c>
      <c r="CQ9" s="432" t="s">
        <v>879</v>
      </c>
      <c r="CR9" s="434">
        <v>0</v>
      </c>
      <c r="CS9" s="432" t="s">
        <v>879</v>
      </c>
      <c r="CT9" s="434">
        <v>0</v>
      </c>
      <c r="CU9" s="432" t="s">
        <v>879</v>
      </c>
      <c r="CV9" s="432" t="s">
        <v>879</v>
      </c>
      <c r="CW9" s="434">
        <v>0</v>
      </c>
      <c r="CX9" s="432" t="s">
        <v>879</v>
      </c>
      <c r="CY9" s="434">
        <v>0</v>
      </c>
      <c r="CZ9" s="432" t="s">
        <v>879</v>
      </c>
      <c r="DA9" s="434">
        <v>0</v>
      </c>
      <c r="DB9" s="432" t="s">
        <v>879</v>
      </c>
      <c r="DC9" s="432" t="s">
        <v>879</v>
      </c>
      <c r="DD9" s="432" t="s">
        <v>879</v>
      </c>
      <c r="DE9" s="432" t="s">
        <v>879</v>
      </c>
      <c r="DF9" s="432"/>
    </row>
    <row customHeight="true" ht="16.296296296296294" r="10">
      <c r="A10" s="432" t="s">
        <v>888</v>
      </c>
      <c r="B10" s="432" t="s">
        <v>876</v>
      </c>
      <c r="C10" s="432" t="s">
        <v>877</v>
      </c>
      <c r="D10" s="432" t="s">
        <v>877</v>
      </c>
      <c r="E10" s="432" t="s">
        <v>876</v>
      </c>
      <c r="F10" s="432" t="s">
        <v>878</v>
      </c>
      <c r="G10" s="433">
        <v>0</v>
      </c>
      <c r="H10" s="433">
        <v>0</v>
      </c>
      <c r="I10" s="434">
        <v>0</v>
      </c>
      <c r="J10" s="434">
        <v>0</v>
      </c>
      <c r="K10" s="434">
        <v>0</v>
      </c>
      <c r="L10" s="434">
        <v>0</v>
      </c>
      <c r="M10" s="434">
        <v>0</v>
      </c>
      <c r="N10" s="434">
        <v>0</v>
      </c>
      <c r="O10" s="434">
        <v>0</v>
      </c>
      <c r="P10" s="434">
        <v>0</v>
      </c>
      <c r="Q10" s="433">
        <v>0</v>
      </c>
      <c r="R10" s="434">
        <v>0</v>
      </c>
      <c r="S10" s="433">
        <v>0</v>
      </c>
      <c r="T10" s="432" t="s">
        <v>879</v>
      </c>
      <c r="U10" s="432" t="s">
        <v>879</v>
      </c>
      <c r="V10" s="432" t="s">
        <v>879</v>
      </c>
      <c r="W10" s="432" t="s">
        <v>879</v>
      </c>
      <c r="X10" s="432" t="s">
        <v>879</v>
      </c>
      <c r="Y10" s="432" t="s">
        <v>879</v>
      </c>
      <c r="Z10" s="434">
        <v>0</v>
      </c>
      <c r="AA10" s="433">
        <v>0</v>
      </c>
      <c r="AB10" s="434">
        <v>0</v>
      </c>
      <c r="AC10" s="433">
        <v>0</v>
      </c>
      <c r="AD10" s="434">
        <v>0</v>
      </c>
      <c r="AE10" s="433">
        <v>0</v>
      </c>
      <c r="AF10" s="434">
        <v>0</v>
      </c>
      <c r="AG10" s="433">
        <v>0</v>
      </c>
      <c r="AH10" s="435">
        <v>0</v>
      </c>
      <c r="AI10" s="433">
        <v>0</v>
      </c>
      <c r="AJ10" s="435">
        <v>0</v>
      </c>
      <c r="AK10" s="433">
        <v>0</v>
      </c>
      <c r="AL10" s="432"/>
      <c r="AM10" s="432"/>
      <c r="AN10" s="434">
        <v>0</v>
      </c>
      <c r="AO10" s="433">
        <v>0</v>
      </c>
      <c r="AP10" s="432" t="s">
        <v>879</v>
      </c>
      <c r="AQ10" s="436">
        <v>0</v>
      </c>
      <c r="AR10" s="434">
        <v>0</v>
      </c>
      <c r="AS10" s="432" t="s">
        <v>879</v>
      </c>
      <c r="AT10" s="432" t="s">
        <v>880</v>
      </c>
      <c r="AU10" s="432" t="s">
        <v>880</v>
      </c>
      <c r="AV10" s="432" t="s">
        <v>880</v>
      </c>
      <c r="AW10" s="432" t="s">
        <v>880</v>
      </c>
      <c r="AX10" s="432" t="s">
        <v>880</v>
      </c>
      <c r="AY10" s="434">
        <v>0</v>
      </c>
      <c r="AZ10" s="432" t="s">
        <v>879</v>
      </c>
      <c r="BA10" s="434">
        <v>0</v>
      </c>
      <c r="BB10" s="432" t="s">
        <v>879</v>
      </c>
      <c r="BC10" s="434">
        <v>0</v>
      </c>
      <c r="BD10" s="432" t="s">
        <v>879</v>
      </c>
      <c r="BE10" s="434">
        <v>0</v>
      </c>
      <c r="BF10" s="434">
        <v>0</v>
      </c>
      <c r="BG10" s="434">
        <v>0</v>
      </c>
      <c r="BH10" s="434">
        <v>0</v>
      </c>
      <c r="BI10" s="432" t="s">
        <v>879</v>
      </c>
      <c r="BJ10" s="432" t="s">
        <v>879</v>
      </c>
      <c r="BK10" s="432" t="s">
        <v>879</v>
      </c>
      <c r="BL10" s="433">
        <v>0</v>
      </c>
      <c r="BM10" s="432" t="s">
        <v>879</v>
      </c>
      <c r="BN10" s="433">
        <v>0</v>
      </c>
      <c r="BO10" s="433">
        <v>0</v>
      </c>
      <c r="BP10" s="433">
        <v>0</v>
      </c>
      <c r="BQ10" s="433">
        <v>0</v>
      </c>
      <c r="BR10" s="433">
        <v>0</v>
      </c>
      <c r="BS10" s="437">
        <v>0</v>
      </c>
      <c r="BT10" s="432" t="s">
        <v>879</v>
      </c>
      <c r="BU10" s="432" t="s">
        <v>879</v>
      </c>
      <c r="BV10" s="432" t="s">
        <v>879</v>
      </c>
      <c r="BW10" s="433">
        <v>0</v>
      </c>
      <c r="BX10" s="433">
        <v>0</v>
      </c>
      <c r="BY10" s="433">
        <v>0</v>
      </c>
      <c r="BZ10" s="433">
        <v>0</v>
      </c>
      <c r="CA10" s="434">
        <v>0</v>
      </c>
      <c r="CB10" s="434">
        <v>0</v>
      </c>
      <c r="CC10" s="433">
        <v>0</v>
      </c>
      <c r="CD10" s="432" t="s">
        <v>879</v>
      </c>
      <c r="CE10" s="432" t="s">
        <v>879</v>
      </c>
      <c r="CF10" s="434">
        <v>0</v>
      </c>
      <c r="CG10" s="434">
        <v>0</v>
      </c>
      <c r="CH10" s="434">
        <v>0</v>
      </c>
      <c r="CI10" s="434">
        <v>0</v>
      </c>
      <c r="CJ10" s="432" t="s">
        <v>879</v>
      </c>
      <c r="CK10" s="432" t="s">
        <v>879</v>
      </c>
      <c r="CL10" s="432" t="s">
        <v>879</v>
      </c>
      <c r="CM10" s="432" t="s">
        <v>879</v>
      </c>
      <c r="CN10" s="432" t="s">
        <v>879</v>
      </c>
      <c r="CO10" s="432" t="s">
        <v>879</v>
      </c>
      <c r="CP10" s="434">
        <v>0</v>
      </c>
      <c r="CQ10" s="432" t="s">
        <v>879</v>
      </c>
      <c r="CR10" s="434">
        <v>0</v>
      </c>
      <c r="CS10" s="432" t="s">
        <v>879</v>
      </c>
      <c r="CT10" s="434">
        <v>0</v>
      </c>
      <c r="CU10" s="432" t="s">
        <v>879</v>
      </c>
      <c r="CV10" s="432" t="s">
        <v>879</v>
      </c>
      <c r="CW10" s="434">
        <v>0</v>
      </c>
      <c r="CX10" s="432" t="s">
        <v>879</v>
      </c>
      <c r="CY10" s="434">
        <v>0</v>
      </c>
      <c r="CZ10" s="432" t="s">
        <v>879</v>
      </c>
      <c r="DA10" s="434">
        <v>0</v>
      </c>
      <c r="DB10" s="432" t="s">
        <v>879</v>
      </c>
      <c r="DC10" s="432" t="s">
        <v>879</v>
      </c>
      <c r="DD10" s="432" t="s">
        <v>879</v>
      </c>
      <c r="DE10" s="432" t="s">
        <v>879</v>
      </c>
      <c r="DF10" s="432"/>
    </row>
    <row customHeight="true" ht="16.296296296296294" r="11">
      <c r="A11" s="432" t="s">
        <v>889</v>
      </c>
      <c r="B11" s="432" t="s">
        <v>876</v>
      </c>
      <c r="C11" s="432" t="s">
        <v>877</v>
      </c>
      <c r="D11" s="432" t="s">
        <v>877</v>
      </c>
      <c r="E11" s="432" t="s">
        <v>876</v>
      </c>
      <c r="F11" s="432" t="s">
        <v>878</v>
      </c>
      <c r="G11" s="433">
        <v>0</v>
      </c>
      <c r="H11" s="433">
        <v>0</v>
      </c>
      <c r="I11" s="434">
        <v>0</v>
      </c>
      <c r="J11" s="434">
        <v>0</v>
      </c>
      <c r="K11" s="434">
        <v>0</v>
      </c>
      <c r="L11" s="434">
        <v>0</v>
      </c>
      <c r="M11" s="434">
        <v>0</v>
      </c>
      <c r="N11" s="434">
        <v>0</v>
      </c>
      <c r="O11" s="434">
        <v>0</v>
      </c>
      <c r="P11" s="434">
        <v>0</v>
      </c>
      <c r="Q11" s="433">
        <v>0</v>
      </c>
      <c r="R11" s="434">
        <v>0</v>
      </c>
      <c r="S11" s="433">
        <v>0</v>
      </c>
      <c r="T11" s="432" t="s">
        <v>879</v>
      </c>
      <c r="U11" s="432" t="s">
        <v>879</v>
      </c>
      <c r="V11" s="432" t="s">
        <v>879</v>
      </c>
      <c r="W11" s="432" t="s">
        <v>879</v>
      </c>
      <c r="X11" s="432" t="s">
        <v>879</v>
      </c>
      <c r="Y11" s="432" t="s">
        <v>879</v>
      </c>
      <c r="Z11" s="434">
        <v>0</v>
      </c>
      <c r="AA11" s="433">
        <v>0</v>
      </c>
      <c r="AB11" s="434">
        <v>0</v>
      </c>
      <c r="AC11" s="433">
        <v>0</v>
      </c>
      <c r="AD11" s="434">
        <v>0</v>
      </c>
      <c r="AE11" s="433">
        <v>0</v>
      </c>
      <c r="AF11" s="434">
        <v>0</v>
      </c>
      <c r="AG11" s="433">
        <v>0</v>
      </c>
      <c r="AH11" s="435">
        <v>0</v>
      </c>
      <c r="AI11" s="433">
        <v>0</v>
      </c>
      <c r="AJ11" s="435">
        <v>0</v>
      </c>
      <c r="AK11" s="433">
        <v>0</v>
      </c>
      <c r="AL11" s="432"/>
      <c r="AM11" s="432"/>
      <c r="AN11" s="434">
        <v>0</v>
      </c>
      <c r="AO11" s="433">
        <v>0</v>
      </c>
      <c r="AP11" s="432" t="s">
        <v>879</v>
      </c>
      <c r="AQ11" s="436">
        <v>0</v>
      </c>
      <c r="AR11" s="434">
        <v>0</v>
      </c>
      <c r="AS11" s="432" t="s">
        <v>879</v>
      </c>
      <c r="AT11" s="432" t="s">
        <v>880</v>
      </c>
      <c r="AU11" s="432" t="s">
        <v>880</v>
      </c>
      <c r="AV11" s="432" t="s">
        <v>880</v>
      </c>
      <c r="AW11" s="432" t="s">
        <v>880</v>
      </c>
      <c r="AX11" s="432" t="s">
        <v>880</v>
      </c>
      <c r="AY11" s="434">
        <v>0</v>
      </c>
      <c r="AZ11" s="432" t="s">
        <v>879</v>
      </c>
      <c r="BA11" s="434">
        <v>0</v>
      </c>
      <c r="BB11" s="432" t="s">
        <v>879</v>
      </c>
      <c r="BC11" s="434">
        <v>0</v>
      </c>
      <c r="BD11" s="432" t="s">
        <v>879</v>
      </c>
      <c r="BE11" s="434">
        <v>0</v>
      </c>
      <c r="BF11" s="434">
        <v>0</v>
      </c>
      <c r="BG11" s="434">
        <v>0</v>
      </c>
      <c r="BH11" s="434">
        <v>0</v>
      </c>
      <c r="BI11" s="432" t="s">
        <v>879</v>
      </c>
      <c r="BJ11" s="432" t="s">
        <v>879</v>
      </c>
      <c r="BK11" s="432" t="s">
        <v>879</v>
      </c>
      <c r="BL11" s="433">
        <v>0</v>
      </c>
      <c r="BM11" s="432" t="s">
        <v>879</v>
      </c>
      <c r="BN11" s="433">
        <v>0</v>
      </c>
      <c r="BO11" s="433">
        <v>0</v>
      </c>
      <c r="BP11" s="433">
        <v>0</v>
      </c>
      <c r="BQ11" s="433">
        <v>0</v>
      </c>
      <c r="BR11" s="433">
        <v>0</v>
      </c>
      <c r="BS11" s="437">
        <v>0</v>
      </c>
      <c r="BT11" s="432" t="s">
        <v>879</v>
      </c>
      <c r="BU11" s="432" t="s">
        <v>879</v>
      </c>
      <c r="BV11" s="432" t="s">
        <v>879</v>
      </c>
      <c r="BW11" s="433">
        <v>0</v>
      </c>
      <c r="BX11" s="433">
        <v>0</v>
      </c>
      <c r="BY11" s="433">
        <v>0</v>
      </c>
      <c r="BZ11" s="433">
        <v>0</v>
      </c>
      <c r="CA11" s="434">
        <v>0</v>
      </c>
      <c r="CB11" s="434">
        <v>0</v>
      </c>
      <c r="CC11" s="433">
        <v>0</v>
      </c>
      <c r="CD11" s="432" t="s">
        <v>879</v>
      </c>
      <c r="CE11" s="432" t="s">
        <v>879</v>
      </c>
      <c r="CF11" s="434">
        <v>0</v>
      </c>
      <c r="CG11" s="434">
        <v>0</v>
      </c>
      <c r="CH11" s="434">
        <v>0</v>
      </c>
      <c r="CI11" s="434">
        <v>0</v>
      </c>
      <c r="CJ11" s="432" t="s">
        <v>879</v>
      </c>
      <c r="CK11" s="432" t="s">
        <v>879</v>
      </c>
      <c r="CL11" s="432" t="s">
        <v>879</v>
      </c>
      <c r="CM11" s="432" t="s">
        <v>879</v>
      </c>
      <c r="CN11" s="432" t="s">
        <v>879</v>
      </c>
      <c r="CO11" s="432" t="s">
        <v>879</v>
      </c>
      <c r="CP11" s="434">
        <v>0</v>
      </c>
      <c r="CQ11" s="432" t="s">
        <v>879</v>
      </c>
      <c r="CR11" s="434">
        <v>0</v>
      </c>
      <c r="CS11" s="432" t="s">
        <v>879</v>
      </c>
      <c r="CT11" s="434">
        <v>0</v>
      </c>
      <c r="CU11" s="432" t="s">
        <v>879</v>
      </c>
      <c r="CV11" s="432" t="s">
        <v>879</v>
      </c>
      <c r="CW11" s="434">
        <v>0</v>
      </c>
      <c r="CX11" s="432" t="s">
        <v>879</v>
      </c>
      <c r="CY11" s="434">
        <v>0</v>
      </c>
      <c r="CZ11" s="432" t="s">
        <v>879</v>
      </c>
      <c r="DA11" s="434">
        <v>0</v>
      </c>
      <c r="DB11" s="432" t="s">
        <v>879</v>
      </c>
      <c r="DC11" s="432" t="s">
        <v>879</v>
      </c>
      <c r="DD11" s="432" t="s">
        <v>879</v>
      </c>
      <c r="DE11" s="432" t="s">
        <v>879</v>
      </c>
      <c r="DF11" s="432"/>
    </row>
    <row customHeight="true" ht="16.296296296296294" r="12">
      <c r="A12" s="432" t="s">
        <v>890</v>
      </c>
      <c r="B12" s="432" t="s">
        <v>876</v>
      </c>
      <c r="C12" s="432" t="s">
        <v>877</v>
      </c>
      <c r="D12" s="432" t="s">
        <v>877</v>
      </c>
      <c r="E12" s="432" t="s">
        <v>876</v>
      </c>
      <c r="F12" s="432" t="s">
        <v>878</v>
      </c>
      <c r="G12" s="433">
        <v>0</v>
      </c>
      <c r="H12" s="433">
        <v>0</v>
      </c>
      <c r="I12" s="434">
        <v>0</v>
      </c>
      <c r="J12" s="434">
        <v>0</v>
      </c>
      <c r="K12" s="434">
        <v>0</v>
      </c>
      <c r="L12" s="434">
        <v>0</v>
      </c>
      <c r="M12" s="434">
        <v>0</v>
      </c>
      <c r="N12" s="434">
        <v>0</v>
      </c>
      <c r="O12" s="434">
        <v>0</v>
      </c>
      <c r="P12" s="434">
        <v>0</v>
      </c>
      <c r="Q12" s="433">
        <v>0</v>
      </c>
      <c r="R12" s="434">
        <v>0</v>
      </c>
      <c r="S12" s="433">
        <v>0</v>
      </c>
      <c r="T12" s="432" t="s">
        <v>879</v>
      </c>
      <c r="U12" s="432" t="s">
        <v>879</v>
      </c>
      <c r="V12" s="432" t="s">
        <v>879</v>
      </c>
      <c r="W12" s="432" t="s">
        <v>879</v>
      </c>
      <c r="X12" s="432" t="s">
        <v>879</v>
      </c>
      <c r="Y12" s="432" t="s">
        <v>879</v>
      </c>
      <c r="Z12" s="434">
        <v>0</v>
      </c>
      <c r="AA12" s="433">
        <v>0</v>
      </c>
      <c r="AB12" s="434">
        <v>0</v>
      </c>
      <c r="AC12" s="433">
        <v>0</v>
      </c>
      <c r="AD12" s="434">
        <v>0</v>
      </c>
      <c r="AE12" s="433">
        <v>0</v>
      </c>
      <c r="AF12" s="434">
        <v>0</v>
      </c>
      <c r="AG12" s="433">
        <v>0</v>
      </c>
      <c r="AH12" s="435">
        <v>0</v>
      </c>
      <c r="AI12" s="433">
        <v>0</v>
      </c>
      <c r="AJ12" s="435">
        <v>0</v>
      </c>
      <c r="AK12" s="433">
        <v>0</v>
      </c>
      <c r="AL12" s="432"/>
      <c r="AM12" s="432"/>
      <c r="AN12" s="434">
        <v>0</v>
      </c>
      <c r="AO12" s="433">
        <v>0</v>
      </c>
      <c r="AP12" s="432" t="s">
        <v>879</v>
      </c>
      <c r="AQ12" s="436">
        <v>0</v>
      </c>
      <c r="AR12" s="434">
        <v>0</v>
      </c>
      <c r="AS12" s="432" t="s">
        <v>879</v>
      </c>
      <c r="AT12" s="432" t="s">
        <v>880</v>
      </c>
      <c r="AU12" s="432" t="s">
        <v>880</v>
      </c>
      <c r="AV12" s="432" t="s">
        <v>880</v>
      </c>
      <c r="AW12" s="432" t="s">
        <v>880</v>
      </c>
      <c r="AX12" s="432" t="s">
        <v>880</v>
      </c>
      <c r="AY12" s="434">
        <v>0</v>
      </c>
      <c r="AZ12" s="432" t="s">
        <v>879</v>
      </c>
      <c r="BA12" s="434">
        <v>0</v>
      </c>
      <c r="BB12" s="432" t="s">
        <v>879</v>
      </c>
      <c r="BC12" s="434">
        <v>0</v>
      </c>
      <c r="BD12" s="432" t="s">
        <v>879</v>
      </c>
      <c r="BE12" s="434">
        <v>0</v>
      </c>
      <c r="BF12" s="434">
        <v>0</v>
      </c>
      <c r="BG12" s="434">
        <v>0</v>
      </c>
      <c r="BH12" s="434">
        <v>0</v>
      </c>
      <c r="BI12" s="432" t="s">
        <v>879</v>
      </c>
      <c r="BJ12" s="432" t="s">
        <v>879</v>
      </c>
      <c r="BK12" s="432" t="s">
        <v>879</v>
      </c>
      <c r="BL12" s="433">
        <v>0</v>
      </c>
      <c r="BM12" s="432" t="s">
        <v>879</v>
      </c>
      <c r="BN12" s="433">
        <v>0</v>
      </c>
      <c r="BO12" s="433">
        <v>0</v>
      </c>
      <c r="BP12" s="433">
        <v>0</v>
      </c>
      <c r="BQ12" s="433">
        <v>0</v>
      </c>
      <c r="BR12" s="433">
        <v>0</v>
      </c>
      <c r="BS12" s="437">
        <v>0</v>
      </c>
      <c r="BT12" s="432" t="s">
        <v>879</v>
      </c>
      <c r="BU12" s="432" t="s">
        <v>879</v>
      </c>
      <c r="BV12" s="432" t="s">
        <v>879</v>
      </c>
      <c r="BW12" s="433">
        <v>0</v>
      </c>
      <c r="BX12" s="433">
        <v>0</v>
      </c>
      <c r="BY12" s="433">
        <v>0</v>
      </c>
      <c r="BZ12" s="433">
        <v>0</v>
      </c>
      <c r="CA12" s="434">
        <v>0</v>
      </c>
      <c r="CB12" s="434">
        <v>0</v>
      </c>
      <c r="CC12" s="433">
        <v>0</v>
      </c>
      <c r="CD12" s="432" t="s">
        <v>879</v>
      </c>
      <c r="CE12" s="432" t="s">
        <v>879</v>
      </c>
      <c r="CF12" s="434">
        <v>0</v>
      </c>
      <c r="CG12" s="434">
        <v>0</v>
      </c>
      <c r="CH12" s="434">
        <v>0</v>
      </c>
      <c r="CI12" s="434">
        <v>0</v>
      </c>
      <c r="CJ12" s="432" t="s">
        <v>879</v>
      </c>
      <c r="CK12" s="432" t="s">
        <v>879</v>
      </c>
      <c r="CL12" s="432" t="s">
        <v>879</v>
      </c>
      <c r="CM12" s="432" t="s">
        <v>879</v>
      </c>
      <c r="CN12" s="432" t="s">
        <v>879</v>
      </c>
      <c r="CO12" s="432" t="s">
        <v>879</v>
      </c>
      <c r="CP12" s="434">
        <v>0</v>
      </c>
      <c r="CQ12" s="432" t="s">
        <v>879</v>
      </c>
      <c r="CR12" s="434">
        <v>0</v>
      </c>
      <c r="CS12" s="432" t="s">
        <v>879</v>
      </c>
      <c r="CT12" s="434">
        <v>0</v>
      </c>
      <c r="CU12" s="432" t="s">
        <v>879</v>
      </c>
      <c r="CV12" s="432" t="s">
        <v>879</v>
      </c>
      <c r="CW12" s="434">
        <v>0</v>
      </c>
      <c r="CX12" s="432" t="s">
        <v>879</v>
      </c>
      <c r="CY12" s="434">
        <v>0</v>
      </c>
      <c r="CZ12" s="432" t="s">
        <v>879</v>
      </c>
      <c r="DA12" s="434">
        <v>0</v>
      </c>
      <c r="DB12" s="432" t="s">
        <v>879</v>
      </c>
      <c r="DC12" s="432" t="s">
        <v>879</v>
      </c>
      <c r="DD12" s="432" t="s">
        <v>879</v>
      </c>
      <c r="DE12" s="432" t="s">
        <v>879</v>
      </c>
      <c r="DF12" s="432"/>
    </row>
    <row customHeight="true" ht="16.296296296296294" r="13">
      <c r="A13" s="432" t="s">
        <v>891</v>
      </c>
      <c r="B13" s="432" t="s">
        <v>876</v>
      </c>
      <c r="C13" s="432" t="s">
        <v>877</v>
      </c>
      <c r="D13" s="432" t="s">
        <v>877</v>
      </c>
      <c r="E13" s="432" t="s">
        <v>876</v>
      </c>
      <c r="F13" s="432" t="s">
        <v>878</v>
      </c>
      <c r="G13" s="433">
        <v>0</v>
      </c>
      <c r="H13" s="433">
        <v>0</v>
      </c>
      <c r="I13" s="434">
        <v>0</v>
      </c>
      <c r="J13" s="434">
        <v>0</v>
      </c>
      <c r="K13" s="434">
        <v>0</v>
      </c>
      <c r="L13" s="434">
        <v>0</v>
      </c>
      <c r="M13" s="434">
        <v>0</v>
      </c>
      <c r="N13" s="434">
        <v>0</v>
      </c>
      <c r="O13" s="434">
        <v>0</v>
      </c>
      <c r="P13" s="434">
        <v>0</v>
      </c>
      <c r="Q13" s="433">
        <v>0</v>
      </c>
      <c r="R13" s="434">
        <v>0</v>
      </c>
      <c r="S13" s="433">
        <v>0</v>
      </c>
      <c r="T13" s="432" t="s">
        <v>879</v>
      </c>
      <c r="U13" s="432" t="s">
        <v>879</v>
      </c>
      <c r="V13" s="432" t="s">
        <v>879</v>
      </c>
      <c r="W13" s="432" t="s">
        <v>879</v>
      </c>
      <c r="X13" s="432" t="s">
        <v>879</v>
      </c>
      <c r="Y13" s="432" t="s">
        <v>879</v>
      </c>
      <c r="Z13" s="434">
        <v>0</v>
      </c>
      <c r="AA13" s="433">
        <v>0</v>
      </c>
      <c r="AB13" s="434">
        <v>0</v>
      </c>
      <c r="AC13" s="433">
        <v>0</v>
      </c>
      <c r="AD13" s="434">
        <v>0</v>
      </c>
      <c r="AE13" s="433">
        <v>0</v>
      </c>
      <c r="AF13" s="434">
        <v>0</v>
      </c>
      <c r="AG13" s="433">
        <v>0</v>
      </c>
      <c r="AH13" s="435">
        <v>0</v>
      </c>
      <c r="AI13" s="433">
        <v>0</v>
      </c>
      <c r="AJ13" s="435">
        <v>0</v>
      </c>
      <c r="AK13" s="433">
        <v>0</v>
      </c>
      <c r="AL13" s="432"/>
      <c r="AM13" s="432"/>
      <c r="AN13" s="434">
        <v>0</v>
      </c>
      <c r="AO13" s="433">
        <v>0</v>
      </c>
      <c r="AP13" s="432" t="s">
        <v>879</v>
      </c>
      <c r="AQ13" s="436">
        <v>0</v>
      </c>
      <c r="AR13" s="434">
        <v>0</v>
      </c>
      <c r="AS13" s="432" t="s">
        <v>879</v>
      </c>
      <c r="AT13" s="432" t="s">
        <v>880</v>
      </c>
      <c r="AU13" s="432" t="s">
        <v>880</v>
      </c>
      <c r="AV13" s="432" t="s">
        <v>880</v>
      </c>
      <c r="AW13" s="432" t="s">
        <v>880</v>
      </c>
      <c r="AX13" s="432" t="s">
        <v>880</v>
      </c>
      <c r="AY13" s="434">
        <v>0</v>
      </c>
      <c r="AZ13" s="432" t="s">
        <v>879</v>
      </c>
      <c r="BA13" s="434">
        <v>0</v>
      </c>
      <c r="BB13" s="432" t="s">
        <v>879</v>
      </c>
      <c r="BC13" s="434">
        <v>0</v>
      </c>
      <c r="BD13" s="432" t="s">
        <v>879</v>
      </c>
      <c r="BE13" s="434">
        <v>0</v>
      </c>
      <c r="BF13" s="434">
        <v>0</v>
      </c>
      <c r="BG13" s="434">
        <v>0</v>
      </c>
      <c r="BH13" s="434">
        <v>0</v>
      </c>
      <c r="BI13" s="432" t="s">
        <v>879</v>
      </c>
      <c r="BJ13" s="432" t="s">
        <v>879</v>
      </c>
      <c r="BK13" s="432" t="s">
        <v>879</v>
      </c>
      <c r="BL13" s="433">
        <v>0</v>
      </c>
      <c r="BM13" s="432" t="s">
        <v>879</v>
      </c>
      <c r="BN13" s="433">
        <v>0</v>
      </c>
      <c r="BO13" s="433">
        <v>0</v>
      </c>
      <c r="BP13" s="433">
        <v>0</v>
      </c>
      <c r="BQ13" s="433">
        <v>0</v>
      </c>
      <c r="BR13" s="433">
        <v>0</v>
      </c>
      <c r="BS13" s="437">
        <v>0</v>
      </c>
      <c r="BT13" s="432" t="s">
        <v>879</v>
      </c>
      <c r="BU13" s="432" t="s">
        <v>879</v>
      </c>
      <c r="BV13" s="432" t="s">
        <v>879</v>
      </c>
      <c r="BW13" s="433">
        <v>0</v>
      </c>
      <c r="BX13" s="433">
        <v>0</v>
      </c>
      <c r="BY13" s="433">
        <v>0</v>
      </c>
      <c r="BZ13" s="433">
        <v>0</v>
      </c>
      <c r="CA13" s="434">
        <v>0</v>
      </c>
      <c r="CB13" s="434">
        <v>0</v>
      </c>
      <c r="CC13" s="433">
        <v>0</v>
      </c>
      <c r="CD13" s="432" t="s">
        <v>879</v>
      </c>
      <c r="CE13" s="432" t="s">
        <v>879</v>
      </c>
      <c r="CF13" s="434">
        <v>0</v>
      </c>
      <c r="CG13" s="434">
        <v>0</v>
      </c>
      <c r="CH13" s="434">
        <v>0</v>
      </c>
      <c r="CI13" s="434">
        <v>0</v>
      </c>
      <c r="CJ13" s="432" t="s">
        <v>879</v>
      </c>
      <c r="CK13" s="432" t="s">
        <v>879</v>
      </c>
      <c r="CL13" s="432" t="s">
        <v>879</v>
      </c>
      <c r="CM13" s="432" t="s">
        <v>879</v>
      </c>
      <c r="CN13" s="432" t="s">
        <v>879</v>
      </c>
      <c r="CO13" s="432" t="s">
        <v>879</v>
      </c>
      <c r="CP13" s="434">
        <v>0</v>
      </c>
      <c r="CQ13" s="432" t="s">
        <v>879</v>
      </c>
      <c r="CR13" s="434">
        <v>0</v>
      </c>
      <c r="CS13" s="432" t="s">
        <v>879</v>
      </c>
      <c r="CT13" s="434">
        <v>0</v>
      </c>
      <c r="CU13" s="432" t="s">
        <v>879</v>
      </c>
      <c r="CV13" s="432" t="s">
        <v>879</v>
      </c>
      <c r="CW13" s="434">
        <v>0</v>
      </c>
      <c r="CX13" s="432" t="s">
        <v>879</v>
      </c>
      <c r="CY13" s="434">
        <v>0</v>
      </c>
      <c r="CZ13" s="432" t="s">
        <v>879</v>
      </c>
      <c r="DA13" s="434">
        <v>0</v>
      </c>
      <c r="DB13" s="432" t="s">
        <v>879</v>
      </c>
      <c r="DC13" s="432" t="s">
        <v>879</v>
      </c>
      <c r="DD13" s="432" t="s">
        <v>879</v>
      </c>
      <c r="DE13" s="432" t="s">
        <v>879</v>
      </c>
      <c r="DF13" s="432"/>
    </row>
    <row customHeight="true" ht="16.296296296296294" r="14">
      <c r="A14" s="432" t="s">
        <v>892</v>
      </c>
      <c r="B14" s="432" t="s">
        <v>876</v>
      </c>
      <c r="C14" s="432" t="s">
        <v>877</v>
      </c>
      <c r="D14" s="432" t="s">
        <v>877</v>
      </c>
      <c r="E14" s="432" t="s">
        <v>876</v>
      </c>
      <c r="F14" s="432" t="s">
        <v>878</v>
      </c>
      <c r="G14" s="433">
        <v>0</v>
      </c>
      <c r="H14" s="433">
        <v>0</v>
      </c>
      <c r="I14" s="434">
        <v>0</v>
      </c>
      <c r="J14" s="434">
        <v>0</v>
      </c>
      <c r="K14" s="434">
        <v>0</v>
      </c>
      <c r="L14" s="434">
        <v>0</v>
      </c>
      <c r="M14" s="434">
        <v>0</v>
      </c>
      <c r="N14" s="434">
        <v>0</v>
      </c>
      <c r="O14" s="434">
        <v>0</v>
      </c>
      <c r="P14" s="434">
        <v>0</v>
      </c>
      <c r="Q14" s="433">
        <v>0</v>
      </c>
      <c r="R14" s="434">
        <v>0</v>
      </c>
      <c r="S14" s="433">
        <v>0</v>
      </c>
      <c r="T14" s="432" t="s">
        <v>879</v>
      </c>
      <c r="U14" s="432" t="s">
        <v>879</v>
      </c>
      <c r="V14" s="432" t="s">
        <v>879</v>
      </c>
      <c r="W14" s="432" t="s">
        <v>879</v>
      </c>
      <c r="X14" s="432" t="s">
        <v>879</v>
      </c>
      <c r="Y14" s="432" t="s">
        <v>879</v>
      </c>
      <c r="Z14" s="434">
        <v>0</v>
      </c>
      <c r="AA14" s="433">
        <v>0</v>
      </c>
      <c r="AB14" s="434">
        <v>0</v>
      </c>
      <c r="AC14" s="433">
        <v>0</v>
      </c>
      <c r="AD14" s="434">
        <v>0</v>
      </c>
      <c r="AE14" s="433">
        <v>0</v>
      </c>
      <c r="AF14" s="434">
        <v>0</v>
      </c>
      <c r="AG14" s="433">
        <v>0</v>
      </c>
      <c r="AH14" s="435">
        <v>0</v>
      </c>
      <c r="AI14" s="433">
        <v>0</v>
      </c>
      <c r="AJ14" s="435">
        <v>0</v>
      </c>
      <c r="AK14" s="433">
        <v>0</v>
      </c>
      <c r="AL14" s="432"/>
      <c r="AM14" s="432"/>
      <c r="AN14" s="434">
        <v>0</v>
      </c>
      <c r="AO14" s="433">
        <v>0</v>
      </c>
      <c r="AP14" s="432" t="s">
        <v>879</v>
      </c>
      <c r="AQ14" s="436">
        <v>0</v>
      </c>
      <c r="AR14" s="434">
        <v>0</v>
      </c>
      <c r="AS14" s="432" t="s">
        <v>879</v>
      </c>
      <c r="AT14" s="432" t="s">
        <v>880</v>
      </c>
      <c r="AU14" s="432" t="s">
        <v>880</v>
      </c>
      <c r="AV14" s="432" t="s">
        <v>880</v>
      </c>
      <c r="AW14" s="432" t="s">
        <v>880</v>
      </c>
      <c r="AX14" s="432" t="s">
        <v>880</v>
      </c>
      <c r="AY14" s="434">
        <v>0</v>
      </c>
      <c r="AZ14" s="432" t="s">
        <v>879</v>
      </c>
      <c r="BA14" s="434">
        <v>0</v>
      </c>
      <c r="BB14" s="432" t="s">
        <v>879</v>
      </c>
      <c r="BC14" s="434">
        <v>0</v>
      </c>
      <c r="BD14" s="432" t="s">
        <v>879</v>
      </c>
      <c r="BE14" s="434">
        <v>0</v>
      </c>
      <c r="BF14" s="434">
        <v>0</v>
      </c>
      <c r="BG14" s="434">
        <v>0</v>
      </c>
      <c r="BH14" s="434">
        <v>0</v>
      </c>
      <c r="BI14" s="432" t="s">
        <v>879</v>
      </c>
      <c r="BJ14" s="432" t="s">
        <v>879</v>
      </c>
      <c r="BK14" s="432" t="s">
        <v>879</v>
      </c>
      <c r="BL14" s="433">
        <v>0</v>
      </c>
      <c r="BM14" s="432" t="s">
        <v>879</v>
      </c>
      <c r="BN14" s="433">
        <v>0</v>
      </c>
      <c r="BO14" s="433">
        <v>0</v>
      </c>
      <c r="BP14" s="433">
        <v>0</v>
      </c>
      <c r="BQ14" s="433">
        <v>0</v>
      </c>
      <c r="BR14" s="433">
        <v>0</v>
      </c>
      <c r="BS14" s="437">
        <v>0</v>
      </c>
      <c r="BT14" s="432" t="s">
        <v>879</v>
      </c>
      <c r="BU14" s="432" t="s">
        <v>879</v>
      </c>
      <c r="BV14" s="432" t="s">
        <v>879</v>
      </c>
      <c r="BW14" s="433">
        <v>0</v>
      </c>
      <c r="BX14" s="433">
        <v>0</v>
      </c>
      <c r="BY14" s="433">
        <v>0</v>
      </c>
      <c r="BZ14" s="433">
        <v>0</v>
      </c>
      <c r="CA14" s="434">
        <v>0</v>
      </c>
      <c r="CB14" s="434">
        <v>0</v>
      </c>
      <c r="CC14" s="433">
        <v>0</v>
      </c>
      <c r="CD14" s="432" t="s">
        <v>879</v>
      </c>
      <c r="CE14" s="432" t="s">
        <v>879</v>
      </c>
      <c r="CF14" s="434">
        <v>0</v>
      </c>
      <c r="CG14" s="434">
        <v>0</v>
      </c>
      <c r="CH14" s="434">
        <v>0</v>
      </c>
      <c r="CI14" s="434">
        <v>0</v>
      </c>
      <c r="CJ14" s="432" t="s">
        <v>879</v>
      </c>
      <c r="CK14" s="432" t="s">
        <v>879</v>
      </c>
      <c r="CL14" s="432" t="s">
        <v>879</v>
      </c>
      <c r="CM14" s="432" t="s">
        <v>879</v>
      </c>
      <c r="CN14" s="432" t="s">
        <v>879</v>
      </c>
      <c r="CO14" s="432" t="s">
        <v>879</v>
      </c>
      <c r="CP14" s="434">
        <v>0</v>
      </c>
      <c r="CQ14" s="432" t="s">
        <v>879</v>
      </c>
      <c r="CR14" s="434">
        <v>0</v>
      </c>
      <c r="CS14" s="432" t="s">
        <v>879</v>
      </c>
      <c r="CT14" s="434">
        <v>0</v>
      </c>
      <c r="CU14" s="432" t="s">
        <v>879</v>
      </c>
      <c r="CV14" s="432" t="s">
        <v>879</v>
      </c>
      <c r="CW14" s="434">
        <v>0</v>
      </c>
      <c r="CX14" s="432" t="s">
        <v>879</v>
      </c>
      <c r="CY14" s="434">
        <v>0</v>
      </c>
      <c r="CZ14" s="432" t="s">
        <v>879</v>
      </c>
      <c r="DA14" s="434">
        <v>0</v>
      </c>
      <c r="DB14" s="432" t="s">
        <v>879</v>
      </c>
      <c r="DC14" s="432" t="s">
        <v>879</v>
      </c>
      <c r="DD14" s="432" t="s">
        <v>879</v>
      </c>
      <c r="DE14" s="432" t="s">
        <v>879</v>
      </c>
      <c r="DF14" s="432"/>
    </row>
    <row customHeight="true" ht="16.296296296296294" r="15">
      <c r="A15" s="432" t="s">
        <v>893</v>
      </c>
      <c r="B15" s="432" t="s">
        <v>876</v>
      </c>
      <c r="C15" s="432" t="s">
        <v>877</v>
      </c>
      <c r="D15" s="432" t="s">
        <v>877</v>
      </c>
      <c r="E15" s="432" t="s">
        <v>876</v>
      </c>
      <c r="F15" s="432" t="s">
        <v>878</v>
      </c>
      <c r="G15" s="433">
        <v>0</v>
      </c>
      <c r="H15" s="433">
        <v>0</v>
      </c>
      <c r="I15" s="434">
        <v>0</v>
      </c>
      <c r="J15" s="434">
        <v>0</v>
      </c>
      <c r="K15" s="434">
        <v>0</v>
      </c>
      <c r="L15" s="434">
        <v>0</v>
      </c>
      <c r="M15" s="434">
        <v>0</v>
      </c>
      <c r="N15" s="434">
        <v>0</v>
      </c>
      <c r="O15" s="434">
        <v>0</v>
      </c>
      <c r="P15" s="434">
        <v>0</v>
      </c>
      <c r="Q15" s="433">
        <v>0</v>
      </c>
      <c r="R15" s="434">
        <v>0</v>
      </c>
      <c r="S15" s="433">
        <v>0</v>
      </c>
      <c r="T15" s="432" t="s">
        <v>879</v>
      </c>
      <c r="U15" s="432" t="s">
        <v>879</v>
      </c>
      <c r="V15" s="432" t="s">
        <v>879</v>
      </c>
      <c r="W15" s="432" t="s">
        <v>879</v>
      </c>
      <c r="X15" s="432" t="s">
        <v>879</v>
      </c>
      <c r="Y15" s="432" t="s">
        <v>879</v>
      </c>
      <c r="Z15" s="434">
        <v>0</v>
      </c>
      <c r="AA15" s="433">
        <v>0</v>
      </c>
      <c r="AB15" s="434">
        <v>0</v>
      </c>
      <c r="AC15" s="433">
        <v>0</v>
      </c>
      <c r="AD15" s="434">
        <v>0</v>
      </c>
      <c r="AE15" s="433">
        <v>0</v>
      </c>
      <c r="AF15" s="434">
        <v>0</v>
      </c>
      <c r="AG15" s="433">
        <v>0</v>
      </c>
      <c r="AH15" s="435">
        <v>0</v>
      </c>
      <c r="AI15" s="433">
        <v>0</v>
      </c>
      <c r="AJ15" s="435">
        <v>0</v>
      </c>
      <c r="AK15" s="433">
        <v>0</v>
      </c>
      <c r="AL15" s="432"/>
      <c r="AM15" s="432"/>
      <c r="AN15" s="434">
        <v>0</v>
      </c>
      <c r="AO15" s="433">
        <v>0</v>
      </c>
      <c r="AP15" s="432" t="s">
        <v>879</v>
      </c>
      <c r="AQ15" s="436">
        <v>0</v>
      </c>
      <c r="AR15" s="434">
        <v>0</v>
      </c>
      <c r="AS15" s="432" t="s">
        <v>879</v>
      </c>
      <c r="AT15" s="432" t="s">
        <v>880</v>
      </c>
      <c r="AU15" s="432" t="s">
        <v>880</v>
      </c>
      <c r="AV15" s="432" t="s">
        <v>880</v>
      </c>
      <c r="AW15" s="432" t="s">
        <v>880</v>
      </c>
      <c r="AX15" s="432" t="s">
        <v>880</v>
      </c>
      <c r="AY15" s="434">
        <v>0</v>
      </c>
      <c r="AZ15" s="432" t="s">
        <v>879</v>
      </c>
      <c r="BA15" s="434">
        <v>0</v>
      </c>
      <c r="BB15" s="432" t="s">
        <v>879</v>
      </c>
      <c r="BC15" s="434">
        <v>0</v>
      </c>
      <c r="BD15" s="432" t="s">
        <v>879</v>
      </c>
      <c r="BE15" s="434">
        <v>0</v>
      </c>
      <c r="BF15" s="434">
        <v>0</v>
      </c>
      <c r="BG15" s="434">
        <v>0</v>
      </c>
      <c r="BH15" s="434">
        <v>0</v>
      </c>
      <c r="BI15" s="432" t="s">
        <v>879</v>
      </c>
      <c r="BJ15" s="432" t="s">
        <v>879</v>
      </c>
      <c r="BK15" s="432" t="s">
        <v>879</v>
      </c>
      <c r="BL15" s="433">
        <v>0</v>
      </c>
      <c r="BM15" s="432" t="s">
        <v>879</v>
      </c>
      <c r="BN15" s="433">
        <v>0</v>
      </c>
      <c r="BO15" s="433">
        <v>0</v>
      </c>
      <c r="BP15" s="433">
        <v>0</v>
      </c>
      <c r="BQ15" s="433">
        <v>0</v>
      </c>
      <c r="BR15" s="433">
        <v>0</v>
      </c>
      <c r="BS15" s="437">
        <v>0</v>
      </c>
      <c r="BT15" s="432" t="s">
        <v>879</v>
      </c>
      <c r="BU15" s="432" t="s">
        <v>879</v>
      </c>
      <c r="BV15" s="432" t="s">
        <v>879</v>
      </c>
      <c r="BW15" s="433">
        <v>0</v>
      </c>
      <c r="BX15" s="433">
        <v>0</v>
      </c>
      <c r="BY15" s="433">
        <v>0</v>
      </c>
      <c r="BZ15" s="433">
        <v>0</v>
      </c>
      <c r="CA15" s="434">
        <v>0</v>
      </c>
      <c r="CB15" s="434">
        <v>0</v>
      </c>
      <c r="CC15" s="433">
        <v>0</v>
      </c>
      <c r="CD15" s="432" t="s">
        <v>879</v>
      </c>
      <c r="CE15" s="432" t="s">
        <v>879</v>
      </c>
      <c r="CF15" s="434">
        <v>0</v>
      </c>
      <c r="CG15" s="434">
        <v>0</v>
      </c>
      <c r="CH15" s="434">
        <v>0</v>
      </c>
      <c r="CI15" s="434">
        <v>0</v>
      </c>
      <c r="CJ15" s="432" t="s">
        <v>879</v>
      </c>
      <c r="CK15" s="432" t="s">
        <v>879</v>
      </c>
      <c r="CL15" s="432" t="s">
        <v>879</v>
      </c>
      <c r="CM15" s="432" t="s">
        <v>879</v>
      </c>
      <c r="CN15" s="432" t="s">
        <v>879</v>
      </c>
      <c r="CO15" s="432" t="s">
        <v>879</v>
      </c>
      <c r="CP15" s="434">
        <v>0</v>
      </c>
      <c r="CQ15" s="432" t="s">
        <v>879</v>
      </c>
      <c r="CR15" s="434">
        <v>0</v>
      </c>
      <c r="CS15" s="432" t="s">
        <v>879</v>
      </c>
      <c r="CT15" s="434">
        <v>0</v>
      </c>
      <c r="CU15" s="432" t="s">
        <v>879</v>
      </c>
      <c r="CV15" s="432" t="s">
        <v>879</v>
      </c>
      <c r="CW15" s="434">
        <v>0</v>
      </c>
      <c r="CX15" s="432" t="s">
        <v>879</v>
      </c>
      <c r="CY15" s="434">
        <v>0</v>
      </c>
      <c r="CZ15" s="432" t="s">
        <v>879</v>
      </c>
      <c r="DA15" s="434">
        <v>0</v>
      </c>
      <c r="DB15" s="432" t="s">
        <v>879</v>
      </c>
      <c r="DC15" s="432" t="s">
        <v>879</v>
      </c>
      <c r="DD15" s="432" t="s">
        <v>879</v>
      </c>
      <c r="DE15" s="432" t="s">
        <v>879</v>
      </c>
      <c r="DF15" s="432"/>
    </row>
    <row customHeight="true" ht="16.296296296296294" r="16">
      <c r="A16" s="432" t="s">
        <v>894</v>
      </c>
      <c r="B16" s="432" t="s">
        <v>876</v>
      </c>
      <c r="C16" s="432" t="s">
        <v>877</v>
      </c>
      <c r="D16" s="432" t="s">
        <v>877</v>
      </c>
      <c r="E16" s="432" t="s">
        <v>876</v>
      </c>
      <c r="F16" s="432" t="s">
        <v>878</v>
      </c>
      <c r="G16" s="433">
        <v>0</v>
      </c>
      <c r="H16" s="433">
        <v>0</v>
      </c>
      <c r="I16" s="434">
        <v>0</v>
      </c>
      <c r="J16" s="434">
        <v>0</v>
      </c>
      <c r="K16" s="434">
        <v>0</v>
      </c>
      <c r="L16" s="434">
        <v>0</v>
      </c>
      <c r="M16" s="434">
        <v>0</v>
      </c>
      <c r="N16" s="434">
        <v>0</v>
      </c>
      <c r="O16" s="434">
        <v>0</v>
      </c>
      <c r="P16" s="434">
        <v>0</v>
      </c>
      <c r="Q16" s="433">
        <v>0</v>
      </c>
      <c r="R16" s="434">
        <v>0</v>
      </c>
      <c r="S16" s="433">
        <v>0</v>
      </c>
      <c r="T16" s="432" t="s">
        <v>879</v>
      </c>
      <c r="U16" s="432" t="s">
        <v>879</v>
      </c>
      <c r="V16" s="432" t="s">
        <v>879</v>
      </c>
      <c r="W16" s="432" t="s">
        <v>879</v>
      </c>
      <c r="X16" s="432" t="s">
        <v>879</v>
      </c>
      <c r="Y16" s="432" t="s">
        <v>879</v>
      </c>
      <c r="Z16" s="434">
        <v>0</v>
      </c>
      <c r="AA16" s="433">
        <v>0</v>
      </c>
      <c r="AB16" s="434">
        <v>0</v>
      </c>
      <c r="AC16" s="433">
        <v>0</v>
      </c>
      <c r="AD16" s="434">
        <v>0</v>
      </c>
      <c r="AE16" s="433">
        <v>0</v>
      </c>
      <c r="AF16" s="434">
        <v>0</v>
      </c>
      <c r="AG16" s="433">
        <v>0</v>
      </c>
      <c r="AH16" s="435">
        <v>0</v>
      </c>
      <c r="AI16" s="433">
        <v>0</v>
      </c>
      <c r="AJ16" s="435">
        <v>0</v>
      </c>
      <c r="AK16" s="433">
        <v>0</v>
      </c>
      <c r="AL16" s="432"/>
      <c r="AM16" s="432"/>
      <c r="AN16" s="434">
        <v>0</v>
      </c>
      <c r="AO16" s="433">
        <v>0</v>
      </c>
      <c r="AP16" s="432" t="s">
        <v>879</v>
      </c>
      <c r="AQ16" s="436">
        <v>0</v>
      </c>
      <c r="AR16" s="434">
        <v>0</v>
      </c>
      <c r="AS16" s="432" t="s">
        <v>879</v>
      </c>
      <c r="AT16" s="432" t="s">
        <v>880</v>
      </c>
      <c r="AU16" s="432" t="s">
        <v>880</v>
      </c>
      <c r="AV16" s="432" t="s">
        <v>880</v>
      </c>
      <c r="AW16" s="432" t="s">
        <v>880</v>
      </c>
      <c r="AX16" s="432" t="s">
        <v>880</v>
      </c>
      <c r="AY16" s="434">
        <v>0</v>
      </c>
      <c r="AZ16" s="432" t="s">
        <v>879</v>
      </c>
      <c r="BA16" s="434">
        <v>0</v>
      </c>
      <c r="BB16" s="432" t="s">
        <v>879</v>
      </c>
      <c r="BC16" s="434">
        <v>0</v>
      </c>
      <c r="BD16" s="432" t="s">
        <v>879</v>
      </c>
      <c r="BE16" s="434">
        <v>0</v>
      </c>
      <c r="BF16" s="434">
        <v>0</v>
      </c>
      <c r="BG16" s="434">
        <v>0</v>
      </c>
      <c r="BH16" s="434">
        <v>0</v>
      </c>
      <c r="BI16" s="432" t="s">
        <v>879</v>
      </c>
      <c r="BJ16" s="432" t="s">
        <v>879</v>
      </c>
      <c r="BK16" s="432" t="s">
        <v>879</v>
      </c>
      <c r="BL16" s="433">
        <v>0</v>
      </c>
      <c r="BM16" s="432" t="s">
        <v>879</v>
      </c>
      <c r="BN16" s="433">
        <v>0</v>
      </c>
      <c r="BO16" s="433">
        <v>0</v>
      </c>
      <c r="BP16" s="433">
        <v>0</v>
      </c>
      <c r="BQ16" s="433">
        <v>0</v>
      </c>
      <c r="BR16" s="433">
        <v>0</v>
      </c>
      <c r="BS16" s="437">
        <v>0</v>
      </c>
      <c r="BT16" s="432" t="s">
        <v>879</v>
      </c>
      <c r="BU16" s="432" t="s">
        <v>879</v>
      </c>
      <c r="BV16" s="432" t="s">
        <v>879</v>
      </c>
      <c r="BW16" s="433">
        <v>0</v>
      </c>
      <c r="BX16" s="433">
        <v>0</v>
      </c>
      <c r="BY16" s="433">
        <v>0</v>
      </c>
      <c r="BZ16" s="433">
        <v>0</v>
      </c>
      <c r="CA16" s="434">
        <v>0</v>
      </c>
      <c r="CB16" s="434">
        <v>0</v>
      </c>
      <c r="CC16" s="433">
        <v>0</v>
      </c>
      <c r="CD16" s="432" t="s">
        <v>879</v>
      </c>
      <c r="CE16" s="432" t="s">
        <v>879</v>
      </c>
      <c r="CF16" s="434">
        <v>0</v>
      </c>
      <c r="CG16" s="434">
        <v>0</v>
      </c>
      <c r="CH16" s="434">
        <v>0</v>
      </c>
      <c r="CI16" s="434">
        <v>0</v>
      </c>
      <c r="CJ16" s="432" t="s">
        <v>879</v>
      </c>
      <c r="CK16" s="432" t="s">
        <v>879</v>
      </c>
      <c r="CL16" s="432" t="s">
        <v>879</v>
      </c>
      <c r="CM16" s="432" t="s">
        <v>879</v>
      </c>
      <c r="CN16" s="432" t="s">
        <v>879</v>
      </c>
      <c r="CO16" s="432" t="s">
        <v>879</v>
      </c>
      <c r="CP16" s="434">
        <v>0</v>
      </c>
      <c r="CQ16" s="432" t="s">
        <v>879</v>
      </c>
      <c r="CR16" s="434">
        <v>0</v>
      </c>
      <c r="CS16" s="432" t="s">
        <v>879</v>
      </c>
      <c r="CT16" s="434">
        <v>0</v>
      </c>
      <c r="CU16" s="432" t="s">
        <v>879</v>
      </c>
      <c r="CV16" s="432" t="s">
        <v>879</v>
      </c>
      <c r="CW16" s="434">
        <v>0</v>
      </c>
      <c r="CX16" s="432" t="s">
        <v>879</v>
      </c>
      <c r="CY16" s="434">
        <v>0</v>
      </c>
      <c r="CZ16" s="432" t="s">
        <v>879</v>
      </c>
      <c r="DA16" s="434">
        <v>0</v>
      </c>
      <c r="DB16" s="432" t="s">
        <v>879</v>
      </c>
      <c r="DC16" s="432" t="s">
        <v>879</v>
      </c>
      <c r="DD16" s="432" t="s">
        <v>879</v>
      </c>
      <c r="DE16" s="432" t="s">
        <v>879</v>
      </c>
      <c r="DF16" s="432"/>
    </row>
    <row customHeight="true" ht="16.296296296296294" r="17">
      <c r="A17" s="432" t="s">
        <v>895</v>
      </c>
      <c r="B17" s="432" t="s">
        <v>876</v>
      </c>
      <c r="C17" s="432" t="s">
        <v>877</v>
      </c>
      <c r="D17" s="432" t="s">
        <v>877</v>
      </c>
      <c r="E17" s="432" t="s">
        <v>876</v>
      </c>
      <c r="F17" s="432" t="s">
        <v>878</v>
      </c>
      <c r="G17" s="433">
        <v>0</v>
      </c>
      <c r="H17" s="433">
        <v>0</v>
      </c>
      <c r="I17" s="434">
        <v>0</v>
      </c>
      <c r="J17" s="434">
        <v>0</v>
      </c>
      <c r="K17" s="434">
        <v>0</v>
      </c>
      <c r="L17" s="434">
        <v>0</v>
      </c>
      <c r="M17" s="434">
        <v>0</v>
      </c>
      <c r="N17" s="434">
        <v>0</v>
      </c>
      <c r="O17" s="434">
        <v>0</v>
      </c>
      <c r="P17" s="434">
        <v>0</v>
      </c>
      <c r="Q17" s="433">
        <v>0</v>
      </c>
      <c r="R17" s="434">
        <v>0</v>
      </c>
      <c r="S17" s="433">
        <v>0</v>
      </c>
      <c r="T17" s="432" t="s">
        <v>879</v>
      </c>
      <c r="U17" s="432" t="s">
        <v>879</v>
      </c>
      <c r="V17" s="432" t="s">
        <v>879</v>
      </c>
      <c r="W17" s="432" t="s">
        <v>879</v>
      </c>
      <c r="X17" s="432" t="s">
        <v>879</v>
      </c>
      <c r="Y17" s="432" t="s">
        <v>879</v>
      </c>
      <c r="Z17" s="434">
        <v>0</v>
      </c>
      <c r="AA17" s="433">
        <v>0</v>
      </c>
      <c r="AB17" s="434">
        <v>0</v>
      </c>
      <c r="AC17" s="433">
        <v>0</v>
      </c>
      <c r="AD17" s="434">
        <v>0</v>
      </c>
      <c r="AE17" s="433">
        <v>0</v>
      </c>
      <c r="AF17" s="434">
        <v>0</v>
      </c>
      <c r="AG17" s="433">
        <v>0</v>
      </c>
      <c r="AH17" s="435">
        <v>0</v>
      </c>
      <c r="AI17" s="433">
        <v>0</v>
      </c>
      <c r="AJ17" s="435">
        <v>0</v>
      </c>
      <c r="AK17" s="433">
        <v>0</v>
      </c>
      <c r="AL17" s="432"/>
      <c r="AM17" s="432"/>
      <c r="AN17" s="434">
        <v>0</v>
      </c>
      <c r="AO17" s="433">
        <v>0</v>
      </c>
      <c r="AP17" s="432" t="s">
        <v>879</v>
      </c>
      <c r="AQ17" s="436">
        <v>0</v>
      </c>
      <c r="AR17" s="434">
        <v>0</v>
      </c>
      <c r="AS17" s="432" t="s">
        <v>879</v>
      </c>
      <c r="AT17" s="432" t="s">
        <v>880</v>
      </c>
      <c r="AU17" s="432" t="s">
        <v>880</v>
      </c>
      <c r="AV17" s="432" t="s">
        <v>880</v>
      </c>
      <c r="AW17" s="432" t="s">
        <v>880</v>
      </c>
      <c r="AX17" s="432" t="s">
        <v>880</v>
      </c>
      <c r="AY17" s="434">
        <v>0</v>
      </c>
      <c r="AZ17" s="432" t="s">
        <v>879</v>
      </c>
      <c r="BA17" s="434">
        <v>0</v>
      </c>
      <c r="BB17" s="432" t="s">
        <v>879</v>
      </c>
      <c r="BC17" s="434">
        <v>0</v>
      </c>
      <c r="BD17" s="432" t="s">
        <v>879</v>
      </c>
      <c r="BE17" s="434">
        <v>0</v>
      </c>
      <c r="BF17" s="434">
        <v>0</v>
      </c>
      <c r="BG17" s="434">
        <v>0</v>
      </c>
      <c r="BH17" s="434">
        <v>0</v>
      </c>
      <c r="BI17" s="432" t="s">
        <v>879</v>
      </c>
      <c r="BJ17" s="432" t="s">
        <v>879</v>
      </c>
      <c r="BK17" s="432" t="s">
        <v>879</v>
      </c>
      <c r="BL17" s="433">
        <v>0</v>
      </c>
      <c r="BM17" s="432" t="s">
        <v>879</v>
      </c>
      <c r="BN17" s="433">
        <v>0</v>
      </c>
      <c r="BO17" s="433">
        <v>0</v>
      </c>
      <c r="BP17" s="433">
        <v>0</v>
      </c>
      <c r="BQ17" s="433">
        <v>0</v>
      </c>
      <c r="BR17" s="433">
        <v>0</v>
      </c>
      <c r="BS17" s="437">
        <v>0</v>
      </c>
      <c r="BT17" s="432" t="s">
        <v>879</v>
      </c>
      <c r="BU17" s="432" t="s">
        <v>879</v>
      </c>
      <c r="BV17" s="432" t="s">
        <v>879</v>
      </c>
      <c r="BW17" s="433">
        <v>0</v>
      </c>
      <c r="BX17" s="433">
        <v>0</v>
      </c>
      <c r="BY17" s="433">
        <v>0</v>
      </c>
      <c r="BZ17" s="433">
        <v>0</v>
      </c>
      <c r="CA17" s="434">
        <v>0</v>
      </c>
      <c r="CB17" s="434">
        <v>0</v>
      </c>
      <c r="CC17" s="433">
        <v>0</v>
      </c>
      <c r="CD17" s="432" t="s">
        <v>879</v>
      </c>
      <c r="CE17" s="432" t="s">
        <v>879</v>
      </c>
      <c r="CF17" s="434">
        <v>0</v>
      </c>
      <c r="CG17" s="434">
        <v>0</v>
      </c>
      <c r="CH17" s="434">
        <v>0</v>
      </c>
      <c r="CI17" s="434">
        <v>0</v>
      </c>
      <c r="CJ17" s="432" t="s">
        <v>879</v>
      </c>
      <c r="CK17" s="432" t="s">
        <v>879</v>
      </c>
      <c r="CL17" s="432" t="s">
        <v>879</v>
      </c>
      <c r="CM17" s="432" t="s">
        <v>879</v>
      </c>
      <c r="CN17" s="432" t="s">
        <v>879</v>
      </c>
      <c r="CO17" s="432" t="s">
        <v>879</v>
      </c>
      <c r="CP17" s="434">
        <v>0</v>
      </c>
      <c r="CQ17" s="432" t="s">
        <v>879</v>
      </c>
      <c r="CR17" s="434">
        <v>0</v>
      </c>
      <c r="CS17" s="432" t="s">
        <v>879</v>
      </c>
      <c r="CT17" s="434">
        <v>0</v>
      </c>
      <c r="CU17" s="432" t="s">
        <v>879</v>
      </c>
      <c r="CV17" s="432" t="s">
        <v>879</v>
      </c>
      <c r="CW17" s="434">
        <v>0</v>
      </c>
      <c r="CX17" s="432" t="s">
        <v>879</v>
      </c>
      <c r="CY17" s="434">
        <v>0</v>
      </c>
      <c r="CZ17" s="432" t="s">
        <v>879</v>
      </c>
      <c r="DA17" s="434">
        <v>0</v>
      </c>
      <c r="DB17" s="432" t="s">
        <v>879</v>
      </c>
      <c r="DC17" s="432" t="s">
        <v>879</v>
      </c>
      <c r="DD17" s="432" t="s">
        <v>879</v>
      </c>
      <c r="DE17" s="432" t="s">
        <v>879</v>
      </c>
      <c r="DF17" s="432"/>
    </row>
    <row customHeight="true" ht="16.296296296296294" r="18">
      <c r="A18" s="432" t="s">
        <v>896</v>
      </c>
      <c r="B18" s="432" t="s">
        <v>876</v>
      </c>
      <c r="C18" s="432" t="s">
        <v>877</v>
      </c>
      <c r="D18" s="432" t="s">
        <v>877</v>
      </c>
      <c r="E18" s="432" t="s">
        <v>876</v>
      </c>
      <c r="F18" s="432" t="s">
        <v>878</v>
      </c>
      <c r="G18" s="433">
        <v>64.99</v>
      </c>
      <c r="H18" s="433">
        <v>64.99</v>
      </c>
      <c r="I18" s="434">
        <v>93</v>
      </c>
      <c r="J18" s="434">
        <v>0</v>
      </c>
      <c r="K18" s="434">
        <v>0</v>
      </c>
      <c r="L18" s="434">
        <v>0</v>
      </c>
      <c r="M18" s="434">
        <v>0</v>
      </c>
      <c r="N18" s="434">
        <v>0</v>
      </c>
      <c r="O18" s="434">
        <v>93</v>
      </c>
      <c r="P18" s="434">
        <v>0</v>
      </c>
      <c r="Q18" s="433">
        <v>0</v>
      </c>
      <c r="R18" s="434">
        <v>0</v>
      </c>
      <c r="S18" s="433">
        <v>0</v>
      </c>
      <c r="T18" s="432" t="s">
        <v>879</v>
      </c>
      <c r="U18" s="432" t="s">
        <v>879</v>
      </c>
      <c r="V18" s="432" t="s">
        <v>879</v>
      </c>
      <c r="W18" s="432" t="s">
        <v>879</v>
      </c>
      <c r="X18" s="432" t="s">
        <v>879</v>
      </c>
      <c r="Y18" s="432" t="s">
        <v>879</v>
      </c>
      <c r="Z18" s="434">
        <v>0</v>
      </c>
      <c r="AA18" s="433">
        <v>0</v>
      </c>
      <c r="AB18" s="434">
        <v>0</v>
      </c>
      <c r="AC18" s="433">
        <v>0</v>
      </c>
      <c r="AD18" s="434">
        <v>0</v>
      </c>
      <c r="AE18" s="433">
        <v>0</v>
      </c>
      <c r="AF18" s="434">
        <v>0</v>
      </c>
      <c r="AG18" s="433">
        <v>0</v>
      </c>
      <c r="AH18" s="435">
        <v>0</v>
      </c>
      <c r="AI18" s="433">
        <v>0</v>
      </c>
      <c r="AJ18" s="435">
        <v>0</v>
      </c>
      <c r="AK18" s="433">
        <v>0</v>
      </c>
      <c r="AL18" s="432"/>
      <c r="AM18" s="432"/>
      <c r="AN18" s="434">
        <v>0</v>
      </c>
      <c r="AO18" s="433">
        <v>0</v>
      </c>
      <c r="AP18" s="432" t="s">
        <v>879</v>
      </c>
      <c r="AQ18" s="436">
        <v>0</v>
      </c>
      <c r="AR18" s="434">
        <v>0</v>
      </c>
      <c r="AS18" s="432" t="s">
        <v>879</v>
      </c>
      <c r="AT18" s="432" t="s">
        <v>880</v>
      </c>
      <c r="AU18" s="432" t="s">
        <v>880</v>
      </c>
      <c r="AV18" s="432" t="s">
        <v>880</v>
      </c>
      <c r="AW18" s="432" t="s">
        <v>880</v>
      </c>
      <c r="AX18" s="432" t="s">
        <v>880</v>
      </c>
      <c r="AY18" s="434">
        <v>0</v>
      </c>
      <c r="AZ18" s="432" t="s">
        <v>879</v>
      </c>
      <c r="BA18" s="434">
        <v>0</v>
      </c>
      <c r="BB18" s="432" t="s">
        <v>879</v>
      </c>
      <c r="BC18" s="434">
        <v>0</v>
      </c>
      <c r="BD18" s="432" t="s">
        <v>879</v>
      </c>
      <c r="BE18" s="434">
        <v>0</v>
      </c>
      <c r="BF18" s="434">
        <v>0</v>
      </c>
      <c r="BG18" s="434">
        <v>0</v>
      </c>
      <c r="BH18" s="434">
        <v>0</v>
      </c>
      <c r="BI18" s="432" t="s">
        <v>879</v>
      </c>
      <c r="BJ18" s="432" t="s">
        <v>879</v>
      </c>
      <c r="BK18" s="432" t="s">
        <v>879</v>
      </c>
      <c r="BL18" s="433">
        <v>0</v>
      </c>
      <c r="BM18" s="432" t="s">
        <v>879</v>
      </c>
      <c r="BN18" s="433">
        <v>0</v>
      </c>
      <c r="BO18" s="433">
        <v>0</v>
      </c>
      <c r="BP18" s="433">
        <v>0</v>
      </c>
      <c r="BQ18" s="433">
        <v>0</v>
      </c>
      <c r="BR18" s="433">
        <v>0</v>
      </c>
      <c r="BS18" s="437">
        <v>0</v>
      </c>
      <c r="BT18" s="432" t="s">
        <v>879</v>
      </c>
      <c r="BU18" s="432" t="s">
        <v>879</v>
      </c>
      <c r="BV18" s="432" t="s">
        <v>879</v>
      </c>
      <c r="BW18" s="433">
        <v>0</v>
      </c>
      <c r="BX18" s="433">
        <v>0</v>
      </c>
      <c r="BY18" s="433">
        <v>0</v>
      </c>
      <c r="BZ18" s="433">
        <v>0</v>
      </c>
      <c r="CA18" s="434">
        <v>0</v>
      </c>
      <c r="CB18" s="434">
        <v>0</v>
      </c>
      <c r="CC18" s="433">
        <v>0</v>
      </c>
      <c r="CD18" s="432" t="s">
        <v>879</v>
      </c>
      <c r="CE18" s="432" t="s">
        <v>879</v>
      </c>
      <c r="CF18" s="434">
        <v>0</v>
      </c>
      <c r="CG18" s="434">
        <v>0</v>
      </c>
      <c r="CH18" s="434">
        <v>0</v>
      </c>
      <c r="CI18" s="434">
        <v>0</v>
      </c>
      <c r="CJ18" s="432" t="s">
        <v>879</v>
      </c>
      <c r="CK18" s="432" t="s">
        <v>879</v>
      </c>
      <c r="CL18" s="432" t="s">
        <v>879</v>
      </c>
      <c r="CM18" s="432" t="s">
        <v>879</v>
      </c>
      <c r="CN18" s="432" t="s">
        <v>879</v>
      </c>
      <c r="CO18" s="432" t="s">
        <v>879</v>
      </c>
      <c r="CP18" s="434">
        <v>0</v>
      </c>
      <c r="CQ18" s="432" t="s">
        <v>879</v>
      </c>
      <c r="CR18" s="434">
        <v>0</v>
      </c>
      <c r="CS18" s="432" t="s">
        <v>879</v>
      </c>
      <c r="CT18" s="434">
        <v>0</v>
      </c>
      <c r="CU18" s="432" t="s">
        <v>879</v>
      </c>
      <c r="CV18" s="432" t="s">
        <v>879</v>
      </c>
      <c r="CW18" s="434">
        <v>0</v>
      </c>
      <c r="CX18" s="432" t="s">
        <v>879</v>
      </c>
      <c r="CY18" s="434">
        <v>0</v>
      </c>
      <c r="CZ18" s="432" t="s">
        <v>879</v>
      </c>
      <c r="DA18" s="434">
        <v>0</v>
      </c>
      <c r="DB18" s="432" t="s">
        <v>879</v>
      </c>
      <c r="DC18" s="432" t="s">
        <v>879</v>
      </c>
      <c r="DD18" s="432" t="s">
        <v>879</v>
      </c>
      <c r="DE18" s="432" t="s">
        <v>879</v>
      </c>
      <c r="DF18" s="432"/>
    </row>
    <row customHeight="true" ht="16.296296296296294" r="19">
      <c r="A19" s="432" t="s">
        <v>897</v>
      </c>
      <c r="B19" s="432" t="s">
        <v>876</v>
      </c>
      <c r="C19" s="432" t="s">
        <v>877</v>
      </c>
      <c r="D19" s="432" t="s">
        <v>877</v>
      </c>
      <c r="E19" s="432" t="s">
        <v>876</v>
      </c>
      <c r="F19" s="432" t="s">
        <v>878</v>
      </c>
      <c r="G19" s="433">
        <v>59.99</v>
      </c>
      <c r="H19" s="433">
        <v>64.99</v>
      </c>
      <c r="I19" s="434">
        <v>159</v>
      </c>
      <c r="J19" s="434">
        <v>0</v>
      </c>
      <c r="K19" s="434">
        <v>0</v>
      </c>
      <c r="L19" s="434">
        <v>0</v>
      </c>
      <c r="M19" s="434">
        <v>0</v>
      </c>
      <c r="N19" s="434">
        <v>0</v>
      </c>
      <c r="O19" s="434">
        <v>159</v>
      </c>
      <c r="P19" s="434">
        <v>0</v>
      </c>
      <c r="Q19" s="433">
        <v>0</v>
      </c>
      <c r="R19" s="434">
        <v>0</v>
      </c>
      <c r="S19" s="433">
        <v>0</v>
      </c>
      <c r="T19" s="432" t="s">
        <v>879</v>
      </c>
      <c r="U19" s="432" t="s">
        <v>879</v>
      </c>
      <c r="V19" s="432" t="s">
        <v>879</v>
      </c>
      <c r="W19" s="432" t="s">
        <v>879</v>
      </c>
      <c r="X19" s="432" t="s">
        <v>879</v>
      </c>
      <c r="Y19" s="432" t="s">
        <v>879</v>
      </c>
      <c r="Z19" s="434">
        <v>0</v>
      </c>
      <c r="AA19" s="433">
        <v>0</v>
      </c>
      <c r="AB19" s="434">
        <v>0</v>
      </c>
      <c r="AC19" s="433">
        <v>0</v>
      </c>
      <c r="AD19" s="434">
        <v>0</v>
      </c>
      <c r="AE19" s="433">
        <v>0</v>
      </c>
      <c r="AF19" s="434">
        <v>0</v>
      </c>
      <c r="AG19" s="433">
        <v>0</v>
      </c>
      <c r="AH19" s="435">
        <v>0</v>
      </c>
      <c r="AI19" s="433">
        <v>0</v>
      </c>
      <c r="AJ19" s="435">
        <v>0</v>
      </c>
      <c r="AK19" s="433">
        <v>0</v>
      </c>
      <c r="AL19" s="432"/>
      <c r="AM19" s="432"/>
      <c r="AN19" s="434">
        <v>0</v>
      </c>
      <c r="AO19" s="433">
        <v>0</v>
      </c>
      <c r="AP19" s="432" t="s">
        <v>879</v>
      </c>
      <c r="AQ19" s="436">
        <v>0</v>
      </c>
      <c r="AR19" s="434">
        <v>0</v>
      </c>
      <c r="AS19" s="432" t="s">
        <v>879</v>
      </c>
      <c r="AT19" s="432" t="s">
        <v>880</v>
      </c>
      <c r="AU19" s="432" t="s">
        <v>880</v>
      </c>
      <c r="AV19" s="432" t="s">
        <v>880</v>
      </c>
      <c r="AW19" s="432" t="s">
        <v>880</v>
      </c>
      <c r="AX19" s="432" t="s">
        <v>880</v>
      </c>
      <c r="AY19" s="434">
        <v>0</v>
      </c>
      <c r="AZ19" s="432" t="s">
        <v>879</v>
      </c>
      <c r="BA19" s="434">
        <v>0</v>
      </c>
      <c r="BB19" s="432" t="s">
        <v>879</v>
      </c>
      <c r="BC19" s="434">
        <v>0</v>
      </c>
      <c r="BD19" s="432" t="s">
        <v>879</v>
      </c>
      <c r="BE19" s="434">
        <v>0</v>
      </c>
      <c r="BF19" s="434">
        <v>0</v>
      </c>
      <c r="BG19" s="434">
        <v>0</v>
      </c>
      <c r="BH19" s="434">
        <v>0</v>
      </c>
      <c r="BI19" s="432" t="s">
        <v>879</v>
      </c>
      <c r="BJ19" s="432" t="s">
        <v>879</v>
      </c>
      <c r="BK19" s="432" t="s">
        <v>879</v>
      </c>
      <c r="BL19" s="433">
        <v>0</v>
      </c>
      <c r="BM19" s="432" t="s">
        <v>879</v>
      </c>
      <c r="BN19" s="433">
        <v>0</v>
      </c>
      <c r="BO19" s="433">
        <v>0</v>
      </c>
      <c r="BP19" s="433">
        <v>0</v>
      </c>
      <c r="BQ19" s="433">
        <v>0</v>
      </c>
      <c r="BR19" s="433">
        <v>0</v>
      </c>
      <c r="BS19" s="437">
        <v>0</v>
      </c>
      <c r="BT19" s="432" t="s">
        <v>879</v>
      </c>
      <c r="BU19" s="432" t="s">
        <v>879</v>
      </c>
      <c r="BV19" s="432" t="s">
        <v>879</v>
      </c>
      <c r="BW19" s="433">
        <v>0</v>
      </c>
      <c r="BX19" s="433">
        <v>0</v>
      </c>
      <c r="BY19" s="433">
        <v>0</v>
      </c>
      <c r="BZ19" s="433">
        <v>0</v>
      </c>
      <c r="CA19" s="434">
        <v>0</v>
      </c>
      <c r="CB19" s="434">
        <v>0</v>
      </c>
      <c r="CC19" s="433">
        <v>0</v>
      </c>
      <c r="CD19" s="432" t="s">
        <v>879</v>
      </c>
      <c r="CE19" s="432" t="s">
        <v>879</v>
      </c>
      <c r="CF19" s="434">
        <v>0</v>
      </c>
      <c r="CG19" s="434">
        <v>0</v>
      </c>
      <c r="CH19" s="434">
        <v>0</v>
      </c>
      <c r="CI19" s="434">
        <v>0</v>
      </c>
      <c r="CJ19" s="432" t="s">
        <v>879</v>
      </c>
      <c r="CK19" s="432" t="s">
        <v>879</v>
      </c>
      <c r="CL19" s="432" t="s">
        <v>879</v>
      </c>
      <c r="CM19" s="432" t="s">
        <v>879</v>
      </c>
      <c r="CN19" s="432" t="s">
        <v>879</v>
      </c>
      <c r="CO19" s="432" t="s">
        <v>879</v>
      </c>
      <c r="CP19" s="434">
        <v>0</v>
      </c>
      <c r="CQ19" s="432" t="s">
        <v>879</v>
      </c>
      <c r="CR19" s="434">
        <v>0</v>
      </c>
      <c r="CS19" s="432" t="s">
        <v>879</v>
      </c>
      <c r="CT19" s="434">
        <v>0</v>
      </c>
      <c r="CU19" s="432" t="s">
        <v>879</v>
      </c>
      <c r="CV19" s="432" t="s">
        <v>879</v>
      </c>
      <c r="CW19" s="434">
        <v>0</v>
      </c>
      <c r="CX19" s="432" t="s">
        <v>879</v>
      </c>
      <c r="CY19" s="434">
        <v>0</v>
      </c>
      <c r="CZ19" s="432" t="s">
        <v>879</v>
      </c>
      <c r="DA19" s="434">
        <v>0</v>
      </c>
      <c r="DB19" s="432" t="s">
        <v>879</v>
      </c>
      <c r="DC19" s="432" t="s">
        <v>879</v>
      </c>
      <c r="DD19" s="432" t="s">
        <v>879</v>
      </c>
      <c r="DE19" s="432" t="s">
        <v>879</v>
      </c>
      <c r="DF19" s="432"/>
    </row>
    <row customHeight="true" ht="16.296296296296294" r="20">
      <c r="A20" s="432" t="s">
        <v>898</v>
      </c>
      <c r="B20" s="432" t="s">
        <v>876</v>
      </c>
      <c r="C20" s="432" t="s">
        <v>877</v>
      </c>
      <c r="D20" s="432" t="s">
        <v>877</v>
      </c>
      <c r="E20" s="432" t="s">
        <v>876</v>
      </c>
      <c r="F20" s="432" t="s">
        <v>878</v>
      </c>
      <c r="G20" s="433">
        <v>59.99</v>
      </c>
      <c r="H20" s="433">
        <v>64.99</v>
      </c>
      <c r="I20" s="434">
        <v>201</v>
      </c>
      <c r="J20" s="434">
        <v>0</v>
      </c>
      <c r="K20" s="434">
        <v>0</v>
      </c>
      <c r="L20" s="434">
        <v>0</v>
      </c>
      <c r="M20" s="434">
        <v>0</v>
      </c>
      <c r="N20" s="434">
        <v>0</v>
      </c>
      <c r="O20" s="434">
        <v>201</v>
      </c>
      <c r="P20" s="434">
        <v>0</v>
      </c>
      <c r="Q20" s="433">
        <v>0</v>
      </c>
      <c r="R20" s="434">
        <v>0</v>
      </c>
      <c r="S20" s="433">
        <v>0</v>
      </c>
      <c r="T20" s="432" t="s">
        <v>879</v>
      </c>
      <c r="U20" s="432" t="s">
        <v>879</v>
      </c>
      <c r="V20" s="432" t="s">
        <v>879</v>
      </c>
      <c r="W20" s="432" t="s">
        <v>879</v>
      </c>
      <c r="X20" s="432" t="s">
        <v>879</v>
      </c>
      <c r="Y20" s="432" t="s">
        <v>879</v>
      </c>
      <c r="Z20" s="434">
        <v>0</v>
      </c>
      <c r="AA20" s="433">
        <v>0</v>
      </c>
      <c r="AB20" s="434">
        <v>0</v>
      </c>
      <c r="AC20" s="433">
        <v>0</v>
      </c>
      <c r="AD20" s="434">
        <v>0</v>
      </c>
      <c r="AE20" s="433">
        <v>0</v>
      </c>
      <c r="AF20" s="434">
        <v>0</v>
      </c>
      <c r="AG20" s="433">
        <v>0</v>
      </c>
      <c r="AH20" s="435">
        <v>0</v>
      </c>
      <c r="AI20" s="433">
        <v>0</v>
      </c>
      <c r="AJ20" s="435">
        <v>0</v>
      </c>
      <c r="AK20" s="433">
        <v>0</v>
      </c>
      <c r="AL20" s="432"/>
      <c r="AM20" s="432"/>
      <c r="AN20" s="434">
        <v>0</v>
      </c>
      <c r="AO20" s="433">
        <v>0</v>
      </c>
      <c r="AP20" s="432" t="s">
        <v>879</v>
      </c>
      <c r="AQ20" s="436">
        <v>0</v>
      </c>
      <c r="AR20" s="434">
        <v>0</v>
      </c>
      <c r="AS20" s="432" t="s">
        <v>879</v>
      </c>
      <c r="AT20" s="432" t="s">
        <v>880</v>
      </c>
      <c r="AU20" s="432" t="s">
        <v>880</v>
      </c>
      <c r="AV20" s="432" t="s">
        <v>880</v>
      </c>
      <c r="AW20" s="432" t="s">
        <v>880</v>
      </c>
      <c r="AX20" s="432" t="s">
        <v>880</v>
      </c>
      <c r="AY20" s="434">
        <v>0</v>
      </c>
      <c r="AZ20" s="432" t="s">
        <v>879</v>
      </c>
      <c r="BA20" s="434">
        <v>0</v>
      </c>
      <c r="BB20" s="432" t="s">
        <v>879</v>
      </c>
      <c r="BC20" s="434">
        <v>0</v>
      </c>
      <c r="BD20" s="432" t="s">
        <v>879</v>
      </c>
      <c r="BE20" s="434">
        <v>0</v>
      </c>
      <c r="BF20" s="434">
        <v>0</v>
      </c>
      <c r="BG20" s="434">
        <v>0</v>
      </c>
      <c r="BH20" s="434">
        <v>0</v>
      </c>
      <c r="BI20" s="432" t="s">
        <v>879</v>
      </c>
      <c r="BJ20" s="432" t="s">
        <v>879</v>
      </c>
      <c r="BK20" s="432" t="s">
        <v>879</v>
      </c>
      <c r="BL20" s="433">
        <v>0</v>
      </c>
      <c r="BM20" s="432" t="s">
        <v>879</v>
      </c>
      <c r="BN20" s="433">
        <v>0</v>
      </c>
      <c r="BO20" s="433">
        <v>0</v>
      </c>
      <c r="BP20" s="433">
        <v>0</v>
      </c>
      <c r="BQ20" s="433">
        <v>0</v>
      </c>
      <c r="BR20" s="433">
        <v>0</v>
      </c>
      <c r="BS20" s="437">
        <v>0</v>
      </c>
      <c r="BT20" s="432" t="s">
        <v>879</v>
      </c>
      <c r="BU20" s="432" t="s">
        <v>879</v>
      </c>
      <c r="BV20" s="432" t="s">
        <v>879</v>
      </c>
      <c r="BW20" s="433">
        <v>0</v>
      </c>
      <c r="BX20" s="433">
        <v>0</v>
      </c>
      <c r="BY20" s="433">
        <v>0</v>
      </c>
      <c r="BZ20" s="433">
        <v>0</v>
      </c>
      <c r="CA20" s="434">
        <v>0</v>
      </c>
      <c r="CB20" s="434">
        <v>0</v>
      </c>
      <c r="CC20" s="433">
        <v>0</v>
      </c>
      <c r="CD20" s="432" t="s">
        <v>879</v>
      </c>
      <c r="CE20" s="432" t="s">
        <v>879</v>
      </c>
      <c r="CF20" s="434">
        <v>0</v>
      </c>
      <c r="CG20" s="434">
        <v>0</v>
      </c>
      <c r="CH20" s="434">
        <v>0</v>
      </c>
      <c r="CI20" s="434">
        <v>0</v>
      </c>
      <c r="CJ20" s="432" t="s">
        <v>879</v>
      </c>
      <c r="CK20" s="432" t="s">
        <v>879</v>
      </c>
      <c r="CL20" s="432" t="s">
        <v>879</v>
      </c>
      <c r="CM20" s="432" t="s">
        <v>879</v>
      </c>
      <c r="CN20" s="432" t="s">
        <v>879</v>
      </c>
      <c r="CO20" s="432" t="s">
        <v>879</v>
      </c>
      <c r="CP20" s="434">
        <v>0</v>
      </c>
      <c r="CQ20" s="432" t="s">
        <v>879</v>
      </c>
      <c r="CR20" s="434">
        <v>0</v>
      </c>
      <c r="CS20" s="432" t="s">
        <v>879</v>
      </c>
      <c r="CT20" s="434">
        <v>0</v>
      </c>
      <c r="CU20" s="432" t="s">
        <v>879</v>
      </c>
      <c r="CV20" s="432" t="s">
        <v>879</v>
      </c>
      <c r="CW20" s="434">
        <v>0</v>
      </c>
      <c r="CX20" s="432" t="s">
        <v>879</v>
      </c>
      <c r="CY20" s="434">
        <v>0</v>
      </c>
      <c r="CZ20" s="432" t="s">
        <v>879</v>
      </c>
      <c r="DA20" s="434">
        <v>0</v>
      </c>
      <c r="DB20" s="432" t="s">
        <v>879</v>
      </c>
      <c r="DC20" s="432" t="s">
        <v>879</v>
      </c>
      <c r="DD20" s="432" t="s">
        <v>879</v>
      </c>
      <c r="DE20" s="432" t="s">
        <v>879</v>
      </c>
      <c r="DF20" s="432"/>
    </row>
    <row customHeight="true" ht="16.296296296296294" r="21">
      <c r="A21" s="432" t="s">
        <v>899</v>
      </c>
      <c r="B21" s="432" t="s">
        <v>876</v>
      </c>
      <c r="C21" s="432" t="s">
        <v>877</v>
      </c>
      <c r="D21" s="432" t="s">
        <v>877</v>
      </c>
      <c r="E21" s="432" t="s">
        <v>876</v>
      </c>
      <c r="F21" s="432" t="s">
        <v>878</v>
      </c>
      <c r="G21" s="433">
        <v>59.99</v>
      </c>
      <c r="H21" s="433">
        <v>64.99</v>
      </c>
      <c r="I21" s="434">
        <v>201</v>
      </c>
      <c r="J21" s="434">
        <v>0</v>
      </c>
      <c r="K21" s="434">
        <v>0</v>
      </c>
      <c r="L21" s="434">
        <v>0</v>
      </c>
      <c r="M21" s="434">
        <v>0</v>
      </c>
      <c r="N21" s="434">
        <v>0</v>
      </c>
      <c r="O21" s="434">
        <v>201</v>
      </c>
      <c r="P21" s="434">
        <v>0</v>
      </c>
      <c r="Q21" s="433">
        <v>0</v>
      </c>
      <c r="R21" s="434">
        <v>0</v>
      </c>
      <c r="S21" s="433">
        <v>0</v>
      </c>
      <c r="T21" s="432" t="s">
        <v>879</v>
      </c>
      <c r="U21" s="432" t="s">
        <v>879</v>
      </c>
      <c r="V21" s="432" t="s">
        <v>879</v>
      </c>
      <c r="W21" s="432" t="s">
        <v>879</v>
      </c>
      <c r="X21" s="432" t="s">
        <v>879</v>
      </c>
      <c r="Y21" s="432" t="s">
        <v>879</v>
      </c>
      <c r="Z21" s="434">
        <v>0</v>
      </c>
      <c r="AA21" s="433">
        <v>0</v>
      </c>
      <c r="AB21" s="434">
        <v>0</v>
      </c>
      <c r="AC21" s="433">
        <v>0</v>
      </c>
      <c r="AD21" s="434">
        <v>0</v>
      </c>
      <c r="AE21" s="433">
        <v>0</v>
      </c>
      <c r="AF21" s="434">
        <v>0</v>
      </c>
      <c r="AG21" s="433">
        <v>0</v>
      </c>
      <c r="AH21" s="435">
        <v>0</v>
      </c>
      <c r="AI21" s="433">
        <v>0</v>
      </c>
      <c r="AJ21" s="435">
        <v>0</v>
      </c>
      <c r="AK21" s="433">
        <v>0</v>
      </c>
      <c r="AL21" s="432"/>
      <c r="AM21" s="432"/>
      <c r="AN21" s="434">
        <v>0</v>
      </c>
      <c r="AO21" s="433">
        <v>0</v>
      </c>
      <c r="AP21" s="432" t="s">
        <v>879</v>
      </c>
      <c r="AQ21" s="436">
        <v>0</v>
      </c>
      <c r="AR21" s="434">
        <v>0</v>
      </c>
      <c r="AS21" s="432" t="s">
        <v>879</v>
      </c>
      <c r="AT21" s="432" t="s">
        <v>880</v>
      </c>
      <c r="AU21" s="432" t="s">
        <v>880</v>
      </c>
      <c r="AV21" s="432" t="s">
        <v>880</v>
      </c>
      <c r="AW21" s="432" t="s">
        <v>880</v>
      </c>
      <c r="AX21" s="432" t="s">
        <v>880</v>
      </c>
      <c r="AY21" s="434">
        <v>0</v>
      </c>
      <c r="AZ21" s="432" t="s">
        <v>879</v>
      </c>
      <c r="BA21" s="434">
        <v>4</v>
      </c>
      <c r="BB21" s="432" t="s">
        <v>900</v>
      </c>
      <c r="BC21" s="434">
        <v>1</v>
      </c>
      <c r="BD21" s="432" t="s">
        <v>879</v>
      </c>
      <c r="BE21" s="434">
        <v>5</v>
      </c>
      <c r="BF21" s="434">
        <v>6</v>
      </c>
      <c r="BG21" s="434">
        <v>1</v>
      </c>
      <c r="BH21" s="434">
        <v>7</v>
      </c>
      <c r="BI21" s="432" t="s">
        <v>879</v>
      </c>
      <c r="BJ21" s="432" t="s">
        <v>879</v>
      </c>
      <c r="BK21" s="432" t="s">
        <v>901</v>
      </c>
      <c r="BL21" s="433">
        <v>0</v>
      </c>
      <c r="BM21" s="432" t="s">
        <v>879</v>
      </c>
      <c r="BN21" s="433">
        <v>0</v>
      </c>
      <c r="BO21" s="433">
        <v>0</v>
      </c>
      <c r="BP21" s="433">
        <v>0</v>
      </c>
      <c r="BQ21" s="433">
        <v>0</v>
      </c>
      <c r="BR21" s="433">
        <v>0</v>
      </c>
      <c r="BS21" s="437">
        <v>0</v>
      </c>
      <c r="BT21" s="432" t="s">
        <v>879</v>
      </c>
      <c r="BU21" s="432" t="s">
        <v>879</v>
      </c>
      <c r="BV21" s="432" t="s">
        <v>879</v>
      </c>
      <c r="BW21" s="433">
        <v>0</v>
      </c>
      <c r="BX21" s="433">
        <v>0</v>
      </c>
      <c r="BY21" s="433">
        <v>0</v>
      </c>
      <c r="BZ21" s="433">
        <v>0</v>
      </c>
      <c r="CA21" s="434">
        <v>0</v>
      </c>
      <c r="CB21" s="434">
        <v>0</v>
      </c>
      <c r="CC21" s="433">
        <v>0</v>
      </c>
      <c r="CD21" s="432" t="s">
        <v>879</v>
      </c>
      <c r="CE21" s="432" t="s">
        <v>879</v>
      </c>
      <c r="CF21" s="434">
        <v>0</v>
      </c>
      <c r="CG21" s="434">
        <v>0</v>
      </c>
      <c r="CH21" s="434">
        <v>0</v>
      </c>
      <c r="CI21" s="434">
        <v>5</v>
      </c>
      <c r="CJ21" s="432" t="s">
        <v>879</v>
      </c>
      <c r="CK21" s="432" t="s">
        <v>879</v>
      </c>
      <c r="CL21" s="432" t="s">
        <v>879</v>
      </c>
      <c r="CM21" s="432" t="s">
        <v>902</v>
      </c>
      <c r="CN21" s="432" t="s">
        <v>879</v>
      </c>
      <c r="CO21" s="432" t="s">
        <v>879</v>
      </c>
      <c r="CP21" s="434">
        <v>0</v>
      </c>
      <c r="CQ21" s="432" t="s">
        <v>879</v>
      </c>
      <c r="CR21" s="434">
        <v>0</v>
      </c>
      <c r="CS21" s="432" t="s">
        <v>879</v>
      </c>
      <c r="CT21" s="434">
        <v>0</v>
      </c>
      <c r="CU21" s="432" t="s">
        <v>879</v>
      </c>
      <c r="CV21" s="432" t="s">
        <v>879</v>
      </c>
      <c r="CW21" s="434">
        <v>0</v>
      </c>
      <c r="CX21" s="432" t="s">
        <v>879</v>
      </c>
      <c r="CY21" s="434">
        <v>0</v>
      </c>
      <c r="CZ21" s="432" t="s">
        <v>879</v>
      </c>
      <c r="DA21" s="434">
        <v>0</v>
      </c>
      <c r="DB21" s="432" t="s">
        <v>879</v>
      </c>
      <c r="DC21" s="432" t="s">
        <v>879</v>
      </c>
      <c r="DD21" s="432" t="s">
        <v>879</v>
      </c>
      <c r="DE21" s="432" t="s">
        <v>879</v>
      </c>
      <c r="DF21" s="432"/>
    </row>
    <row customHeight="true" ht="16.296296296296294" r="22">
      <c r="A22" s="432" t="s">
        <v>903</v>
      </c>
      <c r="B22" s="432" t="s">
        <v>876</v>
      </c>
      <c r="C22" s="432" t="s">
        <v>877</v>
      </c>
      <c r="D22" s="432" t="s">
        <v>877</v>
      </c>
      <c r="E22" s="432" t="s">
        <v>876</v>
      </c>
      <c r="F22" s="432" t="s">
        <v>878</v>
      </c>
      <c r="G22" s="433">
        <v>59.99</v>
      </c>
      <c r="H22" s="433">
        <v>64.99</v>
      </c>
      <c r="I22" s="434">
        <v>200</v>
      </c>
      <c r="J22" s="434">
        <v>0</v>
      </c>
      <c r="K22" s="434">
        <v>0</v>
      </c>
      <c r="L22" s="434">
        <v>0</v>
      </c>
      <c r="M22" s="434">
        <v>0</v>
      </c>
      <c r="N22" s="434">
        <v>0</v>
      </c>
      <c r="O22" s="434">
        <v>200</v>
      </c>
      <c r="P22" s="434">
        <v>1</v>
      </c>
      <c r="Q22" s="433">
        <v>59.99</v>
      </c>
      <c r="R22" s="434">
        <v>1</v>
      </c>
      <c r="S22" s="433">
        <v>59.99</v>
      </c>
      <c r="T22" s="432" t="s">
        <v>879</v>
      </c>
      <c r="U22" s="432" t="s">
        <v>901</v>
      </c>
      <c r="V22" s="432" t="s">
        <v>879</v>
      </c>
      <c r="W22" s="432" t="s">
        <v>879</v>
      </c>
      <c r="X22" s="432" t="s">
        <v>901</v>
      </c>
      <c r="Y22" s="432" t="s">
        <v>879</v>
      </c>
      <c r="Z22" s="434">
        <v>0</v>
      </c>
      <c r="AA22" s="433">
        <v>0</v>
      </c>
      <c r="AB22" s="434">
        <v>0</v>
      </c>
      <c r="AC22" s="433">
        <v>0</v>
      </c>
      <c r="AD22" s="434">
        <v>0</v>
      </c>
      <c r="AE22" s="433">
        <v>0</v>
      </c>
      <c r="AF22" s="434">
        <v>0</v>
      </c>
      <c r="AG22" s="433">
        <v>0</v>
      </c>
      <c r="AH22" s="435">
        <v>1</v>
      </c>
      <c r="AI22" s="433">
        <v>59.99</v>
      </c>
      <c r="AJ22" s="435">
        <v>1</v>
      </c>
      <c r="AK22" s="433">
        <v>59.99</v>
      </c>
      <c r="AL22" s="432"/>
      <c r="AM22" s="432"/>
      <c r="AN22" s="434">
        <v>0</v>
      </c>
      <c r="AO22" s="433">
        <v>0</v>
      </c>
      <c r="AP22" s="432" t="s">
        <v>879</v>
      </c>
      <c r="AQ22" s="436">
        <v>0</v>
      </c>
      <c r="AR22" s="434">
        <v>0</v>
      </c>
      <c r="AS22" s="432" t="s">
        <v>879</v>
      </c>
      <c r="AT22" s="432" t="s">
        <v>880</v>
      </c>
      <c r="AU22" s="432" t="s">
        <v>880</v>
      </c>
      <c r="AV22" s="432" t="s">
        <v>880</v>
      </c>
      <c r="AW22" s="432" t="s">
        <v>880</v>
      </c>
      <c r="AX22" s="432" t="s">
        <v>880</v>
      </c>
      <c r="AY22" s="434">
        <v>0</v>
      </c>
      <c r="AZ22" s="432" t="s">
        <v>879</v>
      </c>
      <c r="BA22" s="434">
        <v>3</v>
      </c>
      <c r="BB22" s="432" t="s">
        <v>904</v>
      </c>
      <c r="BC22" s="434">
        <v>0</v>
      </c>
      <c r="BD22" s="432" t="s">
        <v>879</v>
      </c>
      <c r="BE22" s="434">
        <v>3</v>
      </c>
      <c r="BF22" s="434">
        <v>8</v>
      </c>
      <c r="BG22" s="434">
        <v>0</v>
      </c>
      <c r="BH22" s="434">
        <v>8</v>
      </c>
      <c r="BI22" s="432" t="s">
        <v>905</v>
      </c>
      <c r="BJ22" s="432" t="s">
        <v>905</v>
      </c>
      <c r="BK22" s="432" t="s">
        <v>901</v>
      </c>
      <c r="BL22" s="433">
        <v>0</v>
      </c>
      <c r="BM22" s="432" t="s">
        <v>879</v>
      </c>
      <c r="BN22" s="433">
        <v>0</v>
      </c>
      <c r="BO22" s="433">
        <v>0</v>
      </c>
      <c r="BP22" s="433">
        <v>0</v>
      </c>
      <c r="BQ22" s="433">
        <v>0</v>
      </c>
      <c r="BR22" s="433">
        <v>0</v>
      </c>
      <c r="BS22" s="437">
        <v>0</v>
      </c>
      <c r="BT22" s="432" t="s">
        <v>879</v>
      </c>
      <c r="BU22" s="432" t="s">
        <v>879</v>
      </c>
      <c r="BV22" s="432" t="s">
        <v>879</v>
      </c>
      <c r="BW22" s="433">
        <v>0</v>
      </c>
      <c r="BX22" s="433">
        <v>0</v>
      </c>
      <c r="BY22" s="433">
        <v>0</v>
      </c>
      <c r="BZ22" s="433">
        <v>0</v>
      </c>
      <c r="CA22" s="434">
        <v>0</v>
      </c>
      <c r="CB22" s="434">
        <v>0</v>
      </c>
      <c r="CC22" s="433">
        <v>0</v>
      </c>
      <c r="CD22" s="432" t="s">
        <v>879</v>
      </c>
      <c r="CE22" s="432" t="s">
        <v>879</v>
      </c>
      <c r="CF22" s="434">
        <v>0</v>
      </c>
      <c r="CG22" s="434">
        <v>0</v>
      </c>
      <c r="CH22" s="434">
        <v>1</v>
      </c>
      <c r="CI22" s="434">
        <v>3</v>
      </c>
      <c r="CJ22" s="432" t="s">
        <v>905</v>
      </c>
      <c r="CK22" s="432" t="s">
        <v>879</v>
      </c>
      <c r="CL22" s="432" t="s">
        <v>905</v>
      </c>
      <c r="CM22" s="432" t="s">
        <v>906</v>
      </c>
      <c r="CN22" s="432" t="s">
        <v>879</v>
      </c>
      <c r="CO22" s="432" t="s">
        <v>879</v>
      </c>
      <c r="CP22" s="434">
        <v>0</v>
      </c>
      <c r="CQ22" s="432" t="s">
        <v>879</v>
      </c>
      <c r="CR22" s="434">
        <v>0</v>
      </c>
      <c r="CS22" s="432" t="s">
        <v>879</v>
      </c>
      <c r="CT22" s="434">
        <v>0</v>
      </c>
      <c r="CU22" s="432" t="s">
        <v>879</v>
      </c>
      <c r="CV22" s="432" t="s">
        <v>879</v>
      </c>
      <c r="CW22" s="434">
        <v>0</v>
      </c>
      <c r="CX22" s="432" t="s">
        <v>879</v>
      </c>
      <c r="CY22" s="434">
        <v>0</v>
      </c>
      <c r="CZ22" s="432" t="s">
        <v>879</v>
      </c>
      <c r="DA22" s="434">
        <v>0</v>
      </c>
      <c r="DB22" s="432" t="s">
        <v>879</v>
      </c>
      <c r="DC22" s="432" t="s">
        <v>879</v>
      </c>
      <c r="DD22" s="432" t="s">
        <v>879</v>
      </c>
      <c r="DE22" s="432" t="s">
        <v>879</v>
      </c>
      <c r="DF22" s="432"/>
    </row>
    <row customHeight="true" ht="16.296296296296294" r="23">
      <c r="A23" s="432" t="s">
        <v>907</v>
      </c>
      <c r="B23" s="432" t="s">
        <v>876</v>
      </c>
      <c r="C23" s="432" t="s">
        <v>877</v>
      </c>
      <c r="D23" s="432" t="s">
        <v>877</v>
      </c>
      <c r="E23" s="432" t="s">
        <v>876</v>
      </c>
      <c r="F23" s="432" t="s">
        <v>878</v>
      </c>
      <c r="G23" s="433">
        <v>59.99</v>
      </c>
      <c r="H23" s="433">
        <v>59.99</v>
      </c>
      <c r="I23" s="434">
        <v>198</v>
      </c>
      <c r="J23" s="434">
        <v>0</v>
      </c>
      <c r="K23" s="434">
        <v>0</v>
      </c>
      <c r="L23" s="434">
        <v>0</v>
      </c>
      <c r="M23" s="434">
        <v>0</v>
      </c>
      <c r="N23" s="434">
        <v>0</v>
      </c>
      <c r="O23" s="434">
        <v>198</v>
      </c>
      <c r="P23" s="434">
        <v>1</v>
      </c>
      <c r="Q23" s="433">
        <v>59.99</v>
      </c>
      <c r="R23" s="434">
        <v>1</v>
      </c>
      <c r="S23" s="433">
        <v>0</v>
      </c>
      <c r="T23" s="432" t="s">
        <v>879</v>
      </c>
      <c r="U23" s="432" t="s">
        <v>901</v>
      </c>
      <c r="V23" s="432" t="s">
        <v>879</v>
      </c>
      <c r="W23" s="432" t="s">
        <v>879</v>
      </c>
      <c r="X23" s="432" t="s">
        <v>901</v>
      </c>
      <c r="Y23" s="432" t="s">
        <v>879</v>
      </c>
      <c r="Z23" s="434">
        <v>0</v>
      </c>
      <c r="AA23" s="433">
        <v>0</v>
      </c>
      <c r="AB23" s="434">
        <v>0</v>
      </c>
      <c r="AC23" s="433">
        <v>0</v>
      </c>
      <c r="AD23" s="434">
        <v>1</v>
      </c>
      <c r="AE23" s="433">
        <v>59.99</v>
      </c>
      <c r="AF23" s="434">
        <v>1</v>
      </c>
      <c r="AG23" s="433">
        <v>59.99</v>
      </c>
      <c r="AH23" s="435">
        <v>1</v>
      </c>
      <c r="AI23" s="433">
        <v>59.99</v>
      </c>
      <c r="AJ23" s="435">
        <v>1</v>
      </c>
      <c r="AK23" s="433">
        <v>0</v>
      </c>
      <c r="AL23" s="432"/>
      <c r="AM23" s="432"/>
      <c r="AN23" s="434">
        <v>0</v>
      </c>
      <c r="AO23" s="433">
        <v>0</v>
      </c>
      <c r="AP23" s="432" t="s">
        <v>879</v>
      </c>
      <c r="AQ23" s="436">
        <v>0</v>
      </c>
      <c r="AR23" s="434">
        <v>0</v>
      </c>
      <c r="AS23" s="432" t="s">
        <v>879</v>
      </c>
      <c r="AT23" s="432" t="s">
        <v>880</v>
      </c>
      <c r="AU23" s="432" t="s">
        <v>880</v>
      </c>
      <c r="AV23" s="432" t="s">
        <v>880</v>
      </c>
      <c r="AW23" s="432" t="s">
        <v>880</v>
      </c>
      <c r="AX23" s="432" t="s">
        <v>880</v>
      </c>
      <c r="AY23" s="434">
        <v>0</v>
      </c>
      <c r="AZ23" s="432" t="s">
        <v>879</v>
      </c>
      <c r="BA23" s="434">
        <v>4</v>
      </c>
      <c r="BB23" s="432" t="s">
        <v>908</v>
      </c>
      <c r="BC23" s="434">
        <v>0</v>
      </c>
      <c r="BD23" s="432" t="s">
        <v>879</v>
      </c>
      <c r="BE23" s="434">
        <v>4</v>
      </c>
      <c r="BF23" s="434">
        <v>8</v>
      </c>
      <c r="BG23" s="434">
        <v>0</v>
      </c>
      <c r="BH23" s="434">
        <v>8</v>
      </c>
      <c r="BI23" s="432" t="s">
        <v>909</v>
      </c>
      <c r="BJ23" s="432" t="s">
        <v>909</v>
      </c>
      <c r="BK23" s="432" t="s">
        <v>901</v>
      </c>
      <c r="BL23" s="433">
        <v>0</v>
      </c>
      <c r="BM23" s="432" t="s">
        <v>879</v>
      </c>
      <c r="BN23" s="433">
        <v>0</v>
      </c>
      <c r="BO23" s="433">
        <v>0</v>
      </c>
      <c r="BP23" s="433">
        <v>0</v>
      </c>
      <c r="BQ23" s="433">
        <v>0</v>
      </c>
      <c r="BR23" s="433">
        <v>0</v>
      </c>
      <c r="BS23" s="437">
        <v>0</v>
      </c>
      <c r="BT23" s="432" t="s">
        <v>879</v>
      </c>
      <c r="BU23" s="432" t="s">
        <v>879</v>
      </c>
      <c r="BV23" s="432" t="s">
        <v>879</v>
      </c>
      <c r="BW23" s="433">
        <v>0</v>
      </c>
      <c r="BX23" s="433">
        <v>0</v>
      </c>
      <c r="BY23" s="433">
        <v>0</v>
      </c>
      <c r="BZ23" s="433">
        <v>0</v>
      </c>
      <c r="CA23" s="434">
        <v>0</v>
      </c>
      <c r="CB23" s="434">
        <v>0</v>
      </c>
      <c r="CC23" s="433">
        <v>0</v>
      </c>
      <c r="CD23" s="432" t="s">
        <v>879</v>
      </c>
      <c r="CE23" s="432" t="s">
        <v>879</v>
      </c>
      <c r="CF23" s="434">
        <v>0</v>
      </c>
      <c r="CG23" s="434">
        <v>0</v>
      </c>
      <c r="CH23" s="434">
        <v>1</v>
      </c>
      <c r="CI23" s="434">
        <v>4</v>
      </c>
      <c r="CJ23" s="432" t="s">
        <v>909</v>
      </c>
      <c r="CK23" s="432" t="s">
        <v>879</v>
      </c>
      <c r="CL23" s="432" t="s">
        <v>909</v>
      </c>
      <c r="CM23" s="432" t="s">
        <v>910</v>
      </c>
      <c r="CN23" s="432" t="s">
        <v>879</v>
      </c>
      <c r="CO23" s="432" t="s">
        <v>879</v>
      </c>
      <c r="CP23" s="434">
        <v>0</v>
      </c>
      <c r="CQ23" s="432" t="s">
        <v>879</v>
      </c>
      <c r="CR23" s="434">
        <v>0</v>
      </c>
      <c r="CS23" s="432" t="s">
        <v>879</v>
      </c>
      <c r="CT23" s="434">
        <v>0</v>
      </c>
      <c r="CU23" s="432" t="s">
        <v>879</v>
      </c>
      <c r="CV23" s="432" t="s">
        <v>879</v>
      </c>
      <c r="CW23" s="434">
        <v>0</v>
      </c>
      <c r="CX23" s="432" t="s">
        <v>879</v>
      </c>
      <c r="CY23" s="434">
        <v>0</v>
      </c>
      <c r="CZ23" s="432" t="s">
        <v>879</v>
      </c>
      <c r="DA23" s="434">
        <v>0</v>
      </c>
      <c r="DB23" s="432" t="s">
        <v>879</v>
      </c>
      <c r="DC23" s="432" t="s">
        <v>879</v>
      </c>
      <c r="DD23" s="432" t="s">
        <v>879</v>
      </c>
      <c r="DE23" s="432" t="s">
        <v>879</v>
      </c>
      <c r="DF23" s="432"/>
    </row>
    <row customHeight="true" ht="16.296296296296294" r="24">
      <c r="A24" s="432" t="s">
        <v>911</v>
      </c>
      <c r="B24" s="432" t="s">
        <v>876</v>
      </c>
      <c r="C24" s="432" t="s">
        <v>877</v>
      </c>
      <c r="D24" s="432" t="s">
        <v>877</v>
      </c>
      <c r="E24" s="432" t="s">
        <v>876</v>
      </c>
      <c r="F24" s="432" t="s">
        <v>878</v>
      </c>
      <c r="G24" s="433">
        <v>59.99</v>
      </c>
      <c r="H24" s="433">
        <v>59.99</v>
      </c>
      <c r="I24" s="434">
        <v>192</v>
      </c>
      <c r="J24" s="434">
        <v>0</v>
      </c>
      <c r="K24" s="434">
        <v>0</v>
      </c>
      <c r="L24" s="434">
        <v>0</v>
      </c>
      <c r="M24" s="434">
        <v>0</v>
      </c>
      <c r="N24" s="434">
        <v>0</v>
      </c>
      <c r="O24" s="434">
        <v>192</v>
      </c>
      <c r="P24" s="434">
        <v>0</v>
      </c>
      <c r="Q24" s="433">
        <v>0</v>
      </c>
      <c r="R24" s="434">
        <v>0</v>
      </c>
      <c r="S24" s="433">
        <v>0</v>
      </c>
      <c r="T24" s="432" t="s">
        <v>879</v>
      </c>
      <c r="U24" s="432" t="s">
        <v>879</v>
      </c>
      <c r="V24" s="432" t="s">
        <v>879</v>
      </c>
      <c r="W24" s="432" t="s">
        <v>879</v>
      </c>
      <c r="X24" s="432" t="s">
        <v>879</v>
      </c>
      <c r="Y24" s="432" t="s">
        <v>879</v>
      </c>
      <c r="Z24" s="434">
        <v>0</v>
      </c>
      <c r="AA24" s="433">
        <v>0</v>
      </c>
      <c r="AB24" s="434">
        <v>0</v>
      </c>
      <c r="AC24" s="433">
        <v>0</v>
      </c>
      <c r="AD24" s="434">
        <v>0</v>
      </c>
      <c r="AE24" s="433">
        <v>0</v>
      </c>
      <c r="AF24" s="434">
        <v>0</v>
      </c>
      <c r="AG24" s="433">
        <v>0</v>
      </c>
      <c r="AH24" s="435">
        <v>0</v>
      </c>
      <c r="AI24" s="433">
        <v>0</v>
      </c>
      <c r="AJ24" s="435">
        <v>0</v>
      </c>
      <c r="AK24" s="433">
        <v>0</v>
      </c>
      <c r="AL24" s="432"/>
      <c r="AM24" s="432"/>
      <c r="AN24" s="434">
        <v>0</v>
      </c>
      <c r="AO24" s="433">
        <v>0</v>
      </c>
      <c r="AP24" s="432" t="s">
        <v>879</v>
      </c>
      <c r="AQ24" s="436">
        <v>0</v>
      </c>
      <c r="AR24" s="434">
        <v>0</v>
      </c>
      <c r="AS24" s="432" t="s">
        <v>879</v>
      </c>
      <c r="AT24" s="432" t="s">
        <v>880</v>
      </c>
      <c r="AU24" s="432" t="s">
        <v>880</v>
      </c>
      <c r="AV24" s="432" t="s">
        <v>880</v>
      </c>
      <c r="AW24" s="432" t="s">
        <v>880</v>
      </c>
      <c r="AX24" s="432" t="s">
        <v>880</v>
      </c>
      <c r="AY24" s="434">
        <v>0</v>
      </c>
      <c r="AZ24" s="432" t="s">
        <v>879</v>
      </c>
      <c r="BA24" s="434">
        <v>0</v>
      </c>
      <c r="BB24" s="432" t="s">
        <v>879</v>
      </c>
      <c r="BC24" s="434">
        <v>0</v>
      </c>
      <c r="BD24" s="432" t="s">
        <v>879</v>
      </c>
      <c r="BE24" s="434">
        <v>0</v>
      </c>
      <c r="BF24" s="434">
        <v>0</v>
      </c>
      <c r="BG24" s="434">
        <v>0</v>
      </c>
      <c r="BH24" s="434">
        <v>0</v>
      </c>
      <c r="BI24" s="432" t="s">
        <v>879</v>
      </c>
      <c r="BJ24" s="432" t="s">
        <v>879</v>
      </c>
      <c r="BK24" s="432" t="s">
        <v>879</v>
      </c>
      <c r="BL24" s="433">
        <v>0</v>
      </c>
      <c r="BM24" s="432" t="s">
        <v>879</v>
      </c>
      <c r="BN24" s="433">
        <v>0</v>
      </c>
      <c r="BO24" s="433">
        <v>0</v>
      </c>
      <c r="BP24" s="433">
        <v>0</v>
      </c>
      <c r="BQ24" s="433">
        <v>0</v>
      </c>
      <c r="BR24" s="433">
        <v>0</v>
      </c>
      <c r="BS24" s="437">
        <v>0</v>
      </c>
      <c r="BT24" s="432" t="s">
        <v>879</v>
      </c>
      <c r="BU24" s="432" t="s">
        <v>879</v>
      </c>
      <c r="BV24" s="432" t="s">
        <v>879</v>
      </c>
      <c r="BW24" s="433">
        <v>0</v>
      </c>
      <c r="BX24" s="433">
        <v>0</v>
      </c>
      <c r="BY24" s="433">
        <v>0</v>
      </c>
      <c r="BZ24" s="433">
        <v>0</v>
      </c>
      <c r="CA24" s="434">
        <v>0</v>
      </c>
      <c r="CB24" s="434">
        <v>0</v>
      </c>
      <c r="CC24" s="433">
        <v>0</v>
      </c>
      <c r="CD24" s="432" t="s">
        <v>879</v>
      </c>
      <c r="CE24" s="432" t="s">
        <v>879</v>
      </c>
      <c r="CF24" s="434">
        <v>0</v>
      </c>
      <c r="CG24" s="434">
        <v>0</v>
      </c>
      <c r="CH24" s="434">
        <v>0</v>
      </c>
      <c r="CI24" s="434">
        <v>0</v>
      </c>
      <c r="CJ24" s="432" t="s">
        <v>879</v>
      </c>
      <c r="CK24" s="432" t="s">
        <v>879</v>
      </c>
      <c r="CL24" s="432" t="s">
        <v>879</v>
      </c>
      <c r="CM24" s="432" t="s">
        <v>879</v>
      </c>
      <c r="CN24" s="432" t="s">
        <v>879</v>
      </c>
      <c r="CO24" s="432" t="s">
        <v>879</v>
      </c>
      <c r="CP24" s="434">
        <v>0</v>
      </c>
      <c r="CQ24" s="432" t="s">
        <v>879</v>
      </c>
      <c r="CR24" s="434">
        <v>0</v>
      </c>
      <c r="CS24" s="432" t="s">
        <v>879</v>
      </c>
      <c r="CT24" s="434">
        <v>0</v>
      </c>
      <c r="CU24" s="432" t="s">
        <v>879</v>
      </c>
      <c r="CV24" s="432" t="s">
        <v>879</v>
      </c>
      <c r="CW24" s="434">
        <v>0</v>
      </c>
      <c r="CX24" s="432" t="s">
        <v>879</v>
      </c>
      <c r="CY24" s="434">
        <v>0</v>
      </c>
      <c r="CZ24" s="432" t="s">
        <v>879</v>
      </c>
      <c r="DA24" s="434">
        <v>0</v>
      </c>
      <c r="DB24" s="432" t="s">
        <v>879</v>
      </c>
      <c r="DC24" s="432" t="s">
        <v>879</v>
      </c>
      <c r="DD24" s="432" t="s">
        <v>879</v>
      </c>
      <c r="DE24" s="432" t="s">
        <v>879</v>
      </c>
      <c r="DF24" s="432"/>
    </row>
    <row customHeight="true" ht="19.25925925925926" r="25">
      <c r="A25" s="432" t="s">
        <v>912</v>
      </c>
      <c r="B25" s="432" t="s">
        <v>876</v>
      </c>
      <c r="C25" s="432" t="s">
        <v>877</v>
      </c>
      <c r="D25" s="432" t="s">
        <v>877</v>
      </c>
      <c r="E25" s="432" t="s">
        <v>876</v>
      </c>
      <c r="F25" s="432" t="s">
        <v>878</v>
      </c>
      <c r="G25" s="433">
        <v>59.99</v>
      </c>
      <c r="H25" s="433">
        <v>59.99</v>
      </c>
      <c r="I25" s="434">
        <v>193</v>
      </c>
      <c r="J25" s="434">
        <v>0</v>
      </c>
      <c r="K25" s="434">
        <v>0</v>
      </c>
      <c r="L25" s="434">
        <v>0</v>
      </c>
      <c r="M25" s="434">
        <v>0</v>
      </c>
      <c r="N25" s="434">
        <v>0</v>
      </c>
      <c r="O25" s="434">
        <v>193</v>
      </c>
      <c r="P25" s="434">
        <v>0</v>
      </c>
      <c r="Q25" s="433">
        <v>0</v>
      </c>
      <c r="R25" s="434">
        <v>0</v>
      </c>
      <c r="S25" s="433">
        <v>0</v>
      </c>
      <c r="T25" s="432" t="s">
        <v>879</v>
      </c>
      <c r="U25" s="432" t="s">
        <v>879</v>
      </c>
      <c r="V25" s="432" t="s">
        <v>879</v>
      </c>
      <c r="W25" s="432" t="s">
        <v>879</v>
      </c>
      <c r="X25" s="432" t="s">
        <v>879</v>
      </c>
      <c r="Y25" s="432" t="s">
        <v>879</v>
      </c>
      <c r="Z25" s="434">
        <v>0</v>
      </c>
      <c r="AA25" s="433">
        <v>0</v>
      </c>
      <c r="AB25" s="434">
        <v>0</v>
      </c>
      <c r="AC25" s="433">
        <v>0</v>
      </c>
      <c r="AD25" s="434">
        <v>0</v>
      </c>
      <c r="AE25" s="433">
        <v>0</v>
      </c>
      <c r="AF25" s="434">
        <v>0</v>
      </c>
      <c r="AG25" s="433">
        <v>0</v>
      </c>
      <c r="AH25" s="435">
        <v>0</v>
      </c>
      <c r="AI25" s="433">
        <v>0</v>
      </c>
      <c r="AJ25" s="435">
        <v>0</v>
      </c>
      <c r="AK25" s="433">
        <v>0</v>
      </c>
      <c r="AL25" s="432" t="s">
        <v>913</v>
      </c>
      <c r="AM25" s="432" t="s">
        <v>914</v>
      </c>
      <c r="AN25" s="434">
        <v>0</v>
      </c>
      <c r="AO25" s="433">
        <v>0</v>
      </c>
      <c r="AP25" s="432" t="s">
        <v>879</v>
      </c>
      <c r="AQ25" s="436">
        <v>0</v>
      </c>
      <c r="AR25" s="434">
        <v>0</v>
      </c>
      <c r="AS25" s="432" t="s">
        <v>879</v>
      </c>
      <c r="AT25" s="432" t="s">
        <v>880</v>
      </c>
      <c r="AU25" s="432" t="s">
        <v>880</v>
      </c>
      <c r="AV25" s="432" t="s">
        <v>880</v>
      </c>
      <c r="AW25" s="432" t="s">
        <v>880</v>
      </c>
      <c r="AX25" s="432" t="s">
        <v>880</v>
      </c>
      <c r="AY25" s="434">
        <v>0</v>
      </c>
      <c r="AZ25" s="432" t="s">
        <v>879</v>
      </c>
      <c r="BA25" s="434">
        <v>0</v>
      </c>
      <c r="BB25" s="432" t="s">
        <v>879</v>
      </c>
      <c r="BC25" s="434">
        <v>0</v>
      </c>
      <c r="BD25" s="432" t="s">
        <v>879</v>
      </c>
      <c r="BE25" s="434">
        <v>0</v>
      </c>
      <c r="BF25" s="434">
        <v>0</v>
      </c>
      <c r="BG25" s="434">
        <v>0</v>
      </c>
      <c r="BH25" s="434">
        <v>0</v>
      </c>
      <c r="BI25" s="432" t="s">
        <v>879</v>
      </c>
      <c r="BJ25" s="432" t="s">
        <v>879</v>
      </c>
      <c r="BK25" s="432" t="s">
        <v>879</v>
      </c>
      <c r="BL25" s="433">
        <v>0</v>
      </c>
      <c r="BM25" s="432" t="s">
        <v>879</v>
      </c>
      <c r="BN25" s="433">
        <v>0</v>
      </c>
      <c r="BO25" s="433">
        <v>0</v>
      </c>
      <c r="BP25" s="433">
        <v>0</v>
      </c>
      <c r="BQ25" s="433">
        <v>0</v>
      </c>
      <c r="BR25" s="433">
        <v>0</v>
      </c>
      <c r="BS25" s="437">
        <v>0</v>
      </c>
      <c r="BT25" s="432" t="s">
        <v>879</v>
      </c>
      <c r="BU25" s="432" t="s">
        <v>879</v>
      </c>
      <c r="BV25" s="432" t="s">
        <v>879</v>
      </c>
      <c r="BW25" s="433">
        <v>0</v>
      </c>
      <c r="BX25" s="433">
        <v>0</v>
      </c>
      <c r="BY25" s="433">
        <v>0</v>
      </c>
      <c r="BZ25" s="433">
        <v>0</v>
      </c>
      <c r="CA25" s="434">
        <v>0</v>
      </c>
      <c r="CB25" s="434">
        <v>0</v>
      </c>
      <c r="CC25" s="433">
        <v>0</v>
      </c>
      <c r="CD25" s="432" t="s">
        <v>879</v>
      </c>
      <c r="CE25" s="432" t="s">
        <v>879</v>
      </c>
      <c r="CF25" s="434">
        <v>0</v>
      </c>
      <c r="CG25" s="434">
        <v>0</v>
      </c>
      <c r="CH25" s="434">
        <v>0</v>
      </c>
      <c r="CI25" s="434">
        <v>0</v>
      </c>
      <c r="CJ25" s="432" t="s">
        <v>879</v>
      </c>
      <c r="CK25" s="432" t="s">
        <v>879</v>
      </c>
      <c r="CL25" s="432" t="s">
        <v>879</v>
      </c>
      <c r="CM25" s="432" t="s">
        <v>879</v>
      </c>
      <c r="CN25" s="432" t="s">
        <v>879</v>
      </c>
      <c r="CO25" s="432" t="s">
        <v>879</v>
      </c>
      <c r="CP25" s="434">
        <v>0</v>
      </c>
      <c r="CQ25" s="432" t="s">
        <v>879</v>
      </c>
      <c r="CR25" s="434">
        <v>0</v>
      </c>
      <c r="CS25" s="432" t="s">
        <v>879</v>
      </c>
      <c r="CT25" s="434">
        <v>0</v>
      </c>
      <c r="CU25" s="432" t="s">
        <v>879</v>
      </c>
      <c r="CV25" s="432" t="s">
        <v>879</v>
      </c>
      <c r="CW25" s="434">
        <v>0</v>
      </c>
      <c r="CX25" s="432" t="s">
        <v>879</v>
      </c>
      <c r="CY25" s="434">
        <v>0</v>
      </c>
      <c r="CZ25" s="432" t="s">
        <v>879</v>
      </c>
      <c r="DA25" s="434">
        <v>0</v>
      </c>
      <c r="DB25" s="432" t="s">
        <v>879</v>
      </c>
      <c r="DC25" s="432" t="s">
        <v>879</v>
      </c>
      <c r="DD25" s="432" t="s">
        <v>879</v>
      </c>
      <c r="DE25" s="432" t="s">
        <v>879</v>
      </c>
      <c r="DF25" s="432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0" min="30" style="0" width="24.2"/>
    <col collapsed="false" customWidth="true" hidden="false" max="45" min="45" style="0" width="17.933333333333334"/>
    <col collapsed="false" customWidth="true" hidden="false" max="61" min="61" style="0" width="17.933333333333334"/>
    <col collapsed="false" customWidth="true" hidden="false" max="78" min="78" style="0" width="17.933333333333334"/>
    <col collapsed="false" customWidth="true" hidden="false" max="91" min="91" style="0" width="17.933333333333334"/>
    <col collapsed="false" customWidth="true" hidden="false" max="110" min="110" style="0" width="17.933333333333334"/>
    <col collapsed="false" customWidth="true" hidden="false" max="13" min="13" style="0" width="24.2"/>
    <col collapsed="false" customWidth="true" hidden="false" max="29" min="29" style="0" width="24.2"/>
    <col collapsed="false" customWidth="true" hidden="false" max="48" min="48" style="0" width="17.933333333333334"/>
    <col collapsed="false" customWidth="true" hidden="false" max="64" min="64" style="0" width="17.933333333333334"/>
    <col collapsed="false" customWidth="true" hidden="false" max="77" min="77" style="0" width="17.933333333333334"/>
    <col collapsed="false" customWidth="true" hidden="false" max="94" min="94" style="0" width="17.933333333333334"/>
    <col collapsed="false" customWidth="true" hidden="false" max="109" min="109" style="0" width="17.933333333333334"/>
    <col collapsed="false" customWidth="true" hidden="false" max="16" min="16" style="0" width="24.2"/>
    <col collapsed="false" customWidth="true" hidden="false" max="32" min="32" style="0" width="17.933333333333334"/>
    <col collapsed="false" customWidth="true" hidden="false" max="47" min="47" style="0" width="17.933333333333334"/>
    <col collapsed="false" customWidth="true" hidden="false" max="63" min="63" style="0" width="17.933333333333334"/>
    <col collapsed="false" customWidth="true" hidden="false" max="80" min="80" style="0" width="17.933333333333334"/>
    <col collapsed="false" customWidth="true" hidden="false" max="93" min="93" style="0" width="17.933333333333334"/>
    <col collapsed="false" customWidth="true" hidden="false" max="15" min="15" style="0" width="24.2"/>
    <col collapsed="false" customWidth="true" hidden="false" max="31" min="31" style="0" width="24.2"/>
    <col collapsed="false" customWidth="true" hidden="false" max="34" min="34" style="0" width="17.933333333333334"/>
    <col collapsed="false" customWidth="true" hidden="false" max="50" min="50" style="0" width="17.933333333333334"/>
    <col collapsed="false" customWidth="true" hidden="false" max="79" min="79" style="0" width="17.933333333333334"/>
    <col collapsed="false" customWidth="true" hidden="false" max="96" min="96" style="0" width="17.933333333333334"/>
    <col collapsed="false" customWidth="true" hidden="false" max="2" min="2" style="0" width="24.2"/>
    <col collapsed="false" customWidth="true" hidden="false" max="18" min="18" style="0" width="24.2"/>
    <col collapsed="false" customWidth="true" hidden="false" max="33" min="33" style="0" width="17.933333333333334"/>
    <col collapsed="false" customWidth="true" hidden="false" max="49" min="49" style="0" width="17.933333333333334"/>
    <col collapsed="false" customWidth="true" hidden="false" max="66" min="66" style="0" width="17.933333333333334"/>
    <col collapsed="false" customWidth="true" hidden="false" max="95" min="95" style="0" width="17.933333333333334"/>
    <col collapsed="false" customWidth="true" hidden="false" max="98" min="98" style="0" width="17.933333333333334"/>
    <col collapsed="false" customWidth="true" hidden="false" max="1" min="1" style="0" width="24.2"/>
    <col collapsed="false" customWidth="true" hidden="false" max="17" min="17" style="0" width="24.2"/>
    <col collapsed="false" customWidth="true" hidden="false" max="36" min="36" style="0" width="17.933333333333334"/>
    <col collapsed="false" customWidth="true" hidden="false" max="52" min="52" style="0" width="17.933333333333334"/>
    <col collapsed="false" customWidth="true" hidden="false" max="65" min="65" style="0" width="17.933333333333334"/>
    <col collapsed="false" customWidth="true" hidden="false" max="82" min="82" style="0" width="17.933333333333334"/>
    <col collapsed="false" customWidth="true" hidden="false" max="97" min="97" style="0" width="17.933333333333334"/>
    <col collapsed="false" customWidth="true" hidden="false" max="4" min="4" style="0" width="24.2"/>
    <col collapsed="false" customWidth="true" hidden="false" max="20" min="20" style="0" width="24.2"/>
    <col collapsed="false" customWidth="true" hidden="false" max="35" min="35" style="0" width="17.933333333333334"/>
    <col collapsed="false" customWidth="true" hidden="false" max="51" min="51" style="0" width="17.933333333333334"/>
    <col collapsed="false" customWidth="true" hidden="false" max="68" min="68" style="0" width="17.933333333333334"/>
    <col collapsed="false" customWidth="true" hidden="false" max="81" min="81" style="0" width="17.933333333333334"/>
    <col collapsed="false" customWidth="true" hidden="false" max="100" min="100" style="0" width="17.933333333333334"/>
    <col collapsed="false" customWidth="true" hidden="false" max="3" min="3" style="0" width="24.2"/>
    <col collapsed="false" customWidth="true" hidden="false" max="19" min="19" style="0" width="24.2"/>
    <col collapsed="false" customWidth="true" hidden="false" max="38" min="38" style="0" width="17.933333333333334"/>
    <col collapsed="false" customWidth="true" hidden="false" max="54" min="54" style="0" width="17.933333333333334"/>
    <col collapsed="false" customWidth="true" hidden="false" max="67" min="67" style="0" width="17.933333333333334"/>
    <col collapsed="false" customWidth="true" hidden="false" max="84" min="84" style="0" width="17.933333333333334"/>
    <col collapsed="false" customWidth="true" hidden="false" max="99" min="99" style="0" width="17.933333333333334"/>
    <col collapsed="false" customWidth="true" hidden="false" max="6" min="6" style="0" width="24.2"/>
    <col collapsed="false" customWidth="true" hidden="false" max="22" min="22" style="0" width="24.2"/>
    <col collapsed="false" customWidth="true" hidden="false" max="37" min="37" style="0" width="17.933333333333334"/>
    <col collapsed="false" customWidth="true" hidden="false" max="53" min="53" style="0" width="17.933333333333334"/>
    <col collapsed="false" customWidth="true" hidden="false" max="70" min="70" style="0" width="17.933333333333334"/>
    <col collapsed="false" customWidth="true" hidden="false" max="83" min="83" style="0" width="17.933333333333334"/>
    <col collapsed="false" customWidth="true" hidden="false" max="102" min="102" style="0" width="17.933333333333334"/>
    <col collapsed="false" customWidth="true" hidden="false" max="5" min="5" style="0" width="24.2"/>
    <col collapsed="false" customWidth="true" hidden="false" max="21" min="21" style="0" width="24.2"/>
    <col collapsed="false" customWidth="true" hidden="false" max="40" min="40" style="0" width="17.933333333333334"/>
    <col collapsed="false" customWidth="true" hidden="false" max="56" min="56" style="0" width="17.933333333333334"/>
    <col collapsed="false" customWidth="true" hidden="false" max="69" min="69" style="0" width="17.933333333333334"/>
    <col collapsed="false" customWidth="true" hidden="false" max="86" min="86" style="0" width="17.933333333333334"/>
    <col collapsed="false" customWidth="true" hidden="false" max="101" min="101" style="0" width="17.933333333333334"/>
    <col collapsed="false" customWidth="true" hidden="false" max="8" min="8" style="0" width="24.2"/>
    <col collapsed="false" customWidth="true" hidden="false" max="24" min="24" style="0" width="24.2"/>
    <col collapsed="false" customWidth="true" hidden="false" max="39" min="39" style="0" width="17.933333333333334"/>
    <col collapsed="false" customWidth="true" hidden="false" max="55" min="55" style="0" width="17.933333333333334"/>
    <col collapsed="false" customWidth="true" hidden="false" max="72" min="72" style="0" width="17.933333333333334"/>
    <col collapsed="false" customWidth="true" hidden="false" max="85" min="85" style="0" width="17.933333333333334"/>
    <col collapsed="false" customWidth="true" hidden="false" max="88" min="88" style="0" width="17.933333333333334"/>
    <col collapsed="false" customWidth="true" hidden="false" max="104" min="104" style="0" width="17.933333333333334"/>
    <col collapsed="false" customWidth="true" hidden="false" max="7" min="7" style="0" width="24.2"/>
    <col collapsed="false" customWidth="true" hidden="false" max="42" min="42" style="0" width="17.933333333333334"/>
    <col collapsed="false" customWidth="true" hidden="false" max="58" min="58" style="0" width="17.933333333333334"/>
    <col collapsed="false" customWidth="true" hidden="false" max="71" min="71" style="0" width="17.933333333333334"/>
    <col collapsed="false" customWidth="true" hidden="false" max="87" min="87" style="0" width="17.933333333333334"/>
    <col collapsed="false" customWidth="true" hidden="false" max="103" min="103" style="0" width="17.933333333333334"/>
    <col collapsed="false" customWidth="true" hidden="false" max="23" min="23" style="0" width="24.2"/>
    <col collapsed="false" customWidth="true" hidden="false" max="26" min="26" style="0" width="24.2"/>
    <col collapsed="false" customWidth="true" hidden="false" max="41" min="41" style="0" width="17.933333333333334"/>
    <col collapsed="false" customWidth="true" hidden="false" max="57" min="57" style="0" width="17.933333333333334"/>
    <col collapsed="false" customWidth="true" hidden="false" max="74" min="74" style="0" width="17.933333333333334"/>
    <col collapsed="false" customWidth="true" hidden="false" max="106" min="106" style="0" width="17.933333333333334"/>
    <col collapsed="false" customWidth="true" hidden="false" max="10" min="10" style="0" width="24.2"/>
    <col collapsed="false" customWidth="true" hidden="false" max="25" min="25" style="0" width="24.2"/>
    <col collapsed="false" customWidth="true" hidden="false" max="44" min="44" style="0" width="17.933333333333334"/>
    <col collapsed="false" customWidth="true" hidden="false" max="60" min="60" style="0" width="17.933333333333334"/>
    <col collapsed="false" customWidth="true" hidden="false" max="73" min="73" style="0" width="17.933333333333334"/>
    <col collapsed="false" customWidth="true" hidden="false" max="90" min="90" style="0" width="17.933333333333334"/>
    <col collapsed="false" customWidth="true" hidden="false" max="105" min="105" style="0" width="17.933333333333334"/>
    <col collapsed="false" customWidth="true" hidden="false" max="9" min="9" style="0" width="24.2"/>
    <col collapsed="false" customWidth="true" hidden="false" max="12" min="12" style="0" width="24.2"/>
    <col collapsed="false" customWidth="true" hidden="false" max="28" min="28" style="0" width="24.2"/>
    <col collapsed="false" customWidth="true" hidden="false" max="43" min="43" style="0" width="17.933333333333334"/>
    <col collapsed="false" customWidth="true" hidden="false" max="59" min="59" style="0" width="17.933333333333334"/>
    <col collapsed="false" customWidth="true" hidden="false" max="76" min="76" style="0" width="17.933333333333334"/>
    <col collapsed="false" customWidth="true" hidden="false" max="89" min="89" style="0" width="17.933333333333334"/>
    <col collapsed="false" customWidth="true" hidden="false" max="108" min="108" style="0" width="17.933333333333334"/>
    <col collapsed="false" customWidth="true" hidden="false" max="11" min="11" style="0" width="24.2"/>
    <col collapsed="false" customWidth="true" hidden="false" max="27" min="27" style="0" width="24.2"/>
    <col collapsed="false" customWidth="true" hidden="false" max="46" min="46" style="0" width="17.933333333333334"/>
    <col collapsed="false" customWidth="true" hidden="false" max="62" min="62" style="0" width="17.933333333333334"/>
    <col collapsed="false" customWidth="true" hidden="false" max="75" min="75" style="0" width="17.933333333333334"/>
    <col collapsed="false" customWidth="true" hidden="false" max="92" min="92" style="0" width="17.933333333333334"/>
    <col collapsed="false" customWidth="true" hidden="false" max="107" min="107" style="0" width="17.933333333333334"/>
    <col collapsed="false" customWidth="true" hidden="false" max="14" min="14" style="0" width="24.2"/>
  </cols>
  <sheetData>
    <row customHeight="true" ht="16.296296296296294" r="1">
      <c r="A1" s="438" t="s">
        <v>915</v>
      </c>
      <c r="B1" s="438" t="s">
        <v>916</v>
      </c>
      <c r="C1" s="438" t="s">
        <v>917</v>
      </c>
      <c r="D1" s="438" t="s">
        <v>918</v>
      </c>
      <c r="E1" s="438" t="s">
        <v>919</v>
      </c>
      <c r="F1" s="438" t="s">
        <v>920</v>
      </c>
      <c r="G1" s="438" t="s">
        <v>921</v>
      </c>
      <c r="H1" s="438" t="s">
        <v>922</v>
      </c>
      <c r="I1" s="438" t="s">
        <v>923</v>
      </c>
      <c r="J1" s="438" t="s">
        <v>924</v>
      </c>
      <c r="K1" s="438" t="s">
        <v>925</v>
      </c>
      <c r="L1" s="438" t="s">
        <v>926</v>
      </c>
      <c r="M1" s="438" t="s">
        <v>927</v>
      </c>
      <c r="N1" s="438" t="s">
        <v>928</v>
      </c>
      <c r="O1" s="438" t="s">
        <v>929</v>
      </c>
      <c r="P1" s="438" t="s">
        <v>930</v>
      </c>
      <c r="Q1" s="438" t="s">
        <v>931</v>
      </c>
      <c r="R1" s="438" t="s">
        <v>932</v>
      </c>
      <c r="S1" s="438" t="s">
        <v>933</v>
      </c>
      <c r="T1" s="438" t="s">
        <v>934</v>
      </c>
      <c r="U1" s="438" t="s">
        <v>935</v>
      </c>
      <c r="V1" s="438" t="s">
        <v>936</v>
      </c>
      <c r="W1" s="438" t="s">
        <v>937</v>
      </c>
      <c r="X1" s="438" t="s">
        <v>938</v>
      </c>
      <c r="Y1" s="438" t="s">
        <v>939</v>
      </c>
      <c r="Z1" s="438" t="s">
        <v>940</v>
      </c>
      <c r="AA1" s="438" t="s">
        <v>941</v>
      </c>
      <c r="AB1" s="438" t="s">
        <v>942</v>
      </c>
      <c r="AC1" s="438" t="s">
        <v>943</v>
      </c>
      <c r="AD1" s="438" t="s">
        <v>944</v>
      </c>
      <c r="AE1" s="438" t="s">
        <v>945</v>
      </c>
      <c r="AF1" s="438" t="s">
        <v>946</v>
      </c>
      <c r="AG1" s="438" t="s">
        <v>947</v>
      </c>
      <c r="AH1" s="438" t="s">
        <v>948</v>
      </c>
      <c r="AI1" s="438" t="s">
        <v>949</v>
      </c>
      <c r="AJ1" s="438" t="s">
        <v>950</v>
      </c>
      <c r="AK1" s="438" t="s">
        <v>951</v>
      </c>
      <c r="AL1" s="438" t="s">
        <v>952</v>
      </c>
      <c r="AM1" s="438" t="s">
        <v>953</v>
      </c>
      <c r="AN1" s="438" t="s">
        <v>954</v>
      </c>
      <c r="AO1" s="438" t="s">
        <v>955</v>
      </c>
      <c r="AP1" s="438" t="s">
        <v>956</v>
      </c>
      <c r="AQ1" s="438" t="s">
        <v>957</v>
      </c>
      <c r="AR1" s="438" t="s">
        <v>958</v>
      </c>
      <c r="AS1" s="438" t="s">
        <v>959</v>
      </c>
      <c r="AT1" s="438" t="s">
        <v>960</v>
      </c>
      <c r="AU1" s="438" t="s">
        <v>961</v>
      </c>
      <c r="AV1" s="438" t="s">
        <v>962</v>
      </c>
      <c r="AW1" s="438" t="s">
        <v>963</v>
      </c>
      <c r="AX1" s="438" t="s">
        <v>964</v>
      </c>
      <c r="AY1" s="438" t="s">
        <v>965</v>
      </c>
      <c r="AZ1" s="438" t="s">
        <v>966</v>
      </c>
      <c r="BA1" s="438" t="s">
        <v>967</v>
      </c>
      <c r="BB1" s="438" t="s">
        <v>968</v>
      </c>
      <c r="BC1" s="438" t="s">
        <v>969</v>
      </c>
      <c r="BD1" s="438" t="s">
        <v>970</v>
      </c>
      <c r="BE1" s="438" t="s">
        <v>971</v>
      </c>
      <c r="BF1" s="438" t="s">
        <v>972</v>
      </c>
      <c r="BG1" s="438" t="s">
        <v>973</v>
      </c>
      <c r="BH1" s="438" t="s">
        <v>974</v>
      </c>
      <c r="BI1" s="438" t="s">
        <v>975</v>
      </c>
      <c r="BJ1" s="438" t="s">
        <v>976</v>
      </c>
      <c r="BK1" s="438" t="s">
        <v>977</v>
      </c>
      <c r="BL1" s="438" t="s">
        <v>978</v>
      </c>
      <c r="BM1" s="438" t="s">
        <v>979</v>
      </c>
      <c r="BN1" s="438" t="s">
        <v>980</v>
      </c>
      <c r="BO1" s="438" t="s">
        <v>981</v>
      </c>
      <c r="BP1" s="438" t="s">
        <v>982</v>
      </c>
      <c r="BQ1" s="438" t="s">
        <v>983</v>
      </c>
      <c r="BR1" s="438" t="s">
        <v>984</v>
      </c>
      <c r="BS1" s="438" t="s">
        <v>985</v>
      </c>
      <c r="BT1" s="438" t="s">
        <v>986</v>
      </c>
      <c r="BU1" s="438" t="s">
        <v>987</v>
      </c>
      <c r="BV1" s="438" t="s">
        <v>988</v>
      </c>
      <c r="BW1" s="438" t="s">
        <v>989</v>
      </c>
      <c r="BX1" s="438" t="s">
        <v>990</v>
      </c>
      <c r="BY1" s="438" t="s">
        <v>991</v>
      </c>
      <c r="BZ1" s="438" t="s">
        <v>992</v>
      </c>
      <c r="CA1" s="438" t="s">
        <v>993</v>
      </c>
      <c r="CB1" s="438" t="s">
        <v>994</v>
      </c>
      <c r="CC1" s="438" t="s">
        <v>995</v>
      </c>
      <c r="CD1" s="438" t="s">
        <v>996</v>
      </c>
      <c r="CE1" s="438" t="s">
        <v>997</v>
      </c>
      <c r="CF1" s="438" t="s">
        <v>998</v>
      </c>
      <c r="CG1" s="438" t="s">
        <v>999</v>
      </c>
      <c r="CH1" s="438" t="s">
        <v>1000</v>
      </c>
      <c r="CI1" s="438" t="s">
        <v>1001</v>
      </c>
      <c r="CJ1" s="438" t="s">
        <v>1002</v>
      </c>
      <c r="CK1" s="438" t="s">
        <v>1003</v>
      </c>
      <c r="CL1" s="438" t="s">
        <v>1004</v>
      </c>
      <c r="CM1" s="438" t="s">
        <v>1005</v>
      </c>
      <c r="CN1" s="438" t="s">
        <v>1006</v>
      </c>
      <c r="CO1" s="438" t="s">
        <v>1007</v>
      </c>
      <c r="CP1" s="438" t="s">
        <v>1008</v>
      </c>
      <c r="CQ1" s="438" t="s">
        <v>1009</v>
      </c>
      <c r="CR1" s="438" t="s">
        <v>1010</v>
      </c>
      <c r="CS1" s="438" t="s">
        <v>1011</v>
      </c>
      <c r="CT1" s="438" t="s">
        <v>1012</v>
      </c>
      <c r="CU1" s="438" t="s">
        <v>1013</v>
      </c>
      <c r="CV1" s="438" t="s">
        <v>1014</v>
      </c>
      <c r="CW1" s="438" t="s">
        <v>1015</v>
      </c>
      <c r="CX1" s="438" t="s">
        <v>1016</v>
      </c>
      <c r="CY1" s="438" t="s">
        <v>1017</v>
      </c>
      <c r="CZ1" s="438" t="s">
        <v>1018</v>
      </c>
      <c r="DA1" s="438" t="s">
        <v>1019</v>
      </c>
      <c r="DB1" s="438" t="s">
        <v>1020</v>
      </c>
      <c r="DC1" s="438" t="s">
        <v>1021</v>
      </c>
      <c r="DD1" s="438" t="s">
        <v>1022</v>
      </c>
      <c r="DE1" s="438" t="s">
        <v>1023</v>
      </c>
      <c r="DF1" s="438" t="s">
        <v>1024</v>
      </c>
    </row>
    <row customHeight="true" ht="16.296296296296294" r="2">
      <c r="A2" s="439" t="s">
        <v>1025</v>
      </c>
      <c r="B2" s="439" t="s">
        <v>1026</v>
      </c>
      <c r="C2" s="439" t="s">
        <v>1027</v>
      </c>
      <c r="D2" s="439" t="s">
        <v>1027</v>
      </c>
      <c r="E2" s="439" t="s">
        <v>1026</v>
      </c>
      <c r="F2" s="439" t="s">
        <v>1028</v>
      </c>
      <c r="G2" s="440">
        <v>0</v>
      </c>
      <c r="H2" s="440">
        <v>64.99</v>
      </c>
      <c r="I2" s="441">
        <v>0</v>
      </c>
      <c r="J2" s="441">
        <v>0</v>
      </c>
      <c r="K2" s="441">
        <v>0</v>
      </c>
      <c r="L2" s="441">
        <v>0</v>
      </c>
      <c r="M2" s="441">
        <v>0</v>
      </c>
      <c r="N2" s="441">
        <v>0</v>
      </c>
      <c r="O2" s="441">
        <v>0</v>
      </c>
      <c r="P2" s="441">
        <v>0</v>
      </c>
      <c r="Q2" s="440">
        <v>0</v>
      </c>
      <c r="R2" s="441">
        <v>0</v>
      </c>
      <c r="S2" s="440">
        <v>0</v>
      </c>
      <c r="T2" s="439" t="s">
        <v>1029</v>
      </c>
      <c r="U2" s="439" t="s">
        <v>1029</v>
      </c>
      <c r="V2" s="439" t="s">
        <v>1029</v>
      </c>
      <c r="W2" s="439" t="s">
        <v>1029</v>
      </c>
      <c r="X2" s="439" t="s">
        <v>1029</v>
      </c>
      <c r="Y2" s="439" t="s">
        <v>1029</v>
      </c>
      <c r="Z2" s="441">
        <v>0</v>
      </c>
      <c r="AA2" s="440">
        <v>0</v>
      </c>
      <c r="AB2" s="441">
        <v>0</v>
      </c>
      <c r="AC2" s="440">
        <v>0</v>
      </c>
      <c r="AD2" s="441">
        <v>0</v>
      </c>
      <c r="AE2" s="440">
        <v>0</v>
      </c>
      <c r="AF2" s="441">
        <v>0</v>
      </c>
      <c r="AG2" s="440">
        <v>0</v>
      </c>
      <c r="AH2" s="442">
        <v>0</v>
      </c>
      <c r="AI2" s="440">
        <v>0</v>
      </c>
      <c r="AJ2" s="442">
        <v>0</v>
      </c>
      <c r="AK2" s="440">
        <v>0</v>
      </c>
      <c r="AL2" s="439"/>
      <c r="AM2" s="439"/>
      <c r="AN2" s="441">
        <v>0</v>
      </c>
      <c r="AO2" s="440">
        <v>0</v>
      </c>
      <c r="AP2" s="439" t="s">
        <v>1029</v>
      </c>
      <c r="AQ2" s="443">
        <v>0</v>
      </c>
      <c r="AR2" s="441">
        <v>0</v>
      </c>
      <c r="AS2" s="439" t="s">
        <v>1029</v>
      </c>
      <c r="AT2" s="439" t="s">
        <v>1030</v>
      </c>
      <c r="AU2" s="439" t="s">
        <v>1030</v>
      </c>
      <c r="AV2" s="439" t="s">
        <v>1030</v>
      </c>
      <c r="AW2" s="439" t="s">
        <v>1030</v>
      </c>
      <c r="AX2" s="439" t="s">
        <v>1030</v>
      </c>
      <c r="AY2" s="441">
        <v>0</v>
      </c>
      <c r="AZ2" s="439" t="s">
        <v>1029</v>
      </c>
      <c r="BA2" s="441">
        <v>0</v>
      </c>
      <c r="BB2" s="439" t="s">
        <v>1029</v>
      </c>
      <c r="BC2" s="441">
        <v>0</v>
      </c>
      <c r="BD2" s="439" t="s">
        <v>1029</v>
      </c>
      <c r="BE2" s="441">
        <v>0</v>
      </c>
      <c r="BF2" s="441">
        <v>0</v>
      </c>
      <c r="BG2" s="441">
        <v>0</v>
      </c>
      <c r="BH2" s="441">
        <v>0</v>
      </c>
      <c r="BI2" s="439" t="s">
        <v>1029</v>
      </c>
      <c r="BJ2" s="439" t="s">
        <v>1029</v>
      </c>
      <c r="BK2" s="439" t="s">
        <v>1029</v>
      </c>
      <c r="BL2" s="440">
        <v>0</v>
      </c>
      <c r="BM2" s="439" t="s">
        <v>1029</v>
      </c>
      <c r="BN2" s="440">
        <v>0</v>
      </c>
      <c r="BO2" s="440">
        <v>0</v>
      </c>
      <c r="BP2" s="440">
        <v>0</v>
      </c>
      <c r="BQ2" s="440">
        <v>0</v>
      </c>
      <c r="BR2" s="440">
        <v>0</v>
      </c>
      <c r="BS2" s="444">
        <v>0</v>
      </c>
      <c r="BT2" s="439" t="s">
        <v>1029</v>
      </c>
      <c r="BU2" s="439" t="s">
        <v>1029</v>
      </c>
      <c r="BV2" s="439" t="s">
        <v>1029</v>
      </c>
      <c r="BW2" s="440">
        <v>0</v>
      </c>
      <c r="BX2" s="440">
        <v>0</v>
      </c>
      <c r="BY2" s="440">
        <v>0</v>
      </c>
      <c r="BZ2" s="440">
        <v>0</v>
      </c>
      <c r="CA2" s="441">
        <v>0</v>
      </c>
      <c r="CB2" s="441">
        <v>0</v>
      </c>
      <c r="CC2" s="440">
        <v>0</v>
      </c>
      <c r="CD2" s="439" t="s">
        <v>1029</v>
      </c>
      <c r="CE2" s="439" t="s">
        <v>1029</v>
      </c>
      <c r="CF2" s="441">
        <v>0</v>
      </c>
      <c r="CG2" s="441">
        <v>0</v>
      </c>
      <c r="CH2" s="441">
        <v>0</v>
      </c>
      <c r="CI2" s="441">
        <v>0</v>
      </c>
      <c r="CJ2" s="439" t="s">
        <v>1029</v>
      </c>
      <c r="CK2" s="439" t="s">
        <v>1029</v>
      </c>
      <c r="CL2" s="439" t="s">
        <v>1029</v>
      </c>
      <c r="CM2" s="439" t="s">
        <v>1029</v>
      </c>
      <c r="CN2" s="439" t="s">
        <v>1029</v>
      </c>
      <c r="CO2" s="439" t="s">
        <v>1029</v>
      </c>
      <c r="CP2" s="441">
        <v>0</v>
      </c>
      <c r="CQ2" s="439" t="s">
        <v>1029</v>
      </c>
      <c r="CR2" s="441">
        <v>0</v>
      </c>
      <c r="CS2" s="439" t="s">
        <v>1029</v>
      </c>
      <c r="CT2" s="441">
        <v>0</v>
      </c>
      <c r="CU2" s="439" t="s">
        <v>1029</v>
      </c>
      <c r="CV2" s="439" t="s">
        <v>1029</v>
      </c>
      <c r="CW2" s="441">
        <v>0</v>
      </c>
      <c r="CX2" s="439" t="s">
        <v>1029</v>
      </c>
      <c r="CY2" s="441">
        <v>0</v>
      </c>
      <c r="CZ2" s="439" t="s">
        <v>1029</v>
      </c>
      <c r="DA2" s="441">
        <v>0</v>
      </c>
      <c r="DB2" s="439" t="s">
        <v>1029</v>
      </c>
      <c r="DC2" s="439" t="s">
        <v>1029</v>
      </c>
      <c r="DD2" s="439" t="s">
        <v>1029</v>
      </c>
      <c r="DE2" s="439" t="s">
        <v>1029</v>
      </c>
      <c r="DF2" s="439"/>
    </row>
    <row customHeight="true" ht="16.296296296296294" r="3">
      <c r="A3" s="439" t="s">
        <v>1031</v>
      </c>
      <c r="B3" s="439" t="s">
        <v>1026</v>
      </c>
      <c r="C3" s="439" t="s">
        <v>1027</v>
      </c>
      <c r="D3" s="439" t="s">
        <v>1027</v>
      </c>
      <c r="E3" s="439" t="s">
        <v>1026</v>
      </c>
      <c r="F3" s="439" t="s">
        <v>1028</v>
      </c>
      <c r="G3" s="440">
        <v>0</v>
      </c>
      <c r="H3" s="440">
        <v>64.99</v>
      </c>
      <c r="I3" s="441">
        <v>0</v>
      </c>
      <c r="J3" s="441">
        <v>0</v>
      </c>
      <c r="K3" s="441">
        <v>0</v>
      </c>
      <c r="L3" s="441">
        <v>0</v>
      </c>
      <c r="M3" s="441">
        <v>0</v>
      </c>
      <c r="N3" s="441">
        <v>0</v>
      </c>
      <c r="O3" s="441">
        <v>0</v>
      </c>
      <c r="P3" s="441">
        <v>0</v>
      </c>
      <c r="Q3" s="440">
        <v>0</v>
      </c>
      <c r="R3" s="441">
        <v>0</v>
      </c>
      <c r="S3" s="440">
        <v>0</v>
      </c>
      <c r="T3" s="439" t="s">
        <v>1029</v>
      </c>
      <c r="U3" s="439" t="s">
        <v>1029</v>
      </c>
      <c r="V3" s="439" t="s">
        <v>1029</v>
      </c>
      <c r="W3" s="439" t="s">
        <v>1029</v>
      </c>
      <c r="X3" s="439" t="s">
        <v>1029</v>
      </c>
      <c r="Y3" s="439" t="s">
        <v>1029</v>
      </c>
      <c r="Z3" s="441">
        <v>0</v>
      </c>
      <c r="AA3" s="440">
        <v>0</v>
      </c>
      <c r="AB3" s="441">
        <v>0</v>
      </c>
      <c r="AC3" s="440">
        <v>0</v>
      </c>
      <c r="AD3" s="441">
        <v>0</v>
      </c>
      <c r="AE3" s="440">
        <v>0</v>
      </c>
      <c r="AF3" s="441">
        <v>0</v>
      </c>
      <c r="AG3" s="440">
        <v>0</v>
      </c>
      <c r="AH3" s="442">
        <v>0</v>
      </c>
      <c r="AI3" s="440">
        <v>0</v>
      </c>
      <c r="AJ3" s="442">
        <v>0</v>
      </c>
      <c r="AK3" s="440">
        <v>0</v>
      </c>
      <c r="AL3" s="439"/>
      <c r="AM3" s="439"/>
      <c r="AN3" s="441">
        <v>0</v>
      </c>
      <c r="AO3" s="440">
        <v>0</v>
      </c>
      <c r="AP3" s="439" t="s">
        <v>1029</v>
      </c>
      <c r="AQ3" s="443">
        <v>0</v>
      </c>
      <c r="AR3" s="441">
        <v>0</v>
      </c>
      <c r="AS3" s="439" t="s">
        <v>1029</v>
      </c>
      <c r="AT3" s="439" t="s">
        <v>1030</v>
      </c>
      <c r="AU3" s="439" t="s">
        <v>1030</v>
      </c>
      <c r="AV3" s="439" t="s">
        <v>1030</v>
      </c>
      <c r="AW3" s="439" t="s">
        <v>1030</v>
      </c>
      <c r="AX3" s="439" t="s">
        <v>1030</v>
      </c>
      <c r="AY3" s="441">
        <v>0</v>
      </c>
      <c r="AZ3" s="439" t="s">
        <v>1029</v>
      </c>
      <c r="BA3" s="441">
        <v>0</v>
      </c>
      <c r="BB3" s="439" t="s">
        <v>1029</v>
      </c>
      <c r="BC3" s="441">
        <v>0</v>
      </c>
      <c r="BD3" s="439" t="s">
        <v>1029</v>
      </c>
      <c r="BE3" s="441">
        <v>0</v>
      </c>
      <c r="BF3" s="441">
        <v>0</v>
      </c>
      <c r="BG3" s="441">
        <v>0</v>
      </c>
      <c r="BH3" s="441">
        <v>0</v>
      </c>
      <c r="BI3" s="439" t="s">
        <v>1029</v>
      </c>
      <c r="BJ3" s="439" t="s">
        <v>1029</v>
      </c>
      <c r="BK3" s="439" t="s">
        <v>1029</v>
      </c>
      <c r="BL3" s="440">
        <v>0</v>
      </c>
      <c r="BM3" s="439" t="s">
        <v>1029</v>
      </c>
      <c r="BN3" s="440">
        <v>0</v>
      </c>
      <c r="BO3" s="440">
        <v>0</v>
      </c>
      <c r="BP3" s="440">
        <v>0</v>
      </c>
      <c r="BQ3" s="440">
        <v>0</v>
      </c>
      <c r="BR3" s="440">
        <v>0</v>
      </c>
      <c r="BS3" s="444">
        <v>0</v>
      </c>
      <c r="BT3" s="439" t="s">
        <v>1029</v>
      </c>
      <c r="BU3" s="439" t="s">
        <v>1029</v>
      </c>
      <c r="BV3" s="439" t="s">
        <v>1029</v>
      </c>
      <c r="BW3" s="440">
        <v>0</v>
      </c>
      <c r="BX3" s="440">
        <v>0</v>
      </c>
      <c r="BY3" s="440">
        <v>0</v>
      </c>
      <c r="BZ3" s="440">
        <v>0</v>
      </c>
      <c r="CA3" s="441">
        <v>0</v>
      </c>
      <c r="CB3" s="441">
        <v>0</v>
      </c>
      <c r="CC3" s="440">
        <v>0</v>
      </c>
      <c r="CD3" s="439" t="s">
        <v>1029</v>
      </c>
      <c r="CE3" s="439" t="s">
        <v>1029</v>
      </c>
      <c r="CF3" s="441">
        <v>0</v>
      </c>
      <c r="CG3" s="441">
        <v>0</v>
      </c>
      <c r="CH3" s="441">
        <v>0</v>
      </c>
      <c r="CI3" s="441">
        <v>0</v>
      </c>
      <c r="CJ3" s="439" t="s">
        <v>1029</v>
      </c>
      <c r="CK3" s="439" t="s">
        <v>1029</v>
      </c>
      <c r="CL3" s="439" t="s">
        <v>1029</v>
      </c>
      <c r="CM3" s="439" t="s">
        <v>1029</v>
      </c>
      <c r="CN3" s="439" t="s">
        <v>1029</v>
      </c>
      <c r="CO3" s="439" t="s">
        <v>1029</v>
      </c>
      <c r="CP3" s="441">
        <v>0</v>
      </c>
      <c r="CQ3" s="439" t="s">
        <v>1029</v>
      </c>
      <c r="CR3" s="441">
        <v>0</v>
      </c>
      <c r="CS3" s="439" t="s">
        <v>1029</v>
      </c>
      <c r="CT3" s="441">
        <v>0</v>
      </c>
      <c r="CU3" s="439" t="s">
        <v>1029</v>
      </c>
      <c r="CV3" s="439" t="s">
        <v>1029</v>
      </c>
      <c r="CW3" s="441">
        <v>0</v>
      </c>
      <c r="CX3" s="439" t="s">
        <v>1029</v>
      </c>
      <c r="CY3" s="441">
        <v>0</v>
      </c>
      <c r="CZ3" s="439" t="s">
        <v>1029</v>
      </c>
      <c r="DA3" s="441">
        <v>0</v>
      </c>
      <c r="DB3" s="439" t="s">
        <v>1029</v>
      </c>
      <c r="DC3" s="439" t="s">
        <v>1029</v>
      </c>
      <c r="DD3" s="439" t="s">
        <v>1029</v>
      </c>
      <c r="DE3" s="439" t="s">
        <v>1029</v>
      </c>
      <c r="DF3" s="439"/>
    </row>
    <row customHeight="true" ht="16.296296296296294" r="4">
      <c r="A4" s="439" t="s">
        <v>1032</v>
      </c>
      <c r="B4" s="439" t="s">
        <v>1026</v>
      </c>
      <c r="C4" s="439" t="s">
        <v>1027</v>
      </c>
      <c r="D4" s="439" t="s">
        <v>1027</v>
      </c>
      <c r="E4" s="439" t="s">
        <v>1026</v>
      </c>
      <c r="F4" s="439" t="s">
        <v>1028</v>
      </c>
      <c r="G4" s="440">
        <v>0</v>
      </c>
      <c r="H4" s="440">
        <v>64.99</v>
      </c>
      <c r="I4" s="441">
        <v>0</v>
      </c>
      <c r="J4" s="441">
        <v>0</v>
      </c>
      <c r="K4" s="441">
        <v>0</v>
      </c>
      <c r="L4" s="441">
        <v>0</v>
      </c>
      <c r="M4" s="441">
        <v>0</v>
      </c>
      <c r="N4" s="441">
        <v>0</v>
      </c>
      <c r="O4" s="441">
        <v>0</v>
      </c>
      <c r="P4" s="441">
        <v>0</v>
      </c>
      <c r="Q4" s="440">
        <v>0</v>
      </c>
      <c r="R4" s="441">
        <v>0</v>
      </c>
      <c r="S4" s="440">
        <v>0</v>
      </c>
      <c r="T4" s="439" t="s">
        <v>1029</v>
      </c>
      <c r="U4" s="439" t="s">
        <v>1029</v>
      </c>
      <c r="V4" s="439" t="s">
        <v>1029</v>
      </c>
      <c r="W4" s="439" t="s">
        <v>1029</v>
      </c>
      <c r="X4" s="439" t="s">
        <v>1029</v>
      </c>
      <c r="Y4" s="439" t="s">
        <v>1029</v>
      </c>
      <c r="Z4" s="441">
        <v>0</v>
      </c>
      <c r="AA4" s="440">
        <v>0</v>
      </c>
      <c r="AB4" s="441">
        <v>0</v>
      </c>
      <c r="AC4" s="440">
        <v>0</v>
      </c>
      <c r="AD4" s="441">
        <v>0</v>
      </c>
      <c r="AE4" s="440">
        <v>0</v>
      </c>
      <c r="AF4" s="441">
        <v>0</v>
      </c>
      <c r="AG4" s="440">
        <v>0</v>
      </c>
      <c r="AH4" s="442">
        <v>0</v>
      </c>
      <c r="AI4" s="440">
        <v>0</v>
      </c>
      <c r="AJ4" s="442">
        <v>0</v>
      </c>
      <c r="AK4" s="440">
        <v>0</v>
      </c>
      <c r="AL4" s="439"/>
      <c r="AM4" s="439"/>
      <c r="AN4" s="441">
        <v>0</v>
      </c>
      <c r="AO4" s="440">
        <v>0</v>
      </c>
      <c r="AP4" s="439" t="s">
        <v>1029</v>
      </c>
      <c r="AQ4" s="443">
        <v>0</v>
      </c>
      <c r="AR4" s="441">
        <v>0</v>
      </c>
      <c r="AS4" s="439" t="s">
        <v>1029</v>
      </c>
      <c r="AT4" s="439" t="s">
        <v>1030</v>
      </c>
      <c r="AU4" s="439" t="s">
        <v>1030</v>
      </c>
      <c r="AV4" s="439" t="s">
        <v>1030</v>
      </c>
      <c r="AW4" s="439" t="s">
        <v>1030</v>
      </c>
      <c r="AX4" s="439" t="s">
        <v>1030</v>
      </c>
      <c r="AY4" s="441">
        <v>0</v>
      </c>
      <c r="AZ4" s="439" t="s">
        <v>1029</v>
      </c>
      <c r="BA4" s="441">
        <v>0</v>
      </c>
      <c r="BB4" s="439" t="s">
        <v>1029</v>
      </c>
      <c r="BC4" s="441">
        <v>0</v>
      </c>
      <c r="BD4" s="439" t="s">
        <v>1029</v>
      </c>
      <c r="BE4" s="441">
        <v>0</v>
      </c>
      <c r="BF4" s="441">
        <v>0</v>
      </c>
      <c r="BG4" s="441">
        <v>0</v>
      </c>
      <c r="BH4" s="441">
        <v>0</v>
      </c>
      <c r="BI4" s="439" t="s">
        <v>1029</v>
      </c>
      <c r="BJ4" s="439" t="s">
        <v>1029</v>
      </c>
      <c r="BK4" s="439" t="s">
        <v>1029</v>
      </c>
      <c r="BL4" s="440">
        <v>0</v>
      </c>
      <c r="BM4" s="439" t="s">
        <v>1029</v>
      </c>
      <c r="BN4" s="440">
        <v>0</v>
      </c>
      <c r="BO4" s="440">
        <v>0</v>
      </c>
      <c r="BP4" s="440">
        <v>0</v>
      </c>
      <c r="BQ4" s="440">
        <v>0</v>
      </c>
      <c r="BR4" s="440">
        <v>0</v>
      </c>
      <c r="BS4" s="444">
        <v>0</v>
      </c>
      <c r="BT4" s="439" t="s">
        <v>1029</v>
      </c>
      <c r="BU4" s="439" t="s">
        <v>1029</v>
      </c>
      <c r="BV4" s="439" t="s">
        <v>1029</v>
      </c>
      <c r="BW4" s="440">
        <v>0</v>
      </c>
      <c r="BX4" s="440">
        <v>0</v>
      </c>
      <c r="BY4" s="440">
        <v>0</v>
      </c>
      <c r="BZ4" s="440">
        <v>0</v>
      </c>
      <c r="CA4" s="441">
        <v>0</v>
      </c>
      <c r="CB4" s="441">
        <v>0</v>
      </c>
      <c r="CC4" s="440">
        <v>0</v>
      </c>
      <c r="CD4" s="439" t="s">
        <v>1029</v>
      </c>
      <c r="CE4" s="439" t="s">
        <v>1029</v>
      </c>
      <c r="CF4" s="441">
        <v>0</v>
      </c>
      <c r="CG4" s="441">
        <v>0</v>
      </c>
      <c r="CH4" s="441">
        <v>0</v>
      </c>
      <c r="CI4" s="441">
        <v>0</v>
      </c>
      <c r="CJ4" s="439" t="s">
        <v>1029</v>
      </c>
      <c r="CK4" s="439" t="s">
        <v>1029</v>
      </c>
      <c r="CL4" s="439" t="s">
        <v>1029</v>
      </c>
      <c r="CM4" s="439" t="s">
        <v>1029</v>
      </c>
      <c r="CN4" s="439" t="s">
        <v>1029</v>
      </c>
      <c r="CO4" s="439" t="s">
        <v>1029</v>
      </c>
      <c r="CP4" s="441">
        <v>0</v>
      </c>
      <c r="CQ4" s="439" t="s">
        <v>1029</v>
      </c>
      <c r="CR4" s="441">
        <v>0</v>
      </c>
      <c r="CS4" s="439" t="s">
        <v>1029</v>
      </c>
      <c r="CT4" s="441">
        <v>0</v>
      </c>
      <c r="CU4" s="439" t="s">
        <v>1029</v>
      </c>
      <c r="CV4" s="439" t="s">
        <v>1029</v>
      </c>
      <c r="CW4" s="441">
        <v>0</v>
      </c>
      <c r="CX4" s="439" t="s">
        <v>1029</v>
      </c>
      <c r="CY4" s="441">
        <v>0</v>
      </c>
      <c r="CZ4" s="439" t="s">
        <v>1029</v>
      </c>
      <c r="DA4" s="441">
        <v>0</v>
      </c>
      <c r="DB4" s="439" t="s">
        <v>1029</v>
      </c>
      <c r="DC4" s="439" t="s">
        <v>1029</v>
      </c>
      <c r="DD4" s="439" t="s">
        <v>1029</v>
      </c>
      <c r="DE4" s="439" t="s">
        <v>1029</v>
      </c>
      <c r="DF4" s="439"/>
    </row>
    <row customHeight="true" ht="16.296296296296294" r="5">
      <c r="A5" s="439" t="s">
        <v>1033</v>
      </c>
      <c r="B5" s="439" t="s">
        <v>1026</v>
      </c>
      <c r="C5" s="439" t="s">
        <v>1027</v>
      </c>
      <c r="D5" s="439" t="s">
        <v>1027</v>
      </c>
      <c r="E5" s="439" t="s">
        <v>1026</v>
      </c>
      <c r="F5" s="439" t="s">
        <v>1028</v>
      </c>
      <c r="G5" s="440">
        <v>0</v>
      </c>
      <c r="H5" s="440">
        <v>64.99</v>
      </c>
      <c r="I5" s="441">
        <v>0</v>
      </c>
      <c r="J5" s="441">
        <v>0</v>
      </c>
      <c r="K5" s="441">
        <v>0</v>
      </c>
      <c r="L5" s="441">
        <v>0</v>
      </c>
      <c r="M5" s="441">
        <v>0</v>
      </c>
      <c r="N5" s="441">
        <v>0</v>
      </c>
      <c r="O5" s="441">
        <v>0</v>
      </c>
      <c r="P5" s="441">
        <v>0</v>
      </c>
      <c r="Q5" s="440">
        <v>0</v>
      </c>
      <c r="R5" s="441">
        <v>0</v>
      </c>
      <c r="S5" s="440">
        <v>0</v>
      </c>
      <c r="T5" s="439" t="s">
        <v>1029</v>
      </c>
      <c r="U5" s="439" t="s">
        <v>1029</v>
      </c>
      <c r="V5" s="439" t="s">
        <v>1029</v>
      </c>
      <c r="W5" s="439" t="s">
        <v>1029</v>
      </c>
      <c r="X5" s="439" t="s">
        <v>1029</v>
      </c>
      <c r="Y5" s="439" t="s">
        <v>1029</v>
      </c>
      <c r="Z5" s="441">
        <v>0</v>
      </c>
      <c r="AA5" s="440">
        <v>0</v>
      </c>
      <c r="AB5" s="441">
        <v>0</v>
      </c>
      <c r="AC5" s="440">
        <v>0</v>
      </c>
      <c r="AD5" s="441">
        <v>0</v>
      </c>
      <c r="AE5" s="440">
        <v>0</v>
      </c>
      <c r="AF5" s="441">
        <v>0</v>
      </c>
      <c r="AG5" s="440">
        <v>0</v>
      </c>
      <c r="AH5" s="442">
        <v>0</v>
      </c>
      <c r="AI5" s="440">
        <v>0</v>
      </c>
      <c r="AJ5" s="442">
        <v>0</v>
      </c>
      <c r="AK5" s="440">
        <v>0</v>
      </c>
      <c r="AL5" s="439"/>
      <c r="AM5" s="439"/>
      <c r="AN5" s="441">
        <v>0</v>
      </c>
      <c r="AO5" s="440">
        <v>0</v>
      </c>
      <c r="AP5" s="439" t="s">
        <v>1029</v>
      </c>
      <c r="AQ5" s="443">
        <v>0</v>
      </c>
      <c r="AR5" s="441">
        <v>0</v>
      </c>
      <c r="AS5" s="439" t="s">
        <v>1029</v>
      </c>
      <c r="AT5" s="439" t="s">
        <v>1030</v>
      </c>
      <c r="AU5" s="439" t="s">
        <v>1030</v>
      </c>
      <c r="AV5" s="439" t="s">
        <v>1030</v>
      </c>
      <c r="AW5" s="439" t="s">
        <v>1030</v>
      </c>
      <c r="AX5" s="439" t="s">
        <v>1030</v>
      </c>
      <c r="AY5" s="441">
        <v>0</v>
      </c>
      <c r="AZ5" s="439" t="s">
        <v>1029</v>
      </c>
      <c r="BA5" s="441">
        <v>0</v>
      </c>
      <c r="BB5" s="439" t="s">
        <v>1029</v>
      </c>
      <c r="BC5" s="441">
        <v>0</v>
      </c>
      <c r="BD5" s="439" t="s">
        <v>1029</v>
      </c>
      <c r="BE5" s="441">
        <v>0</v>
      </c>
      <c r="BF5" s="441">
        <v>0</v>
      </c>
      <c r="BG5" s="441">
        <v>0</v>
      </c>
      <c r="BH5" s="441">
        <v>0</v>
      </c>
      <c r="BI5" s="439" t="s">
        <v>1029</v>
      </c>
      <c r="BJ5" s="439" t="s">
        <v>1029</v>
      </c>
      <c r="BK5" s="439" t="s">
        <v>1029</v>
      </c>
      <c r="BL5" s="440">
        <v>0</v>
      </c>
      <c r="BM5" s="439" t="s">
        <v>1029</v>
      </c>
      <c r="BN5" s="440">
        <v>0</v>
      </c>
      <c r="BO5" s="440">
        <v>0</v>
      </c>
      <c r="BP5" s="440">
        <v>0</v>
      </c>
      <c r="BQ5" s="440">
        <v>0</v>
      </c>
      <c r="BR5" s="440">
        <v>0</v>
      </c>
      <c r="BS5" s="444">
        <v>0</v>
      </c>
      <c r="BT5" s="439" t="s">
        <v>1029</v>
      </c>
      <c r="BU5" s="439" t="s">
        <v>1029</v>
      </c>
      <c r="BV5" s="439" t="s">
        <v>1029</v>
      </c>
      <c r="BW5" s="440">
        <v>0</v>
      </c>
      <c r="BX5" s="440">
        <v>0</v>
      </c>
      <c r="BY5" s="440">
        <v>0</v>
      </c>
      <c r="BZ5" s="440">
        <v>0</v>
      </c>
      <c r="CA5" s="441">
        <v>0</v>
      </c>
      <c r="CB5" s="441">
        <v>0</v>
      </c>
      <c r="CC5" s="440">
        <v>0</v>
      </c>
      <c r="CD5" s="439" t="s">
        <v>1029</v>
      </c>
      <c r="CE5" s="439" t="s">
        <v>1029</v>
      </c>
      <c r="CF5" s="441">
        <v>0</v>
      </c>
      <c r="CG5" s="441">
        <v>0</v>
      </c>
      <c r="CH5" s="441">
        <v>0</v>
      </c>
      <c r="CI5" s="441">
        <v>0</v>
      </c>
      <c r="CJ5" s="439" t="s">
        <v>1029</v>
      </c>
      <c r="CK5" s="439" t="s">
        <v>1029</v>
      </c>
      <c r="CL5" s="439" t="s">
        <v>1029</v>
      </c>
      <c r="CM5" s="439" t="s">
        <v>1029</v>
      </c>
      <c r="CN5" s="439" t="s">
        <v>1029</v>
      </c>
      <c r="CO5" s="439" t="s">
        <v>1029</v>
      </c>
      <c r="CP5" s="441">
        <v>0</v>
      </c>
      <c r="CQ5" s="439" t="s">
        <v>1029</v>
      </c>
      <c r="CR5" s="441">
        <v>0</v>
      </c>
      <c r="CS5" s="439" t="s">
        <v>1029</v>
      </c>
      <c r="CT5" s="441">
        <v>0</v>
      </c>
      <c r="CU5" s="439" t="s">
        <v>1029</v>
      </c>
      <c r="CV5" s="439" t="s">
        <v>1029</v>
      </c>
      <c r="CW5" s="441">
        <v>0</v>
      </c>
      <c r="CX5" s="439" t="s">
        <v>1029</v>
      </c>
      <c r="CY5" s="441">
        <v>0</v>
      </c>
      <c r="CZ5" s="439" t="s">
        <v>1029</v>
      </c>
      <c r="DA5" s="441">
        <v>0</v>
      </c>
      <c r="DB5" s="439" t="s">
        <v>1029</v>
      </c>
      <c r="DC5" s="439" t="s">
        <v>1029</v>
      </c>
      <c r="DD5" s="439" t="s">
        <v>1029</v>
      </c>
      <c r="DE5" s="439" t="s">
        <v>1029</v>
      </c>
      <c r="DF5" s="439"/>
    </row>
    <row customHeight="true" ht="16.296296296296294" r="6">
      <c r="A6" s="439" t="s">
        <v>1034</v>
      </c>
      <c r="B6" s="439" t="s">
        <v>1026</v>
      </c>
      <c r="C6" s="439" t="s">
        <v>1027</v>
      </c>
      <c r="D6" s="439" t="s">
        <v>1027</v>
      </c>
      <c r="E6" s="439" t="s">
        <v>1026</v>
      </c>
      <c r="F6" s="439" t="s">
        <v>1028</v>
      </c>
      <c r="G6" s="440">
        <v>0</v>
      </c>
      <c r="H6" s="440">
        <v>64.99</v>
      </c>
      <c r="I6" s="441">
        <v>0</v>
      </c>
      <c r="J6" s="441">
        <v>0</v>
      </c>
      <c r="K6" s="441">
        <v>0</v>
      </c>
      <c r="L6" s="441">
        <v>0</v>
      </c>
      <c r="M6" s="441">
        <v>0</v>
      </c>
      <c r="N6" s="441">
        <v>0</v>
      </c>
      <c r="O6" s="441">
        <v>0</v>
      </c>
      <c r="P6" s="441">
        <v>0</v>
      </c>
      <c r="Q6" s="440">
        <v>0</v>
      </c>
      <c r="R6" s="441">
        <v>0</v>
      </c>
      <c r="S6" s="440">
        <v>0</v>
      </c>
      <c r="T6" s="439" t="s">
        <v>1029</v>
      </c>
      <c r="U6" s="439" t="s">
        <v>1029</v>
      </c>
      <c r="V6" s="439" t="s">
        <v>1029</v>
      </c>
      <c r="W6" s="439" t="s">
        <v>1029</v>
      </c>
      <c r="X6" s="439" t="s">
        <v>1029</v>
      </c>
      <c r="Y6" s="439" t="s">
        <v>1029</v>
      </c>
      <c r="Z6" s="441">
        <v>0</v>
      </c>
      <c r="AA6" s="440">
        <v>0</v>
      </c>
      <c r="AB6" s="441">
        <v>0</v>
      </c>
      <c r="AC6" s="440">
        <v>0</v>
      </c>
      <c r="AD6" s="441">
        <v>0</v>
      </c>
      <c r="AE6" s="440">
        <v>0</v>
      </c>
      <c r="AF6" s="441">
        <v>0</v>
      </c>
      <c r="AG6" s="440">
        <v>0</v>
      </c>
      <c r="AH6" s="442">
        <v>0</v>
      </c>
      <c r="AI6" s="440">
        <v>0</v>
      </c>
      <c r="AJ6" s="442">
        <v>0</v>
      </c>
      <c r="AK6" s="440">
        <v>0</v>
      </c>
      <c r="AL6" s="439"/>
      <c r="AM6" s="439"/>
      <c r="AN6" s="441">
        <v>0</v>
      </c>
      <c r="AO6" s="440">
        <v>0</v>
      </c>
      <c r="AP6" s="439" t="s">
        <v>1029</v>
      </c>
      <c r="AQ6" s="443">
        <v>0</v>
      </c>
      <c r="AR6" s="441">
        <v>0</v>
      </c>
      <c r="AS6" s="439" t="s">
        <v>1029</v>
      </c>
      <c r="AT6" s="439" t="s">
        <v>1030</v>
      </c>
      <c r="AU6" s="439" t="s">
        <v>1030</v>
      </c>
      <c r="AV6" s="439" t="s">
        <v>1030</v>
      </c>
      <c r="AW6" s="439" t="s">
        <v>1030</v>
      </c>
      <c r="AX6" s="439" t="s">
        <v>1030</v>
      </c>
      <c r="AY6" s="441">
        <v>0</v>
      </c>
      <c r="AZ6" s="439" t="s">
        <v>1029</v>
      </c>
      <c r="BA6" s="441">
        <v>0</v>
      </c>
      <c r="BB6" s="439" t="s">
        <v>1029</v>
      </c>
      <c r="BC6" s="441">
        <v>0</v>
      </c>
      <c r="BD6" s="439" t="s">
        <v>1029</v>
      </c>
      <c r="BE6" s="441">
        <v>0</v>
      </c>
      <c r="BF6" s="441">
        <v>0</v>
      </c>
      <c r="BG6" s="441">
        <v>0</v>
      </c>
      <c r="BH6" s="441">
        <v>0</v>
      </c>
      <c r="BI6" s="439" t="s">
        <v>1029</v>
      </c>
      <c r="BJ6" s="439" t="s">
        <v>1029</v>
      </c>
      <c r="BK6" s="439" t="s">
        <v>1029</v>
      </c>
      <c r="BL6" s="440">
        <v>0</v>
      </c>
      <c r="BM6" s="439" t="s">
        <v>1029</v>
      </c>
      <c r="BN6" s="440">
        <v>0</v>
      </c>
      <c r="BO6" s="440">
        <v>0</v>
      </c>
      <c r="BP6" s="440">
        <v>0</v>
      </c>
      <c r="BQ6" s="440">
        <v>0</v>
      </c>
      <c r="BR6" s="440">
        <v>0</v>
      </c>
      <c r="BS6" s="444">
        <v>0</v>
      </c>
      <c r="BT6" s="439" t="s">
        <v>1029</v>
      </c>
      <c r="BU6" s="439" t="s">
        <v>1029</v>
      </c>
      <c r="BV6" s="439" t="s">
        <v>1029</v>
      </c>
      <c r="BW6" s="440">
        <v>0</v>
      </c>
      <c r="BX6" s="440">
        <v>0</v>
      </c>
      <c r="BY6" s="440">
        <v>0</v>
      </c>
      <c r="BZ6" s="440">
        <v>0</v>
      </c>
      <c r="CA6" s="441">
        <v>0</v>
      </c>
      <c r="CB6" s="441">
        <v>0</v>
      </c>
      <c r="CC6" s="440">
        <v>0</v>
      </c>
      <c r="CD6" s="439" t="s">
        <v>1029</v>
      </c>
      <c r="CE6" s="439" t="s">
        <v>1029</v>
      </c>
      <c r="CF6" s="441">
        <v>0</v>
      </c>
      <c r="CG6" s="441">
        <v>0</v>
      </c>
      <c r="CH6" s="441">
        <v>0</v>
      </c>
      <c r="CI6" s="441">
        <v>0</v>
      </c>
      <c r="CJ6" s="439" t="s">
        <v>1029</v>
      </c>
      <c r="CK6" s="439" t="s">
        <v>1029</v>
      </c>
      <c r="CL6" s="439" t="s">
        <v>1029</v>
      </c>
      <c r="CM6" s="439" t="s">
        <v>1029</v>
      </c>
      <c r="CN6" s="439" t="s">
        <v>1029</v>
      </c>
      <c r="CO6" s="439" t="s">
        <v>1029</v>
      </c>
      <c r="CP6" s="441">
        <v>0</v>
      </c>
      <c r="CQ6" s="439" t="s">
        <v>1029</v>
      </c>
      <c r="CR6" s="441">
        <v>0</v>
      </c>
      <c r="CS6" s="439" t="s">
        <v>1029</v>
      </c>
      <c r="CT6" s="441">
        <v>0</v>
      </c>
      <c r="CU6" s="439" t="s">
        <v>1029</v>
      </c>
      <c r="CV6" s="439" t="s">
        <v>1029</v>
      </c>
      <c r="CW6" s="441">
        <v>0</v>
      </c>
      <c r="CX6" s="439" t="s">
        <v>1029</v>
      </c>
      <c r="CY6" s="441">
        <v>0</v>
      </c>
      <c r="CZ6" s="439" t="s">
        <v>1029</v>
      </c>
      <c r="DA6" s="441">
        <v>0</v>
      </c>
      <c r="DB6" s="439" t="s">
        <v>1029</v>
      </c>
      <c r="DC6" s="439" t="s">
        <v>1029</v>
      </c>
      <c r="DD6" s="439" t="s">
        <v>1029</v>
      </c>
      <c r="DE6" s="439" t="s">
        <v>1029</v>
      </c>
      <c r="DF6" s="439"/>
    </row>
    <row customHeight="true" ht="16.296296296296294" r="7">
      <c r="A7" s="439" t="s">
        <v>1035</v>
      </c>
      <c r="B7" s="439" t="s">
        <v>1026</v>
      </c>
      <c r="C7" s="439" t="s">
        <v>1027</v>
      </c>
      <c r="D7" s="439" t="s">
        <v>1027</v>
      </c>
      <c r="E7" s="439" t="s">
        <v>1026</v>
      </c>
      <c r="F7" s="439" t="s">
        <v>1028</v>
      </c>
      <c r="G7" s="440">
        <v>0</v>
      </c>
      <c r="H7" s="440">
        <v>64.99</v>
      </c>
      <c r="I7" s="441">
        <v>0</v>
      </c>
      <c r="J7" s="441">
        <v>0</v>
      </c>
      <c r="K7" s="441">
        <v>0</v>
      </c>
      <c r="L7" s="441">
        <v>0</v>
      </c>
      <c r="M7" s="441">
        <v>0</v>
      </c>
      <c r="N7" s="441">
        <v>0</v>
      </c>
      <c r="O7" s="441">
        <v>0</v>
      </c>
      <c r="P7" s="441">
        <v>0</v>
      </c>
      <c r="Q7" s="440">
        <v>0</v>
      </c>
      <c r="R7" s="441">
        <v>0</v>
      </c>
      <c r="S7" s="440">
        <v>0</v>
      </c>
      <c r="T7" s="439" t="s">
        <v>1029</v>
      </c>
      <c r="U7" s="439" t="s">
        <v>1029</v>
      </c>
      <c r="V7" s="439" t="s">
        <v>1029</v>
      </c>
      <c r="W7" s="439" t="s">
        <v>1029</v>
      </c>
      <c r="X7" s="439" t="s">
        <v>1029</v>
      </c>
      <c r="Y7" s="439" t="s">
        <v>1029</v>
      </c>
      <c r="Z7" s="441">
        <v>0</v>
      </c>
      <c r="AA7" s="440">
        <v>0</v>
      </c>
      <c r="AB7" s="441">
        <v>0</v>
      </c>
      <c r="AC7" s="440">
        <v>0</v>
      </c>
      <c r="AD7" s="441">
        <v>0</v>
      </c>
      <c r="AE7" s="440">
        <v>0</v>
      </c>
      <c r="AF7" s="441">
        <v>0</v>
      </c>
      <c r="AG7" s="440">
        <v>0</v>
      </c>
      <c r="AH7" s="442">
        <v>0</v>
      </c>
      <c r="AI7" s="440">
        <v>0</v>
      </c>
      <c r="AJ7" s="442">
        <v>0</v>
      </c>
      <c r="AK7" s="440">
        <v>0</v>
      </c>
      <c r="AL7" s="439"/>
      <c r="AM7" s="439"/>
      <c r="AN7" s="441">
        <v>0</v>
      </c>
      <c r="AO7" s="440">
        <v>0</v>
      </c>
      <c r="AP7" s="439" t="s">
        <v>1029</v>
      </c>
      <c r="AQ7" s="443">
        <v>0</v>
      </c>
      <c r="AR7" s="441">
        <v>0</v>
      </c>
      <c r="AS7" s="439" t="s">
        <v>1029</v>
      </c>
      <c r="AT7" s="439" t="s">
        <v>1030</v>
      </c>
      <c r="AU7" s="439" t="s">
        <v>1030</v>
      </c>
      <c r="AV7" s="439" t="s">
        <v>1030</v>
      </c>
      <c r="AW7" s="439" t="s">
        <v>1030</v>
      </c>
      <c r="AX7" s="439" t="s">
        <v>1030</v>
      </c>
      <c r="AY7" s="441">
        <v>0</v>
      </c>
      <c r="AZ7" s="439" t="s">
        <v>1029</v>
      </c>
      <c r="BA7" s="441">
        <v>0</v>
      </c>
      <c r="BB7" s="439" t="s">
        <v>1029</v>
      </c>
      <c r="BC7" s="441">
        <v>0</v>
      </c>
      <c r="BD7" s="439" t="s">
        <v>1029</v>
      </c>
      <c r="BE7" s="441">
        <v>0</v>
      </c>
      <c r="BF7" s="441">
        <v>0</v>
      </c>
      <c r="BG7" s="441">
        <v>0</v>
      </c>
      <c r="BH7" s="441">
        <v>0</v>
      </c>
      <c r="BI7" s="439" t="s">
        <v>1029</v>
      </c>
      <c r="BJ7" s="439" t="s">
        <v>1029</v>
      </c>
      <c r="BK7" s="439" t="s">
        <v>1029</v>
      </c>
      <c r="BL7" s="440">
        <v>0</v>
      </c>
      <c r="BM7" s="439" t="s">
        <v>1029</v>
      </c>
      <c r="BN7" s="440">
        <v>0</v>
      </c>
      <c r="BO7" s="440">
        <v>0</v>
      </c>
      <c r="BP7" s="440">
        <v>0</v>
      </c>
      <c r="BQ7" s="440">
        <v>0</v>
      </c>
      <c r="BR7" s="440">
        <v>0</v>
      </c>
      <c r="BS7" s="444">
        <v>0</v>
      </c>
      <c r="BT7" s="439" t="s">
        <v>1029</v>
      </c>
      <c r="BU7" s="439" t="s">
        <v>1029</v>
      </c>
      <c r="BV7" s="439" t="s">
        <v>1029</v>
      </c>
      <c r="BW7" s="440">
        <v>0</v>
      </c>
      <c r="BX7" s="440">
        <v>0</v>
      </c>
      <c r="BY7" s="440">
        <v>0</v>
      </c>
      <c r="BZ7" s="440">
        <v>0</v>
      </c>
      <c r="CA7" s="441">
        <v>0</v>
      </c>
      <c r="CB7" s="441">
        <v>0</v>
      </c>
      <c r="CC7" s="440">
        <v>0</v>
      </c>
      <c r="CD7" s="439" t="s">
        <v>1029</v>
      </c>
      <c r="CE7" s="439" t="s">
        <v>1029</v>
      </c>
      <c r="CF7" s="441">
        <v>0</v>
      </c>
      <c r="CG7" s="441">
        <v>0</v>
      </c>
      <c r="CH7" s="441">
        <v>0</v>
      </c>
      <c r="CI7" s="441">
        <v>0</v>
      </c>
      <c r="CJ7" s="439" t="s">
        <v>1029</v>
      </c>
      <c r="CK7" s="439" t="s">
        <v>1029</v>
      </c>
      <c r="CL7" s="439" t="s">
        <v>1029</v>
      </c>
      <c r="CM7" s="439" t="s">
        <v>1029</v>
      </c>
      <c r="CN7" s="439" t="s">
        <v>1029</v>
      </c>
      <c r="CO7" s="439" t="s">
        <v>1029</v>
      </c>
      <c r="CP7" s="441">
        <v>0</v>
      </c>
      <c r="CQ7" s="439" t="s">
        <v>1029</v>
      </c>
      <c r="CR7" s="441">
        <v>0</v>
      </c>
      <c r="CS7" s="439" t="s">
        <v>1029</v>
      </c>
      <c r="CT7" s="441">
        <v>0</v>
      </c>
      <c r="CU7" s="439" t="s">
        <v>1029</v>
      </c>
      <c r="CV7" s="439" t="s">
        <v>1029</v>
      </c>
      <c r="CW7" s="441">
        <v>0</v>
      </c>
      <c r="CX7" s="439" t="s">
        <v>1029</v>
      </c>
      <c r="CY7" s="441">
        <v>0</v>
      </c>
      <c r="CZ7" s="439" t="s">
        <v>1029</v>
      </c>
      <c r="DA7" s="441">
        <v>0</v>
      </c>
      <c r="DB7" s="439" t="s">
        <v>1029</v>
      </c>
      <c r="DC7" s="439" t="s">
        <v>1029</v>
      </c>
      <c r="DD7" s="439" t="s">
        <v>1029</v>
      </c>
      <c r="DE7" s="439" t="s">
        <v>1029</v>
      </c>
      <c r="DF7" s="439"/>
    </row>
    <row customHeight="true" ht="16.296296296296294" r="8">
      <c r="A8" s="439" t="s">
        <v>1036</v>
      </c>
      <c r="B8" s="439" t="s">
        <v>1026</v>
      </c>
      <c r="C8" s="439" t="s">
        <v>1027</v>
      </c>
      <c r="D8" s="439" t="s">
        <v>1027</v>
      </c>
      <c r="E8" s="439" t="s">
        <v>1026</v>
      </c>
      <c r="F8" s="439" t="s">
        <v>1028</v>
      </c>
      <c r="G8" s="440">
        <v>0</v>
      </c>
      <c r="H8" s="440">
        <v>64.99</v>
      </c>
      <c r="I8" s="441">
        <v>0</v>
      </c>
      <c r="J8" s="441">
        <v>0</v>
      </c>
      <c r="K8" s="441">
        <v>0</v>
      </c>
      <c r="L8" s="441">
        <v>0</v>
      </c>
      <c r="M8" s="441">
        <v>0</v>
      </c>
      <c r="N8" s="441">
        <v>0</v>
      </c>
      <c r="O8" s="441">
        <v>0</v>
      </c>
      <c r="P8" s="441">
        <v>0</v>
      </c>
      <c r="Q8" s="440">
        <v>0</v>
      </c>
      <c r="R8" s="441">
        <v>0</v>
      </c>
      <c r="S8" s="440">
        <v>0</v>
      </c>
      <c r="T8" s="439" t="s">
        <v>1029</v>
      </c>
      <c r="U8" s="439" t="s">
        <v>1029</v>
      </c>
      <c r="V8" s="439" t="s">
        <v>1029</v>
      </c>
      <c r="W8" s="439" t="s">
        <v>1029</v>
      </c>
      <c r="X8" s="439" t="s">
        <v>1029</v>
      </c>
      <c r="Y8" s="439" t="s">
        <v>1029</v>
      </c>
      <c r="Z8" s="441">
        <v>0</v>
      </c>
      <c r="AA8" s="440">
        <v>0</v>
      </c>
      <c r="AB8" s="441">
        <v>0</v>
      </c>
      <c r="AC8" s="440">
        <v>0</v>
      </c>
      <c r="AD8" s="441">
        <v>0</v>
      </c>
      <c r="AE8" s="440">
        <v>0</v>
      </c>
      <c r="AF8" s="441">
        <v>0</v>
      </c>
      <c r="AG8" s="440">
        <v>0</v>
      </c>
      <c r="AH8" s="442">
        <v>0</v>
      </c>
      <c r="AI8" s="440">
        <v>0</v>
      </c>
      <c r="AJ8" s="442">
        <v>0</v>
      </c>
      <c r="AK8" s="440">
        <v>0</v>
      </c>
      <c r="AL8" s="439"/>
      <c r="AM8" s="439"/>
      <c r="AN8" s="441">
        <v>0</v>
      </c>
      <c r="AO8" s="440">
        <v>0</v>
      </c>
      <c r="AP8" s="439" t="s">
        <v>1029</v>
      </c>
      <c r="AQ8" s="443">
        <v>0</v>
      </c>
      <c r="AR8" s="441">
        <v>0</v>
      </c>
      <c r="AS8" s="439" t="s">
        <v>1029</v>
      </c>
      <c r="AT8" s="439" t="s">
        <v>1030</v>
      </c>
      <c r="AU8" s="439" t="s">
        <v>1030</v>
      </c>
      <c r="AV8" s="439" t="s">
        <v>1030</v>
      </c>
      <c r="AW8" s="439" t="s">
        <v>1030</v>
      </c>
      <c r="AX8" s="439" t="s">
        <v>1030</v>
      </c>
      <c r="AY8" s="441">
        <v>0</v>
      </c>
      <c r="AZ8" s="439" t="s">
        <v>1029</v>
      </c>
      <c r="BA8" s="441">
        <v>0</v>
      </c>
      <c r="BB8" s="439" t="s">
        <v>1029</v>
      </c>
      <c r="BC8" s="441">
        <v>0</v>
      </c>
      <c r="BD8" s="439" t="s">
        <v>1029</v>
      </c>
      <c r="BE8" s="441">
        <v>0</v>
      </c>
      <c r="BF8" s="441">
        <v>0</v>
      </c>
      <c r="BG8" s="441">
        <v>0</v>
      </c>
      <c r="BH8" s="441">
        <v>0</v>
      </c>
      <c r="BI8" s="439" t="s">
        <v>1029</v>
      </c>
      <c r="BJ8" s="439" t="s">
        <v>1029</v>
      </c>
      <c r="BK8" s="439" t="s">
        <v>1029</v>
      </c>
      <c r="BL8" s="440">
        <v>0</v>
      </c>
      <c r="BM8" s="439" t="s">
        <v>1029</v>
      </c>
      <c r="BN8" s="440">
        <v>0</v>
      </c>
      <c r="BO8" s="440">
        <v>0</v>
      </c>
      <c r="BP8" s="440">
        <v>0</v>
      </c>
      <c r="BQ8" s="440">
        <v>0</v>
      </c>
      <c r="BR8" s="440">
        <v>0</v>
      </c>
      <c r="BS8" s="444">
        <v>0</v>
      </c>
      <c r="BT8" s="439" t="s">
        <v>1029</v>
      </c>
      <c r="BU8" s="439" t="s">
        <v>1029</v>
      </c>
      <c r="BV8" s="439" t="s">
        <v>1029</v>
      </c>
      <c r="BW8" s="440">
        <v>0</v>
      </c>
      <c r="BX8" s="440">
        <v>0</v>
      </c>
      <c r="BY8" s="440">
        <v>0</v>
      </c>
      <c r="BZ8" s="440">
        <v>0</v>
      </c>
      <c r="CA8" s="441">
        <v>0</v>
      </c>
      <c r="CB8" s="441">
        <v>0</v>
      </c>
      <c r="CC8" s="440">
        <v>0</v>
      </c>
      <c r="CD8" s="439" t="s">
        <v>1029</v>
      </c>
      <c r="CE8" s="439" t="s">
        <v>1029</v>
      </c>
      <c r="CF8" s="441">
        <v>0</v>
      </c>
      <c r="CG8" s="441">
        <v>0</v>
      </c>
      <c r="CH8" s="441">
        <v>0</v>
      </c>
      <c r="CI8" s="441">
        <v>0</v>
      </c>
      <c r="CJ8" s="439" t="s">
        <v>1029</v>
      </c>
      <c r="CK8" s="439" t="s">
        <v>1029</v>
      </c>
      <c r="CL8" s="439" t="s">
        <v>1029</v>
      </c>
      <c r="CM8" s="439" t="s">
        <v>1029</v>
      </c>
      <c r="CN8" s="439" t="s">
        <v>1029</v>
      </c>
      <c r="CO8" s="439" t="s">
        <v>1029</v>
      </c>
      <c r="CP8" s="441">
        <v>0</v>
      </c>
      <c r="CQ8" s="439" t="s">
        <v>1029</v>
      </c>
      <c r="CR8" s="441">
        <v>0</v>
      </c>
      <c r="CS8" s="439" t="s">
        <v>1029</v>
      </c>
      <c r="CT8" s="441">
        <v>0</v>
      </c>
      <c r="CU8" s="439" t="s">
        <v>1029</v>
      </c>
      <c r="CV8" s="439" t="s">
        <v>1029</v>
      </c>
      <c r="CW8" s="441">
        <v>0</v>
      </c>
      <c r="CX8" s="439" t="s">
        <v>1029</v>
      </c>
      <c r="CY8" s="441">
        <v>0</v>
      </c>
      <c r="CZ8" s="439" t="s">
        <v>1029</v>
      </c>
      <c r="DA8" s="441">
        <v>0</v>
      </c>
      <c r="DB8" s="439" t="s">
        <v>1029</v>
      </c>
      <c r="DC8" s="439" t="s">
        <v>1029</v>
      </c>
      <c r="DD8" s="439" t="s">
        <v>1029</v>
      </c>
      <c r="DE8" s="439" t="s">
        <v>1029</v>
      </c>
      <c r="DF8" s="439"/>
    </row>
    <row customHeight="true" ht="16.296296296296294" r="9">
      <c r="A9" s="439" t="s">
        <v>1037</v>
      </c>
      <c r="B9" s="439" t="s">
        <v>1026</v>
      </c>
      <c r="C9" s="439" t="s">
        <v>1027</v>
      </c>
      <c r="D9" s="439" t="s">
        <v>1027</v>
      </c>
      <c r="E9" s="439" t="s">
        <v>1026</v>
      </c>
      <c r="F9" s="439" t="s">
        <v>1028</v>
      </c>
      <c r="G9" s="440">
        <v>0</v>
      </c>
      <c r="H9" s="440">
        <v>64.99</v>
      </c>
      <c r="I9" s="441">
        <v>0</v>
      </c>
      <c r="J9" s="441">
        <v>0</v>
      </c>
      <c r="K9" s="441">
        <v>0</v>
      </c>
      <c r="L9" s="441">
        <v>0</v>
      </c>
      <c r="M9" s="441">
        <v>0</v>
      </c>
      <c r="N9" s="441">
        <v>0</v>
      </c>
      <c r="O9" s="441">
        <v>0</v>
      </c>
      <c r="P9" s="441">
        <v>0</v>
      </c>
      <c r="Q9" s="440">
        <v>0</v>
      </c>
      <c r="R9" s="441">
        <v>0</v>
      </c>
      <c r="S9" s="440">
        <v>0</v>
      </c>
      <c r="T9" s="439" t="s">
        <v>1029</v>
      </c>
      <c r="U9" s="439" t="s">
        <v>1029</v>
      </c>
      <c r="V9" s="439" t="s">
        <v>1029</v>
      </c>
      <c r="W9" s="439" t="s">
        <v>1029</v>
      </c>
      <c r="X9" s="439" t="s">
        <v>1029</v>
      </c>
      <c r="Y9" s="439" t="s">
        <v>1029</v>
      </c>
      <c r="Z9" s="441">
        <v>0</v>
      </c>
      <c r="AA9" s="440">
        <v>0</v>
      </c>
      <c r="AB9" s="441">
        <v>0</v>
      </c>
      <c r="AC9" s="440">
        <v>0</v>
      </c>
      <c r="AD9" s="441">
        <v>0</v>
      </c>
      <c r="AE9" s="440">
        <v>0</v>
      </c>
      <c r="AF9" s="441">
        <v>0</v>
      </c>
      <c r="AG9" s="440">
        <v>0</v>
      </c>
      <c r="AH9" s="442">
        <v>0</v>
      </c>
      <c r="AI9" s="440">
        <v>0</v>
      </c>
      <c r="AJ9" s="442">
        <v>0</v>
      </c>
      <c r="AK9" s="440">
        <v>0</v>
      </c>
      <c r="AL9" s="439"/>
      <c r="AM9" s="439"/>
      <c r="AN9" s="441">
        <v>0</v>
      </c>
      <c r="AO9" s="440">
        <v>0</v>
      </c>
      <c r="AP9" s="439" t="s">
        <v>1029</v>
      </c>
      <c r="AQ9" s="443">
        <v>0</v>
      </c>
      <c r="AR9" s="441">
        <v>0</v>
      </c>
      <c r="AS9" s="439" t="s">
        <v>1029</v>
      </c>
      <c r="AT9" s="439" t="s">
        <v>1030</v>
      </c>
      <c r="AU9" s="439" t="s">
        <v>1030</v>
      </c>
      <c r="AV9" s="439" t="s">
        <v>1030</v>
      </c>
      <c r="AW9" s="439" t="s">
        <v>1030</v>
      </c>
      <c r="AX9" s="439" t="s">
        <v>1030</v>
      </c>
      <c r="AY9" s="441">
        <v>0</v>
      </c>
      <c r="AZ9" s="439" t="s">
        <v>1029</v>
      </c>
      <c r="BA9" s="441">
        <v>0</v>
      </c>
      <c r="BB9" s="439" t="s">
        <v>1029</v>
      </c>
      <c r="BC9" s="441">
        <v>0</v>
      </c>
      <c r="BD9" s="439" t="s">
        <v>1029</v>
      </c>
      <c r="BE9" s="441">
        <v>0</v>
      </c>
      <c r="BF9" s="441">
        <v>0</v>
      </c>
      <c r="BG9" s="441">
        <v>0</v>
      </c>
      <c r="BH9" s="441">
        <v>0</v>
      </c>
      <c r="BI9" s="439" t="s">
        <v>1029</v>
      </c>
      <c r="BJ9" s="439" t="s">
        <v>1029</v>
      </c>
      <c r="BK9" s="439" t="s">
        <v>1029</v>
      </c>
      <c r="BL9" s="440">
        <v>0</v>
      </c>
      <c r="BM9" s="439" t="s">
        <v>1029</v>
      </c>
      <c r="BN9" s="440">
        <v>0</v>
      </c>
      <c r="BO9" s="440">
        <v>0</v>
      </c>
      <c r="BP9" s="440">
        <v>0</v>
      </c>
      <c r="BQ9" s="440">
        <v>0</v>
      </c>
      <c r="BR9" s="440">
        <v>0</v>
      </c>
      <c r="BS9" s="444">
        <v>0</v>
      </c>
      <c r="BT9" s="439" t="s">
        <v>1029</v>
      </c>
      <c r="BU9" s="439" t="s">
        <v>1029</v>
      </c>
      <c r="BV9" s="439" t="s">
        <v>1029</v>
      </c>
      <c r="BW9" s="440">
        <v>0</v>
      </c>
      <c r="BX9" s="440">
        <v>0</v>
      </c>
      <c r="BY9" s="440">
        <v>0</v>
      </c>
      <c r="BZ9" s="440">
        <v>0</v>
      </c>
      <c r="CA9" s="441">
        <v>0</v>
      </c>
      <c r="CB9" s="441">
        <v>0</v>
      </c>
      <c r="CC9" s="440">
        <v>0</v>
      </c>
      <c r="CD9" s="439" t="s">
        <v>1029</v>
      </c>
      <c r="CE9" s="439" t="s">
        <v>1029</v>
      </c>
      <c r="CF9" s="441">
        <v>0</v>
      </c>
      <c r="CG9" s="441">
        <v>0</v>
      </c>
      <c r="CH9" s="441">
        <v>0</v>
      </c>
      <c r="CI9" s="441">
        <v>0</v>
      </c>
      <c r="CJ9" s="439" t="s">
        <v>1029</v>
      </c>
      <c r="CK9" s="439" t="s">
        <v>1029</v>
      </c>
      <c r="CL9" s="439" t="s">
        <v>1029</v>
      </c>
      <c r="CM9" s="439" t="s">
        <v>1029</v>
      </c>
      <c r="CN9" s="439" t="s">
        <v>1029</v>
      </c>
      <c r="CO9" s="439" t="s">
        <v>1029</v>
      </c>
      <c r="CP9" s="441">
        <v>0</v>
      </c>
      <c r="CQ9" s="439" t="s">
        <v>1029</v>
      </c>
      <c r="CR9" s="441">
        <v>0</v>
      </c>
      <c r="CS9" s="439" t="s">
        <v>1029</v>
      </c>
      <c r="CT9" s="441">
        <v>0</v>
      </c>
      <c r="CU9" s="439" t="s">
        <v>1029</v>
      </c>
      <c r="CV9" s="439" t="s">
        <v>1029</v>
      </c>
      <c r="CW9" s="441">
        <v>0</v>
      </c>
      <c r="CX9" s="439" t="s">
        <v>1029</v>
      </c>
      <c r="CY9" s="441">
        <v>0</v>
      </c>
      <c r="CZ9" s="439" t="s">
        <v>1029</v>
      </c>
      <c r="DA9" s="441">
        <v>0</v>
      </c>
      <c r="DB9" s="439" t="s">
        <v>1029</v>
      </c>
      <c r="DC9" s="439" t="s">
        <v>1029</v>
      </c>
      <c r="DD9" s="439" t="s">
        <v>1029</v>
      </c>
      <c r="DE9" s="439" t="s">
        <v>1029</v>
      </c>
      <c r="DF9" s="439"/>
    </row>
    <row customHeight="true" ht="16.296296296296294" r="10">
      <c r="A10" s="439" t="s">
        <v>1038</v>
      </c>
      <c r="B10" s="439" t="s">
        <v>1026</v>
      </c>
      <c r="C10" s="439" t="s">
        <v>1027</v>
      </c>
      <c r="D10" s="439" t="s">
        <v>1027</v>
      </c>
      <c r="E10" s="439" t="s">
        <v>1026</v>
      </c>
      <c r="F10" s="439" t="s">
        <v>1028</v>
      </c>
      <c r="G10" s="440">
        <v>0</v>
      </c>
      <c r="H10" s="440">
        <v>64.99</v>
      </c>
      <c r="I10" s="441">
        <v>0</v>
      </c>
      <c r="J10" s="441">
        <v>0</v>
      </c>
      <c r="K10" s="441">
        <v>0</v>
      </c>
      <c r="L10" s="441">
        <v>0</v>
      </c>
      <c r="M10" s="441">
        <v>0</v>
      </c>
      <c r="N10" s="441">
        <v>0</v>
      </c>
      <c r="O10" s="441">
        <v>0</v>
      </c>
      <c r="P10" s="441">
        <v>0</v>
      </c>
      <c r="Q10" s="440">
        <v>0</v>
      </c>
      <c r="R10" s="441">
        <v>0</v>
      </c>
      <c r="S10" s="440">
        <v>0</v>
      </c>
      <c r="T10" s="439" t="s">
        <v>1029</v>
      </c>
      <c r="U10" s="439" t="s">
        <v>1029</v>
      </c>
      <c r="V10" s="439" t="s">
        <v>1029</v>
      </c>
      <c r="W10" s="439" t="s">
        <v>1029</v>
      </c>
      <c r="X10" s="439" t="s">
        <v>1029</v>
      </c>
      <c r="Y10" s="439" t="s">
        <v>1029</v>
      </c>
      <c r="Z10" s="441">
        <v>0</v>
      </c>
      <c r="AA10" s="440">
        <v>0</v>
      </c>
      <c r="AB10" s="441">
        <v>0</v>
      </c>
      <c r="AC10" s="440">
        <v>0</v>
      </c>
      <c r="AD10" s="441">
        <v>0</v>
      </c>
      <c r="AE10" s="440">
        <v>0</v>
      </c>
      <c r="AF10" s="441">
        <v>0</v>
      </c>
      <c r="AG10" s="440">
        <v>0</v>
      </c>
      <c r="AH10" s="442">
        <v>0</v>
      </c>
      <c r="AI10" s="440">
        <v>0</v>
      </c>
      <c r="AJ10" s="442">
        <v>0</v>
      </c>
      <c r="AK10" s="440">
        <v>0</v>
      </c>
      <c r="AL10" s="439"/>
      <c r="AM10" s="439"/>
      <c r="AN10" s="441">
        <v>0</v>
      </c>
      <c r="AO10" s="440">
        <v>0</v>
      </c>
      <c r="AP10" s="439" t="s">
        <v>1029</v>
      </c>
      <c r="AQ10" s="443">
        <v>0</v>
      </c>
      <c r="AR10" s="441">
        <v>0</v>
      </c>
      <c r="AS10" s="439" t="s">
        <v>1029</v>
      </c>
      <c r="AT10" s="439" t="s">
        <v>1030</v>
      </c>
      <c r="AU10" s="439" t="s">
        <v>1030</v>
      </c>
      <c r="AV10" s="439" t="s">
        <v>1030</v>
      </c>
      <c r="AW10" s="439" t="s">
        <v>1030</v>
      </c>
      <c r="AX10" s="439" t="s">
        <v>1030</v>
      </c>
      <c r="AY10" s="441">
        <v>0</v>
      </c>
      <c r="AZ10" s="439" t="s">
        <v>1029</v>
      </c>
      <c r="BA10" s="441">
        <v>0</v>
      </c>
      <c r="BB10" s="439" t="s">
        <v>1029</v>
      </c>
      <c r="BC10" s="441">
        <v>0</v>
      </c>
      <c r="BD10" s="439" t="s">
        <v>1029</v>
      </c>
      <c r="BE10" s="441">
        <v>0</v>
      </c>
      <c r="BF10" s="441">
        <v>0</v>
      </c>
      <c r="BG10" s="441">
        <v>0</v>
      </c>
      <c r="BH10" s="441">
        <v>0</v>
      </c>
      <c r="BI10" s="439" t="s">
        <v>1029</v>
      </c>
      <c r="BJ10" s="439" t="s">
        <v>1029</v>
      </c>
      <c r="BK10" s="439" t="s">
        <v>1029</v>
      </c>
      <c r="BL10" s="440">
        <v>0</v>
      </c>
      <c r="BM10" s="439" t="s">
        <v>1029</v>
      </c>
      <c r="BN10" s="440">
        <v>0</v>
      </c>
      <c r="BO10" s="440">
        <v>0</v>
      </c>
      <c r="BP10" s="440">
        <v>0</v>
      </c>
      <c r="BQ10" s="440">
        <v>0</v>
      </c>
      <c r="BR10" s="440">
        <v>0</v>
      </c>
      <c r="BS10" s="444">
        <v>0</v>
      </c>
      <c r="BT10" s="439" t="s">
        <v>1029</v>
      </c>
      <c r="BU10" s="439" t="s">
        <v>1029</v>
      </c>
      <c r="BV10" s="439" t="s">
        <v>1029</v>
      </c>
      <c r="BW10" s="440">
        <v>0</v>
      </c>
      <c r="BX10" s="440">
        <v>0</v>
      </c>
      <c r="BY10" s="440">
        <v>0</v>
      </c>
      <c r="BZ10" s="440">
        <v>0</v>
      </c>
      <c r="CA10" s="441">
        <v>0</v>
      </c>
      <c r="CB10" s="441">
        <v>0</v>
      </c>
      <c r="CC10" s="440">
        <v>0</v>
      </c>
      <c r="CD10" s="439" t="s">
        <v>1029</v>
      </c>
      <c r="CE10" s="439" t="s">
        <v>1029</v>
      </c>
      <c r="CF10" s="441">
        <v>0</v>
      </c>
      <c r="CG10" s="441">
        <v>0</v>
      </c>
      <c r="CH10" s="441">
        <v>0</v>
      </c>
      <c r="CI10" s="441">
        <v>0</v>
      </c>
      <c r="CJ10" s="439" t="s">
        <v>1029</v>
      </c>
      <c r="CK10" s="439" t="s">
        <v>1029</v>
      </c>
      <c r="CL10" s="439" t="s">
        <v>1029</v>
      </c>
      <c r="CM10" s="439" t="s">
        <v>1029</v>
      </c>
      <c r="CN10" s="439" t="s">
        <v>1029</v>
      </c>
      <c r="CO10" s="439" t="s">
        <v>1029</v>
      </c>
      <c r="CP10" s="441">
        <v>0</v>
      </c>
      <c r="CQ10" s="439" t="s">
        <v>1029</v>
      </c>
      <c r="CR10" s="441">
        <v>0</v>
      </c>
      <c r="CS10" s="439" t="s">
        <v>1029</v>
      </c>
      <c r="CT10" s="441">
        <v>0</v>
      </c>
      <c r="CU10" s="439" t="s">
        <v>1029</v>
      </c>
      <c r="CV10" s="439" t="s">
        <v>1029</v>
      </c>
      <c r="CW10" s="441">
        <v>0</v>
      </c>
      <c r="CX10" s="439" t="s">
        <v>1029</v>
      </c>
      <c r="CY10" s="441">
        <v>0</v>
      </c>
      <c r="CZ10" s="439" t="s">
        <v>1029</v>
      </c>
      <c r="DA10" s="441">
        <v>0</v>
      </c>
      <c r="DB10" s="439" t="s">
        <v>1029</v>
      </c>
      <c r="DC10" s="439" t="s">
        <v>1029</v>
      </c>
      <c r="DD10" s="439" t="s">
        <v>1029</v>
      </c>
      <c r="DE10" s="439" t="s">
        <v>1029</v>
      </c>
      <c r="DF10" s="439"/>
    </row>
    <row customHeight="true" ht="16.296296296296294" r="11">
      <c r="A11" s="439" t="s">
        <v>1039</v>
      </c>
      <c r="B11" s="439" t="s">
        <v>1026</v>
      </c>
      <c r="C11" s="439" t="s">
        <v>1027</v>
      </c>
      <c r="D11" s="439" t="s">
        <v>1027</v>
      </c>
      <c r="E11" s="439" t="s">
        <v>1026</v>
      </c>
      <c r="F11" s="439" t="s">
        <v>1028</v>
      </c>
      <c r="G11" s="440">
        <v>0</v>
      </c>
      <c r="H11" s="440">
        <v>64.99</v>
      </c>
      <c r="I11" s="441">
        <v>0</v>
      </c>
      <c r="J11" s="441">
        <v>0</v>
      </c>
      <c r="K11" s="441">
        <v>0</v>
      </c>
      <c r="L11" s="441">
        <v>0</v>
      </c>
      <c r="M11" s="441">
        <v>0</v>
      </c>
      <c r="N11" s="441">
        <v>0</v>
      </c>
      <c r="O11" s="441">
        <v>0</v>
      </c>
      <c r="P11" s="441">
        <v>0</v>
      </c>
      <c r="Q11" s="440">
        <v>0</v>
      </c>
      <c r="R11" s="441">
        <v>0</v>
      </c>
      <c r="S11" s="440">
        <v>0</v>
      </c>
      <c r="T11" s="439" t="s">
        <v>1029</v>
      </c>
      <c r="U11" s="439" t="s">
        <v>1029</v>
      </c>
      <c r="V11" s="439" t="s">
        <v>1029</v>
      </c>
      <c r="W11" s="439" t="s">
        <v>1029</v>
      </c>
      <c r="X11" s="439" t="s">
        <v>1029</v>
      </c>
      <c r="Y11" s="439" t="s">
        <v>1029</v>
      </c>
      <c r="Z11" s="441">
        <v>0</v>
      </c>
      <c r="AA11" s="440">
        <v>0</v>
      </c>
      <c r="AB11" s="441">
        <v>0</v>
      </c>
      <c r="AC11" s="440">
        <v>0</v>
      </c>
      <c r="AD11" s="441">
        <v>0</v>
      </c>
      <c r="AE11" s="440">
        <v>0</v>
      </c>
      <c r="AF11" s="441">
        <v>0</v>
      </c>
      <c r="AG11" s="440">
        <v>0</v>
      </c>
      <c r="AH11" s="442">
        <v>0</v>
      </c>
      <c r="AI11" s="440">
        <v>0</v>
      </c>
      <c r="AJ11" s="442">
        <v>0</v>
      </c>
      <c r="AK11" s="440">
        <v>0</v>
      </c>
      <c r="AL11" s="439"/>
      <c r="AM11" s="439"/>
      <c r="AN11" s="441">
        <v>0</v>
      </c>
      <c r="AO11" s="440">
        <v>0</v>
      </c>
      <c r="AP11" s="439" t="s">
        <v>1029</v>
      </c>
      <c r="AQ11" s="443">
        <v>0</v>
      </c>
      <c r="AR11" s="441">
        <v>0</v>
      </c>
      <c r="AS11" s="439" t="s">
        <v>1029</v>
      </c>
      <c r="AT11" s="439" t="s">
        <v>1030</v>
      </c>
      <c r="AU11" s="439" t="s">
        <v>1030</v>
      </c>
      <c r="AV11" s="439" t="s">
        <v>1030</v>
      </c>
      <c r="AW11" s="439" t="s">
        <v>1030</v>
      </c>
      <c r="AX11" s="439" t="s">
        <v>1030</v>
      </c>
      <c r="AY11" s="441">
        <v>0</v>
      </c>
      <c r="AZ11" s="439" t="s">
        <v>1029</v>
      </c>
      <c r="BA11" s="441">
        <v>0</v>
      </c>
      <c r="BB11" s="439" t="s">
        <v>1029</v>
      </c>
      <c r="BC11" s="441">
        <v>0</v>
      </c>
      <c r="BD11" s="439" t="s">
        <v>1029</v>
      </c>
      <c r="BE11" s="441">
        <v>0</v>
      </c>
      <c r="BF11" s="441">
        <v>0</v>
      </c>
      <c r="BG11" s="441">
        <v>0</v>
      </c>
      <c r="BH11" s="441">
        <v>0</v>
      </c>
      <c r="BI11" s="439" t="s">
        <v>1029</v>
      </c>
      <c r="BJ11" s="439" t="s">
        <v>1029</v>
      </c>
      <c r="BK11" s="439" t="s">
        <v>1029</v>
      </c>
      <c r="BL11" s="440">
        <v>0</v>
      </c>
      <c r="BM11" s="439" t="s">
        <v>1029</v>
      </c>
      <c r="BN11" s="440">
        <v>0</v>
      </c>
      <c r="BO11" s="440">
        <v>0</v>
      </c>
      <c r="BP11" s="440">
        <v>0</v>
      </c>
      <c r="BQ11" s="440">
        <v>0</v>
      </c>
      <c r="BR11" s="440">
        <v>0</v>
      </c>
      <c r="BS11" s="444">
        <v>0</v>
      </c>
      <c r="BT11" s="439" t="s">
        <v>1029</v>
      </c>
      <c r="BU11" s="439" t="s">
        <v>1029</v>
      </c>
      <c r="BV11" s="439" t="s">
        <v>1029</v>
      </c>
      <c r="BW11" s="440">
        <v>0</v>
      </c>
      <c r="BX11" s="440">
        <v>0</v>
      </c>
      <c r="BY11" s="440">
        <v>0</v>
      </c>
      <c r="BZ11" s="440">
        <v>0</v>
      </c>
      <c r="CA11" s="441">
        <v>0</v>
      </c>
      <c r="CB11" s="441">
        <v>0</v>
      </c>
      <c r="CC11" s="440">
        <v>0</v>
      </c>
      <c r="CD11" s="439" t="s">
        <v>1029</v>
      </c>
      <c r="CE11" s="439" t="s">
        <v>1029</v>
      </c>
      <c r="CF11" s="441">
        <v>0</v>
      </c>
      <c r="CG11" s="441">
        <v>0</v>
      </c>
      <c r="CH11" s="441">
        <v>0</v>
      </c>
      <c r="CI11" s="441">
        <v>0</v>
      </c>
      <c r="CJ11" s="439" t="s">
        <v>1029</v>
      </c>
      <c r="CK11" s="439" t="s">
        <v>1029</v>
      </c>
      <c r="CL11" s="439" t="s">
        <v>1029</v>
      </c>
      <c r="CM11" s="439" t="s">
        <v>1029</v>
      </c>
      <c r="CN11" s="439" t="s">
        <v>1029</v>
      </c>
      <c r="CO11" s="439" t="s">
        <v>1029</v>
      </c>
      <c r="CP11" s="441">
        <v>0</v>
      </c>
      <c r="CQ11" s="439" t="s">
        <v>1029</v>
      </c>
      <c r="CR11" s="441">
        <v>0</v>
      </c>
      <c r="CS11" s="439" t="s">
        <v>1029</v>
      </c>
      <c r="CT11" s="441">
        <v>0</v>
      </c>
      <c r="CU11" s="439" t="s">
        <v>1029</v>
      </c>
      <c r="CV11" s="439" t="s">
        <v>1029</v>
      </c>
      <c r="CW11" s="441">
        <v>0</v>
      </c>
      <c r="CX11" s="439" t="s">
        <v>1029</v>
      </c>
      <c r="CY11" s="441">
        <v>0</v>
      </c>
      <c r="CZ11" s="439" t="s">
        <v>1029</v>
      </c>
      <c r="DA11" s="441">
        <v>0</v>
      </c>
      <c r="DB11" s="439" t="s">
        <v>1029</v>
      </c>
      <c r="DC11" s="439" t="s">
        <v>1029</v>
      </c>
      <c r="DD11" s="439" t="s">
        <v>1029</v>
      </c>
      <c r="DE11" s="439" t="s">
        <v>1029</v>
      </c>
      <c r="DF11" s="439"/>
    </row>
    <row customHeight="true" ht="16.296296296296294" r="12">
      <c r="A12" s="439" t="s">
        <v>1040</v>
      </c>
      <c r="B12" s="439" t="s">
        <v>1026</v>
      </c>
      <c r="C12" s="439" t="s">
        <v>1027</v>
      </c>
      <c r="D12" s="439" t="s">
        <v>1027</v>
      </c>
      <c r="E12" s="439" t="s">
        <v>1026</v>
      </c>
      <c r="F12" s="439" t="s">
        <v>1028</v>
      </c>
      <c r="G12" s="440">
        <v>0</v>
      </c>
      <c r="H12" s="440">
        <v>64.99</v>
      </c>
      <c r="I12" s="441">
        <v>0</v>
      </c>
      <c r="J12" s="441">
        <v>0</v>
      </c>
      <c r="K12" s="441">
        <v>0</v>
      </c>
      <c r="L12" s="441">
        <v>0</v>
      </c>
      <c r="M12" s="441">
        <v>0</v>
      </c>
      <c r="N12" s="441">
        <v>0</v>
      </c>
      <c r="O12" s="441">
        <v>0</v>
      </c>
      <c r="P12" s="441">
        <v>0</v>
      </c>
      <c r="Q12" s="440">
        <v>0</v>
      </c>
      <c r="R12" s="441">
        <v>0</v>
      </c>
      <c r="S12" s="440">
        <v>0</v>
      </c>
      <c r="T12" s="439" t="s">
        <v>1029</v>
      </c>
      <c r="U12" s="439" t="s">
        <v>1029</v>
      </c>
      <c r="V12" s="439" t="s">
        <v>1029</v>
      </c>
      <c r="W12" s="439" t="s">
        <v>1029</v>
      </c>
      <c r="X12" s="439" t="s">
        <v>1029</v>
      </c>
      <c r="Y12" s="439" t="s">
        <v>1029</v>
      </c>
      <c r="Z12" s="441">
        <v>0</v>
      </c>
      <c r="AA12" s="440">
        <v>0</v>
      </c>
      <c r="AB12" s="441">
        <v>0</v>
      </c>
      <c r="AC12" s="440">
        <v>0</v>
      </c>
      <c r="AD12" s="441">
        <v>0</v>
      </c>
      <c r="AE12" s="440">
        <v>0</v>
      </c>
      <c r="AF12" s="441">
        <v>0</v>
      </c>
      <c r="AG12" s="440">
        <v>0</v>
      </c>
      <c r="AH12" s="442">
        <v>0</v>
      </c>
      <c r="AI12" s="440">
        <v>0</v>
      </c>
      <c r="AJ12" s="442">
        <v>0</v>
      </c>
      <c r="AK12" s="440">
        <v>0</v>
      </c>
      <c r="AL12" s="439"/>
      <c r="AM12" s="439"/>
      <c r="AN12" s="441">
        <v>0</v>
      </c>
      <c r="AO12" s="440">
        <v>0</v>
      </c>
      <c r="AP12" s="439" t="s">
        <v>1029</v>
      </c>
      <c r="AQ12" s="443">
        <v>0</v>
      </c>
      <c r="AR12" s="441">
        <v>0</v>
      </c>
      <c r="AS12" s="439" t="s">
        <v>1029</v>
      </c>
      <c r="AT12" s="439" t="s">
        <v>1030</v>
      </c>
      <c r="AU12" s="439" t="s">
        <v>1030</v>
      </c>
      <c r="AV12" s="439" t="s">
        <v>1030</v>
      </c>
      <c r="AW12" s="439" t="s">
        <v>1030</v>
      </c>
      <c r="AX12" s="439" t="s">
        <v>1030</v>
      </c>
      <c r="AY12" s="441">
        <v>0</v>
      </c>
      <c r="AZ12" s="439" t="s">
        <v>1029</v>
      </c>
      <c r="BA12" s="441">
        <v>0</v>
      </c>
      <c r="BB12" s="439" t="s">
        <v>1029</v>
      </c>
      <c r="BC12" s="441">
        <v>0</v>
      </c>
      <c r="BD12" s="439" t="s">
        <v>1029</v>
      </c>
      <c r="BE12" s="441">
        <v>0</v>
      </c>
      <c r="BF12" s="441">
        <v>0</v>
      </c>
      <c r="BG12" s="441">
        <v>0</v>
      </c>
      <c r="BH12" s="441">
        <v>0</v>
      </c>
      <c r="BI12" s="439" t="s">
        <v>1029</v>
      </c>
      <c r="BJ12" s="439" t="s">
        <v>1029</v>
      </c>
      <c r="BK12" s="439" t="s">
        <v>1029</v>
      </c>
      <c r="BL12" s="440">
        <v>0</v>
      </c>
      <c r="BM12" s="439" t="s">
        <v>1029</v>
      </c>
      <c r="BN12" s="440">
        <v>0</v>
      </c>
      <c r="BO12" s="440">
        <v>0</v>
      </c>
      <c r="BP12" s="440">
        <v>0</v>
      </c>
      <c r="BQ12" s="440">
        <v>0</v>
      </c>
      <c r="BR12" s="440">
        <v>0</v>
      </c>
      <c r="BS12" s="444">
        <v>0</v>
      </c>
      <c r="BT12" s="439" t="s">
        <v>1029</v>
      </c>
      <c r="BU12" s="439" t="s">
        <v>1029</v>
      </c>
      <c r="BV12" s="439" t="s">
        <v>1029</v>
      </c>
      <c r="BW12" s="440">
        <v>0</v>
      </c>
      <c r="BX12" s="440">
        <v>0</v>
      </c>
      <c r="BY12" s="440">
        <v>0</v>
      </c>
      <c r="BZ12" s="440">
        <v>0</v>
      </c>
      <c r="CA12" s="441">
        <v>0</v>
      </c>
      <c r="CB12" s="441">
        <v>0</v>
      </c>
      <c r="CC12" s="440">
        <v>0</v>
      </c>
      <c r="CD12" s="439" t="s">
        <v>1029</v>
      </c>
      <c r="CE12" s="439" t="s">
        <v>1029</v>
      </c>
      <c r="CF12" s="441">
        <v>0</v>
      </c>
      <c r="CG12" s="441">
        <v>0</v>
      </c>
      <c r="CH12" s="441">
        <v>0</v>
      </c>
      <c r="CI12" s="441">
        <v>0</v>
      </c>
      <c r="CJ12" s="439" t="s">
        <v>1029</v>
      </c>
      <c r="CK12" s="439" t="s">
        <v>1029</v>
      </c>
      <c r="CL12" s="439" t="s">
        <v>1029</v>
      </c>
      <c r="CM12" s="439" t="s">
        <v>1029</v>
      </c>
      <c r="CN12" s="439" t="s">
        <v>1029</v>
      </c>
      <c r="CO12" s="439" t="s">
        <v>1029</v>
      </c>
      <c r="CP12" s="441">
        <v>0</v>
      </c>
      <c r="CQ12" s="439" t="s">
        <v>1029</v>
      </c>
      <c r="CR12" s="441">
        <v>0</v>
      </c>
      <c r="CS12" s="439" t="s">
        <v>1029</v>
      </c>
      <c r="CT12" s="441">
        <v>0</v>
      </c>
      <c r="CU12" s="439" t="s">
        <v>1029</v>
      </c>
      <c r="CV12" s="439" t="s">
        <v>1029</v>
      </c>
      <c r="CW12" s="441">
        <v>0</v>
      </c>
      <c r="CX12" s="439" t="s">
        <v>1029</v>
      </c>
      <c r="CY12" s="441">
        <v>0</v>
      </c>
      <c r="CZ12" s="439" t="s">
        <v>1029</v>
      </c>
      <c r="DA12" s="441">
        <v>0</v>
      </c>
      <c r="DB12" s="439" t="s">
        <v>1029</v>
      </c>
      <c r="DC12" s="439" t="s">
        <v>1029</v>
      </c>
      <c r="DD12" s="439" t="s">
        <v>1029</v>
      </c>
      <c r="DE12" s="439" t="s">
        <v>1029</v>
      </c>
      <c r="DF12" s="439"/>
    </row>
    <row customHeight="true" ht="16.296296296296294" r="13">
      <c r="A13" s="439" t="s">
        <v>1041</v>
      </c>
      <c r="B13" s="439" t="s">
        <v>1026</v>
      </c>
      <c r="C13" s="439" t="s">
        <v>1027</v>
      </c>
      <c r="D13" s="439" t="s">
        <v>1027</v>
      </c>
      <c r="E13" s="439" t="s">
        <v>1026</v>
      </c>
      <c r="F13" s="439" t="s">
        <v>1028</v>
      </c>
      <c r="G13" s="440">
        <v>0</v>
      </c>
      <c r="H13" s="440">
        <v>64.99</v>
      </c>
      <c r="I13" s="441">
        <v>0</v>
      </c>
      <c r="J13" s="441">
        <v>0</v>
      </c>
      <c r="K13" s="441">
        <v>0</v>
      </c>
      <c r="L13" s="441">
        <v>0</v>
      </c>
      <c r="M13" s="441">
        <v>0</v>
      </c>
      <c r="N13" s="441">
        <v>0</v>
      </c>
      <c r="O13" s="441">
        <v>0</v>
      </c>
      <c r="P13" s="441">
        <v>0</v>
      </c>
      <c r="Q13" s="440">
        <v>0</v>
      </c>
      <c r="R13" s="441">
        <v>0</v>
      </c>
      <c r="S13" s="440">
        <v>0</v>
      </c>
      <c r="T13" s="439" t="s">
        <v>1029</v>
      </c>
      <c r="U13" s="439" t="s">
        <v>1029</v>
      </c>
      <c r="V13" s="439" t="s">
        <v>1029</v>
      </c>
      <c r="W13" s="439" t="s">
        <v>1029</v>
      </c>
      <c r="X13" s="439" t="s">
        <v>1029</v>
      </c>
      <c r="Y13" s="439" t="s">
        <v>1029</v>
      </c>
      <c r="Z13" s="441">
        <v>0</v>
      </c>
      <c r="AA13" s="440">
        <v>0</v>
      </c>
      <c r="AB13" s="441">
        <v>0</v>
      </c>
      <c r="AC13" s="440">
        <v>0</v>
      </c>
      <c r="AD13" s="441">
        <v>0</v>
      </c>
      <c r="AE13" s="440">
        <v>0</v>
      </c>
      <c r="AF13" s="441">
        <v>0</v>
      </c>
      <c r="AG13" s="440">
        <v>0</v>
      </c>
      <c r="AH13" s="442">
        <v>0</v>
      </c>
      <c r="AI13" s="440">
        <v>0</v>
      </c>
      <c r="AJ13" s="442">
        <v>0</v>
      </c>
      <c r="AK13" s="440">
        <v>0</v>
      </c>
      <c r="AL13" s="439"/>
      <c r="AM13" s="439"/>
      <c r="AN13" s="441">
        <v>0</v>
      </c>
      <c r="AO13" s="440">
        <v>0</v>
      </c>
      <c r="AP13" s="439" t="s">
        <v>1029</v>
      </c>
      <c r="AQ13" s="443">
        <v>0</v>
      </c>
      <c r="AR13" s="441">
        <v>0</v>
      </c>
      <c r="AS13" s="439" t="s">
        <v>1029</v>
      </c>
      <c r="AT13" s="439" t="s">
        <v>1030</v>
      </c>
      <c r="AU13" s="439" t="s">
        <v>1030</v>
      </c>
      <c r="AV13" s="439" t="s">
        <v>1030</v>
      </c>
      <c r="AW13" s="439" t="s">
        <v>1030</v>
      </c>
      <c r="AX13" s="439" t="s">
        <v>1030</v>
      </c>
      <c r="AY13" s="441">
        <v>0</v>
      </c>
      <c r="AZ13" s="439" t="s">
        <v>1029</v>
      </c>
      <c r="BA13" s="441">
        <v>0</v>
      </c>
      <c r="BB13" s="439" t="s">
        <v>1029</v>
      </c>
      <c r="BC13" s="441">
        <v>0</v>
      </c>
      <c r="BD13" s="439" t="s">
        <v>1029</v>
      </c>
      <c r="BE13" s="441">
        <v>0</v>
      </c>
      <c r="BF13" s="441">
        <v>0</v>
      </c>
      <c r="BG13" s="441">
        <v>0</v>
      </c>
      <c r="BH13" s="441">
        <v>0</v>
      </c>
      <c r="BI13" s="439" t="s">
        <v>1029</v>
      </c>
      <c r="BJ13" s="439" t="s">
        <v>1029</v>
      </c>
      <c r="BK13" s="439" t="s">
        <v>1029</v>
      </c>
      <c r="BL13" s="440">
        <v>0</v>
      </c>
      <c r="BM13" s="439" t="s">
        <v>1029</v>
      </c>
      <c r="BN13" s="440">
        <v>0</v>
      </c>
      <c r="BO13" s="440">
        <v>0</v>
      </c>
      <c r="BP13" s="440">
        <v>0</v>
      </c>
      <c r="BQ13" s="440">
        <v>0</v>
      </c>
      <c r="BR13" s="440">
        <v>0</v>
      </c>
      <c r="BS13" s="444">
        <v>0</v>
      </c>
      <c r="BT13" s="439" t="s">
        <v>1029</v>
      </c>
      <c r="BU13" s="439" t="s">
        <v>1029</v>
      </c>
      <c r="BV13" s="439" t="s">
        <v>1029</v>
      </c>
      <c r="BW13" s="440">
        <v>0</v>
      </c>
      <c r="BX13" s="440">
        <v>0</v>
      </c>
      <c r="BY13" s="440">
        <v>0</v>
      </c>
      <c r="BZ13" s="440">
        <v>0</v>
      </c>
      <c r="CA13" s="441">
        <v>0</v>
      </c>
      <c r="CB13" s="441">
        <v>0</v>
      </c>
      <c r="CC13" s="440">
        <v>0</v>
      </c>
      <c r="CD13" s="439" t="s">
        <v>1029</v>
      </c>
      <c r="CE13" s="439" t="s">
        <v>1029</v>
      </c>
      <c r="CF13" s="441">
        <v>0</v>
      </c>
      <c r="CG13" s="441">
        <v>0</v>
      </c>
      <c r="CH13" s="441">
        <v>0</v>
      </c>
      <c r="CI13" s="441">
        <v>0</v>
      </c>
      <c r="CJ13" s="439" t="s">
        <v>1029</v>
      </c>
      <c r="CK13" s="439" t="s">
        <v>1029</v>
      </c>
      <c r="CL13" s="439" t="s">
        <v>1029</v>
      </c>
      <c r="CM13" s="439" t="s">
        <v>1029</v>
      </c>
      <c r="CN13" s="439" t="s">
        <v>1029</v>
      </c>
      <c r="CO13" s="439" t="s">
        <v>1029</v>
      </c>
      <c r="CP13" s="441">
        <v>0</v>
      </c>
      <c r="CQ13" s="439" t="s">
        <v>1029</v>
      </c>
      <c r="CR13" s="441">
        <v>0</v>
      </c>
      <c r="CS13" s="439" t="s">
        <v>1029</v>
      </c>
      <c r="CT13" s="441">
        <v>0</v>
      </c>
      <c r="CU13" s="439" t="s">
        <v>1029</v>
      </c>
      <c r="CV13" s="439" t="s">
        <v>1029</v>
      </c>
      <c r="CW13" s="441">
        <v>0</v>
      </c>
      <c r="CX13" s="439" t="s">
        <v>1029</v>
      </c>
      <c r="CY13" s="441">
        <v>0</v>
      </c>
      <c r="CZ13" s="439" t="s">
        <v>1029</v>
      </c>
      <c r="DA13" s="441">
        <v>0</v>
      </c>
      <c r="DB13" s="439" t="s">
        <v>1029</v>
      </c>
      <c r="DC13" s="439" t="s">
        <v>1029</v>
      </c>
      <c r="DD13" s="439" t="s">
        <v>1029</v>
      </c>
      <c r="DE13" s="439" t="s">
        <v>1029</v>
      </c>
      <c r="DF13" s="439"/>
    </row>
    <row customHeight="true" ht="16.296296296296294" r="14">
      <c r="A14" s="439" t="s">
        <v>1042</v>
      </c>
      <c r="B14" s="439" t="s">
        <v>1026</v>
      </c>
      <c r="C14" s="439" t="s">
        <v>1027</v>
      </c>
      <c r="D14" s="439" t="s">
        <v>1027</v>
      </c>
      <c r="E14" s="439" t="s">
        <v>1026</v>
      </c>
      <c r="F14" s="439" t="s">
        <v>1028</v>
      </c>
      <c r="G14" s="440">
        <v>0</v>
      </c>
      <c r="H14" s="440">
        <v>64.99</v>
      </c>
      <c r="I14" s="441">
        <v>18</v>
      </c>
      <c r="J14" s="441">
        <v>0</v>
      </c>
      <c r="K14" s="441">
        <v>0</v>
      </c>
      <c r="L14" s="441">
        <v>0</v>
      </c>
      <c r="M14" s="441">
        <v>0</v>
      </c>
      <c r="N14" s="441">
        <v>0</v>
      </c>
      <c r="O14" s="441">
        <v>18</v>
      </c>
      <c r="P14" s="441">
        <v>0</v>
      </c>
      <c r="Q14" s="440">
        <v>0</v>
      </c>
      <c r="R14" s="441">
        <v>0</v>
      </c>
      <c r="S14" s="440">
        <v>0</v>
      </c>
      <c r="T14" s="439" t="s">
        <v>1029</v>
      </c>
      <c r="U14" s="439" t="s">
        <v>1029</v>
      </c>
      <c r="V14" s="439" t="s">
        <v>1029</v>
      </c>
      <c r="W14" s="439" t="s">
        <v>1029</v>
      </c>
      <c r="X14" s="439" t="s">
        <v>1029</v>
      </c>
      <c r="Y14" s="439" t="s">
        <v>1029</v>
      </c>
      <c r="Z14" s="441">
        <v>0</v>
      </c>
      <c r="AA14" s="440">
        <v>0</v>
      </c>
      <c r="AB14" s="441">
        <v>0</v>
      </c>
      <c r="AC14" s="440">
        <v>0</v>
      </c>
      <c r="AD14" s="441">
        <v>0</v>
      </c>
      <c r="AE14" s="440">
        <v>0</v>
      </c>
      <c r="AF14" s="441">
        <v>0</v>
      </c>
      <c r="AG14" s="440">
        <v>0</v>
      </c>
      <c r="AH14" s="442">
        <v>0</v>
      </c>
      <c r="AI14" s="440">
        <v>0</v>
      </c>
      <c r="AJ14" s="442">
        <v>0</v>
      </c>
      <c r="AK14" s="440">
        <v>0</v>
      </c>
      <c r="AL14" s="439"/>
      <c r="AM14" s="439"/>
      <c r="AN14" s="441">
        <v>0</v>
      </c>
      <c r="AO14" s="440">
        <v>0</v>
      </c>
      <c r="AP14" s="439" t="s">
        <v>1029</v>
      </c>
      <c r="AQ14" s="443">
        <v>0</v>
      </c>
      <c r="AR14" s="441">
        <v>0</v>
      </c>
      <c r="AS14" s="439" t="s">
        <v>1029</v>
      </c>
      <c r="AT14" s="439" t="s">
        <v>1030</v>
      </c>
      <c r="AU14" s="439" t="s">
        <v>1030</v>
      </c>
      <c r="AV14" s="439" t="s">
        <v>1030</v>
      </c>
      <c r="AW14" s="439" t="s">
        <v>1030</v>
      </c>
      <c r="AX14" s="439" t="s">
        <v>1030</v>
      </c>
      <c r="AY14" s="441">
        <v>0</v>
      </c>
      <c r="AZ14" s="439" t="s">
        <v>1029</v>
      </c>
      <c r="BA14" s="441">
        <v>0</v>
      </c>
      <c r="BB14" s="439" t="s">
        <v>1029</v>
      </c>
      <c r="BC14" s="441">
        <v>0</v>
      </c>
      <c r="BD14" s="439" t="s">
        <v>1029</v>
      </c>
      <c r="BE14" s="441">
        <v>0</v>
      </c>
      <c r="BF14" s="441">
        <v>0</v>
      </c>
      <c r="BG14" s="441">
        <v>0</v>
      </c>
      <c r="BH14" s="441">
        <v>0</v>
      </c>
      <c r="BI14" s="439" t="s">
        <v>1029</v>
      </c>
      <c r="BJ14" s="439" t="s">
        <v>1029</v>
      </c>
      <c r="BK14" s="439" t="s">
        <v>1029</v>
      </c>
      <c r="BL14" s="440">
        <v>0</v>
      </c>
      <c r="BM14" s="439" t="s">
        <v>1029</v>
      </c>
      <c r="BN14" s="440">
        <v>0</v>
      </c>
      <c r="BO14" s="440">
        <v>0</v>
      </c>
      <c r="BP14" s="440">
        <v>0</v>
      </c>
      <c r="BQ14" s="440">
        <v>0</v>
      </c>
      <c r="BR14" s="440">
        <v>0</v>
      </c>
      <c r="BS14" s="444">
        <v>0</v>
      </c>
      <c r="BT14" s="439" t="s">
        <v>1029</v>
      </c>
      <c r="BU14" s="439" t="s">
        <v>1029</v>
      </c>
      <c r="BV14" s="439" t="s">
        <v>1029</v>
      </c>
      <c r="BW14" s="440">
        <v>0</v>
      </c>
      <c r="BX14" s="440">
        <v>0</v>
      </c>
      <c r="BY14" s="440">
        <v>0</v>
      </c>
      <c r="BZ14" s="440">
        <v>0</v>
      </c>
      <c r="CA14" s="441">
        <v>0</v>
      </c>
      <c r="CB14" s="441">
        <v>0</v>
      </c>
      <c r="CC14" s="440">
        <v>0</v>
      </c>
      <c r="CD14" s="439" t="s">
        <v>1029</v>
      </c>
      <c r="CE14" s="439" t="s">
        <v>1029</v>
      </c>
      <c r="CF14" s="441">
        <v>0</v>
      </c>
      <c r="CG14" s="441">
        <v>0</v>
      </c>
      <c r="CH14" s="441">
        <v>0</v>
      </c>
      <c r="CI14" s="441">
        <v>0</v>
      </c>
      <c r="CJ14" s="439" t="s">
        <v>1029</v>
      </c>
      <c r="CK14" s="439" t="s">
        <v>1029</v>
      </c>
      <c r="CL14" s="439" t="s">
        <v>1029</v>
      </c>
      <c r="CM14" s="439" t="s">
        <v>1029</v>
      </c>
      <c r="CN14" s="439" t="s">
        <v>1029</v>
      </c>
      <c r="CO14" s="439" t="s">
        <v>1029</v>
      </c>
      <c r="CP14" s="441">
        <v>0</v>
      </c>
      <c r="CQ14" s="439" t="s">
        <v>1029</v>
      </c>
      <c r="CR14" s="441">
        <v>0</v>
      </c>
      <c r="CS14" s="439" t="s">
        <v>1029</v>
      </c>
      <c r="CT14" s="441">
        <v>0</v>
      </c>
      <c r="CU14" s="439" t="s">
        <v>1029</v>
      </c>
      <c r="CV14" s="439" t="s">
        <v>1029</v>
      </c>
      <c r="CW14" s="441">
        <v>0</v>
      </c>
      <c r="CX14" s="439" t="s">
        <v>1029</v>
      </c>
      <c r="CY14" s="441">
        <v>0</v>
      </c>
      <c r="CZ14" s="439" t="s">
        <v>1029</v>
      </c>
      <c r="DA14" s="441">
        <v>0</v>
      </c>
      <c r="DB14" s="439" t="s">
        <v>1029</v>
      </c>
      <c r="DC14" s="439" t="s">
        <v>1029</v>
      </c>
      <c r="DD14" s="439" t="s">
        <v>1029</v>
      </c>
      <c r="DE14" s="439" t="s">
        <v>1029</v>
      </c>
      <c r="DF14" s="439"/>
    </row>
    <row customHeight="true" ht="16.296296296296294" r="15">
      <c r="A15" s="439" t="s">
        <v>1043</v>
      </c>
      <c r="B15" s="439" t="s">
        <v>1026</v>
      </c>
      <c r="C15" s="439" t="s">
        <v>1027</v>
      </c>
      <c r="D15" s="439" t="s">
        <v>1027</v>
      </c>
      <c r="E15" s="439" t="s">
        <v>1026</v>
      </c>
      <c r="F15" s="439" t="s">
        <v>1028</v>
      </c>
      <c r="G15" s="440">
        <v>0</v>
      </c>
      <c r="H15" s="440">
        <v>64.99</v>
      </c>
      <c r="I15" s="441">
        <v>19</v>
      </c>
      <c r="J15" s="441">
        <v>0</v>
      </c>
      <c r="K15" s="441">
        <v>0</v>
      </c>
      <c r="L15" s="441">
        <v>0</v>
      </c>
      <c r="M15" s="441">
        <v>0</v>
      </c>
      <c r="N15" s="441">
        <v>0</v>
      </c>
      <c r="O15" s="441">
        <v>19</v>
      </c>
      <c r="P15" s="441">
        <v>0</v>
      </c>
      <c r="Q15" s="440">
        <v>0</v>
      </c>
      <c r="R15" s="441">
        <v>0</v>
      </c>
      <c r="S15" s="440">
        <v>0</v>
      </c>
      <c r="T15" s="439" t="s">
        <v>1029</v>
      </c>
      <c r="U15" s="439" t="s">
        <v>1029</v>
      </c>
      <c r="V15" s="439" t="s">
        <v>1029</v>
      </c>
      <c r="W15" s="439" t="s">
        <v>1029</v>
      </c>
      <c r="X15" s="439" t="s">
        <v>1029</v>
      </c>
      <c r="Y15" s="439" t="s">
        <v>1029</v>
      </c>
      <c r="Z15" s="441">
        <v>0</v>
      </c>
      <c r="AA15" s="440">
        <v>0</v>
      </c>
      <c r="AB15" s="441">
        <v>0</v>
      </c>
      <c r="AC15" s="440">
        <v>0</v>
      </c>
      <c r="AD15" s="441">
        <v>0</v>
      </c>
      <c r="AE15" s="440">
        <v>0</v>
      </c>
      <c r="AF15" s="441">
        <v>0</v>
      </c>
      <c r="AG15" s="440">
        <v>0</v>
      </c>
      <c r="AH15" s="442">
        <v>0</v>
      </c>
      <c r="AI15" s="440">
        <v>0</v>
      </c>
      <c r="AJ15" s="442">
        <v>0</v>
      </c>
      <c r="AK15" s="440">
        <v>0</v>
      </c>
      <c r="AL15" s="439"/>
      <c r="AM15" s="439"/>
      <c r="AN15" s="441">
        <v>0</v>
      </c>
      <c r="AO15" s="440">
        <v>0</v>
      </c>
      <c r="AP15" s="439" t="s">
        <v>1029</v>
      </c>
      <c r="AQ15" s="443">
        <v>0</v>
      </c>
      <c r="AR15" s="441">
        <v>0</v>
      </c>
      <c r="AS15" s="439" t="s">
        <v>1029</v>
      </c>
      <c r="AT15" s="439" t="s">
        <v>1030</v>
      </c>
      <c r="AU15" s="439" t="s">
        <v>1030</v>
      </c>
      <c r="AV15" s="439" t="s">
        <v>1030</v>
      </c>
      <c r="AW15" s="439" t="s">
        <v>1030</v>
      </c>
      <c r="AX15" s="439" t="s">
        <v>1030</v>
      </c>
      <c r="AY15" s="441">
        <v>0</v>
      </c>
      <c r="AZ15" s="439" t="s">
        <v>1029</v>
      </c>
      <c r="BA15" s="441">
        <v>0</v>
      </c>
      <c r="BB15" s="439" t="s">
        <v>1029</v>
      </c>
      <c r="BC15" s="441">
        <v>0</v>
      </c>
      <c r="BD15" s="439" t="s">
        <v>1029</v>
      </c>
      <c r="BE15" s="441">
        <v>0</v>
      </c>
      <c r="BF15" s="441">
        <v>0</v>
      </c>
      <c r="BG15" s="441">
        <v>0</v>
      </c>
      <c r="BH15" s="441">
        <v>0</v>
      </c>
      <c r="BI15" s="439" t="s">
        <v>1029</v>
      </c>
      <c r="BJ15" s="439" t="s">
        <v>1029</v>
      </c>
      <c r="BK15" s="439" t="s">
        <v>1029</v>
      </c>
      <c r="BL15" s="440">
        <v>0</v>
      </c>
      <c r="BM15" s="439" t="s">
        <v>1029</v>
      </c>
      <c r="BN15" s="440">
        <v>0</v>
      </c>
      <c r="BO15" s="440">
        <v>0</v>
      </c>
      <c r="BP15" s="440">
        <v>0</v>
      </c>
      <c r="BQ15" s="440">
        <v>0</v>
      </c>
      <c r="BR15" s="440">
        <v>0</v>
      </c>
      <c r="BS15" s="444">
        <v>0</v>
      </c>
      <c r="BT15" s="439" t="s">
        <v>1029</v>
      </c>
      <c r="BU15" s="439" t="s">
        <v>1029</v>
      </c>
      <c r="BV15" s="439" t="s">
        <v>1029</v>
      </c>
      <c r="BW15" s="440">
        <v>0</v>
      </c>
      <c r="BX15" s="440">
        <v>0</v>
      </c>
      <c r="BY15" s="440">
        <v>0</v>
      </c>
      <c r="BZ15" s="440">
        <v>0</v>
      </c>
      <c r="CA15" s="441">
        <v>0</v>
      </c>
      <c r="CB15" s="441">
        <v>0</v>
      </c>
      <c r="CC15" s="440">
        <v>0</v>
      </c>
      <c r="CD15" s="439" t="s">
        <v>1029</v>
      </c>
      <c r="CE15" s="439" t="s">
        <v>1029</v>
      </c>
      <c r="CF15" s="441">
        <v>0</v>
      </c>
      <c r="CG15" s="441">
        <v>0</v>
      </c>
      <c r="CH15" s="441">
        <v>0</v>
      </c>
      <c r="CI15" s="441">
        <v>0</v>
      </c>
      <c r="CJ15" s="439" t="s">
        <v>1029</v>
      </c>
      <c r="CK15" s="439" t="s">
        <v>1029</v>
      </c>
      <c r="CL15" s="439" t="s">
        <v>1029</v>
      </c>
      <c r="CM15" s="439" t="s">
        <v>1029</v>
      </c>
      <c r="CN15" s="439" t="s">
        <v>1029</v>
      </c>
      <c r="CO15" s="439" t="s">
        <v>1029</v>
      </c>
      <c r="CP15" s="441">
        <v>0</v>
      </c>
      <c r="CQ15" s="439" t="s">
        <v>1029</v>
      </c>
      <c r="CR15" s="441">
        <v>0</v>
      </c>
      <c r="CS15" s="439" t="s">
        <v>1029</v>
      </c>
      <c r="CT15" s="441">
        <v>0</v>
      </c>
      <c r="CU15" s="439" t="s">
        <v>1029</v>
      </c>
      <c r="CV15" s="439" t="s">
        <v>1029</v>
      </c>
      <c r="CW15" s="441">
        <v>0</v>
      </c>
      <c r="CX15" s="439" t="s">
        <v>1029</v>
      </c>
      <c r="CY15" s="441">
        <v>0</v>
      </c>
      <c r="CZ15" s="439" t="s">
        <v>1029</v>
      </c>
      <c r="DA15" s="441">
        <v>0</v>
      </c>
      <c r="DB15" s="439" t="s">
        <v>1029</v>
      </c>
      <c r="DC15" s="439" t="s">
        <v>1029</v>
      </c>
      <c r="DD15" s="439" t="s">
        <v>1029</v>
      </c>
      <c r="DE15" s="439" t="s">
        <v>1029</v>
      </c>
      <c r="DF15" s="439"/>
    </row>
    <row customHeight="true" ht="16.296296296296294" r="16">
      <c r="A16" s="439" t="s">
        <v>1044</v>
      </c>
      <c r="B16" s="439" t="s">
        <v>1026</v>
      </c>
      <c r="C16" s="439" t="s">
        <v>1027</v>
      </c>
      <c r="D16" s="439" t="s">
        <v>1027</v>
      </c>
      <c r="E16" s="439" t="s">
        <v>1026</v>
      </c>
      <c r="F16" s="439" t="s">
        <v>1028</v>
      </c>
      <c r="G16" s="440">
        <v>0</v>
      </c>
      <c r="H16" s="440">
        <v>64.99</v>
      </c>
      <c r="I16" s="441">
        <v>55</v>
      </c>
      <c r="J16" s="441">
        <v>0</v>
      </c>
      <c r="K16" s="441">
        <v>0</v>
      </c>
      <c r="L16" s="441">
        <v>0</v>
      </c>
      <c r="M16" s="441">
        <v>0</v>
      </c>
      <c r="N16" s="441">
        <v>0</v>
      </c>
      <c r="O16" s="441">
        <v>55</v>
      </c>
      <c r="P16" s="441">
        <v>0</v>
      </c>
      <c r="Q16" s="440">
        <v>0</v>
      </c>
      <c r="R16" s="441">
        <v>0</v>
      </c>
      <c r="S16" s="440">
        <v>0</v>
      </c>
      <c r="T16" s="439" t="s">
        <v>1029</v>
      </c>
      <c r="U16" s="439" t="s">
        <v>1029</v>
      </c>
      <c r="V16" s="439" t="s">
        <v>1029</v>
      </c>
      <c r="W16" s="439" t="s">
        <v>1029</v>
      </c>
      <c r="X16" s="439" t="s">
        <v>1029</v>
      </c>
      <c r="Y16" s="439" t="s">
        <v>1029</v>
      </c>
      <c r="Z16" s="441">
        <v>0</v>
      </c>
      <c r="AA16" s="440">
        <v>0</v>
      </c>
      <c r="AB16" s="441">
        <v>0</v>
      </c>
      <c r="AC16" s="440">
        <v>0</v>
      </c>
      <c r="AD16" s="441">
        <v>0</v>
      </c>
      <c r="AE16" s="440">
        <v>0</v>
      </c>
      <c r="AF16" s="441">
        <v>0</v>
      </c>
      <c r="AG16" s="440">
        <v>0</v>
      </c>
      <c r="AH16" s="442">
        <v>0</v>
      </c>
      <c r="AI16" s="440">
        <v>0</v>
      </c>
      <c r="AJ16" s="442">
        <v>0</v>
      </c>
      <c r="AK16" s="440">
        <v>0</v>
      </c>
      <c r="AL16" s="439"/>
      <c r="AM16" s="439"/>
      <c r="AN16" s="441">
        <v>0</v>
      </c>
      <c r="AO16" s="440">
        <v>0</v>
      </c>
      <c r="AP16" s="439" t="s">
        <v>1029</v>
      </c>
      <c r="AQ16" s="443">
        <v>0</v>
      </c>
      <c r="AR16" s="441">
        <v>0</v>
      </c>
      <c r="AS16" s="439" t="s">
        <v>1029</v>
      </c>
      <c r="AT16" s="439" t="s">
        <v>1030</v>
      </c>
      <c r="AU16" s="439" t="s">
        <v>1030</v>
      </c>
      <c r="AV16" s="439" t="s">
        <v>1030</v>
      </c>
      <c r="AW16" s="439" t="s">
        <v>1030</v>
      </c>
      <c r="AX16" s="439" t="s">
        <v>1030</v>
      </c>
      <c r="AY16" s="441">
        <v>0</v>
      </c>
      <c r="AZ16" s="439" t="s">
        <v>1029</v>
      </c>
      <c r="BA16" s="441">
        <v>0</v>
      </c>
      <c r="BB16" s="439" t="s">
        <v>1029</v>
      </c>
      <c r="BC16" s="441">
        <v>0</v>
      </c>
      <c r="BD16" s="439" t="s">
        <v>1029</v>
      </c>
      <c r="BE16" s="441">
        <v>0</v>
      </c>
      <c r="BF16" s="441">
        <v>0</v>
      </c>
      <c r="BG16" s="441">
        <v>0</v>
      </c>
      <c r="BH16" s="441">
        <v>0</v>
      </c>
      <c r="BI16" s="439" t="s">
        <v>1029</v>
      </c>
      <c r="BJ16" s="439" t="s">
        <v>1029</v>
      </c>
      <c r="BK16" s="439" t="s">
        <v>1029</v>
      </c>
      <c r="BL16" s="440">
        <v>0</v>
      </c>
      <c r="BM16" s="439" t="s">
        <v>1029</v>
      </c>
      <c r="BN16" s="440">
        <v>0</v>
      </c>
      <c r="BO16" s="440">
        <v>0</v>
      </c>
      <c r="BP16" s="440">
        <v>0</v>
      </c>
      <c r="BQ16" s="440">
        <v>0</v>
      </c>
      <c r="BR16" s="440">
        <v>0</v>
      </c>
      <c r="BS16" s="444">
        <v>0</v>
      </c>
      <c r="BT16" s="439" t="s">
        <v>1029</v>
      </c>
      <c r="BU16" s="439" t="s">
        <v>1029</v>
      </c>
      <c r="BV16" s="439" t="s">
        <v>1029</v>
      </c>
      <c r="BW16" s="440">
        <v>0</v>
      </c>
      <c r="BX16" s="440">
        <v>0</v>
      </c>
      <c r="BY16" s="440">
        <v>0</v>
      </c>
      <c r="BZ16" s="440">
        <v>0</v>
      </c>
      <c r="CA16" s="441">
        <v>0</v>
      </c>
      <c r="CB16" s="441">
        <v>0</v>
      </c>
      <c r="CC16" s="440">
        <v>0</v>
      </c>
      <c r="CD16" s="439" t="s">
        <v>1029</v>
      </c>
      <c r="CE16" s="439" t="s">
        <v>1029</v>
      </c>
      <c r="CF16" s="441">
        <v>0</v>
      </c>
      <c r="CG16" s="441">
        <v>0</v>
      </c>
      <c r="CH16" s="441">
        <v>0</v>
      </c>
      <c r="CI16" s="441">
        <v>0</v>
      </c>
      <c r="CJ16" s="439" t="s">
        <v>1029</v>
      </c>
      <c r="CK16" s="439" t="s">
        <v>1029</v>
      </c>
      <c r="CL16" s="439" t="s">
        <v>1029</v>
      </c>
      <c r="CM16" s="439" t="s">
        <v>1029</v>
      </c>
      <c r="CN16" s="439" t="s">
        <v>1029</v>
      </c>
      <c r="CO16" s="439" t="s">
        <v>1029</v>
      </c>
      <c r="CP16" s="441">
        <v>0</v>
      </c>
      <c r="CQ16" s="439" t="s">
        <v>1029</v>
      </c>
      <c r="CR16" s="441">
        <v>0</v>
      </c>
      <c r="CS16" s="439" t="s">
        <v>1029</v>
      </c>
      <c r="CT16" s="441">
        <v>0</v>
      </c>
      <c r="CU16" s="439" t="s">
        <v>1029</v>
      </c>
      <c r="CV16" s="439" t="s">
        <v>1029</v>
      </c>
      <c r="CW16" s="441">
        <v>0</v>
      </c>
      <c r="CX16" s="439" t="s">
        <v>1029</v>
      </c>
      <c r="CY16" s="441">
        <v>0</v>
      </c>
      <c r="CZ16" s="439" t="s">
        <v>1029</v>
      </c>
      <c r="DA16" s="441">
        <v>0</v>
      </c>
      <c r="DB16" s="439" t="s">
        <v>1029</v>
      </c>
      <c r="DC16" s="439" t="s">
        <v>1029</v>
      </c>
      <c r="DD16" s="439" t="s">
        <v>1029</v>
      </c>
      <c r="DE16" s="439" t="s">
        <v>1029</v>
      </c>
      <c r="DF16" s="439"/>
    </row>
    <row customHeight="true" ht="16.296296296296294" r="17">
      <c r="A17" s="439" t="s">
        <v>1045</v>
      </c>
      <c r="B17" s="439" t="s">
        <v>1026</v>
      </c>
      <c r="C17" s="439" t="s">
        <v>1027</v>
      </c>
      <c r="D17" s="439" t="s">
        <v>1027</v>
      </c>
      <c r="E17" s="439" t="s">
        <v>1026</v>
      </c>
      <c r="F17" s="439" t="s">
        <v>1028</v>
      </c>
      <c r="G17" s="440">
        <v>0</v>
      </c>
      <c r="H17" s="440">
        <v>64.99</v>
      </c>
      <c r="I17" s="441">
        <v>72</v>
      </c>
      <c r="J17" s="441">
        <v>0</v>
      </c>
      <c r="K17" s="441">
        <v>0</v>
      </c>
      <c r="L17" s="441">
        <v>0</v>
      </c>
      <c r="M17" s="441">
        <v>0</v>
      </c>
      <c r="N17" s="441">
        <v>0</v>
      </c>
      <c r="O17" s="441">
        <v>72</v>
      </c>
      <c r="P17" s="441">
        <v>0</v>
      </c>
      <c r="Q17" s="440">
        <v>0</v>
      </c>
      <c r="R17" s="441">
        <v>0</v>
      </c>
      <c r="S17" s="440">
        <v>0</v>
      </c>
      <c r="T17" s="439" t="s">
        <v>1029</v>
      </c>
      <c r="U17" s="439" t="s">
        <v>1029</v>
      </c>
      <c r="V17" s="439" t="s">
        <v>1029</v>
      </c>
      <c r="W17" s="439" t="s">
        <v>1029</v>
      </c>
      <c r="X17" s="439" t="s">
        <v>1029</v>
      </c>
      <c r="Y17" s="439" t="s">
        <v>1029</v>
      </c>
      <c r="Z17" s="441">
        <v>0</v>
      </c>
      <c r="AA17" s="440">
        <v>0</v>
      </c>
      <c r="AB17" s="441">
        <v>0</v>
      </c>
      <c r="AC17" s="440">
        <v>0</v>
      </c>
      <c r="AD17" s="441">
        <v>0</v>
      </c>
      <c r="AE17" s="440">
        <v>0</v>
      </c>
      <c r="AF17" s="441">
        <v>0</v>
      </c>
      <c r="AG17" s="440">
        <v>0</v>
      </c>
      <c r="AH17" s="442">
        <v>0</v>
      </c>
      <c r="AI17" s="440">
        <v>0</v>
      </c>
      <c r="AJ17" s="442">
        <v>0</v>
      </c>
      <c r="AK17" s="440">
        <v>0</v>
      </c>
      <c r="AL17" s="439"/>
      <c r="AM17" s="439"/>
      <c r="AN17" s="441">
        <v>0</v>
      </c>
      <c r="AO17" s="440">
        <v>0</v>
      </c>
      <c r="AP17" s="439" t="s">
        <v>1029</v>
      </c>
      <c r="AQ17" s="443">
        <v>0</v>
      </c>
      <c r="AR17" s="441">
        <v>0</v>
      </c>
      <c r="AS17" s="439" t="s">
        <v>1029</v>
      </c>
      <c r="AT17" s="439" t="s">
        <v>1030</v>
      </c>
      <c r="AU17" s="439" t="s">
        <v>1030</v>
      </c>
      <c r="AV17" s="439" t="s">
        <v>1030</v>
      </c>
      <c r="AW17" s="439" t="s">
        <v>1030</v>
      </c>
      <c r="AX17" s="439" t="s">
        <v>1030</v>
      </c>
      <c r="AY17" s="441">
        <v>0</v>
      </c>
      <c r="AZ17" s="439" t="s">
        <v>1029</v>
      </c>
      <c r="BA17" s="441">
        <v>0</v>
      </c>
      <c r="BB17" s="439" t="s">
        <v>1029</v>
      </c>
      <c r="BC17" s="441">
        <v>0</v>
      </c>
      <c r="BD17" s="439" t="s">
        <v>1029</v>
      </c>
      <c r="BE17" s="441">
        <v>0</v>
      </c>
      <c r="BF17" s="441">
        <v>0</v>
      </c>
      <c r="BG17" s="441">
        <v>0</v>
      </c>
      <c r="BH17" s="441">
        <v>0</v>
      </c>
      <c r="BI17" s="439" t="s">
        <v>1029</v>
      </c>
      <c r="BJ17" s="439" t="s">
        <v>1029</v>
      </c>
      <c r="BK17" s="439" t="s">
        <v>1029</v>
      </c>
      <c r="BL17" s="440">
        <v>0</v>
      </c>
      <c r="BM17" s="439" t="s">
        <v>1029</v>
      </c>
      <c r="BN17" s="440">
        <v>0</v>
      </c>
      <c r="BO17" s="440">
        <v>0</v>
      </c>
      <c r="BP17" s="440">
        <v>0</v>
      </c>
      <c r="BQ17" s="440">
        <v>0</v>
      </c>
      <c r="BR17" s="440">
        <v>0</v>
      </c>
      <c r="BS17" s="444">
        <v>0</v>
      </c>
      <c r="BT17" s="439" t="s">
        <v>1029</v>
      </c>
      <c r="BU17" s="439" t="s">
        <v>1029</v>
      </c>
      <c r="BV17" s="439" t="s">
        <v>1029</v>
      </c>
      <c r="BW17" s="440">
        <v>0</v>
      </c>
      <c r="BX17" s="440">
        <v>0</v>
      </c>
      <c r="BY17" s="440">
        <v>0</v>
      </c>
      <c r="BZ17" s="440">
        <v>0</v>
      </c>
      <c r="CA17" s="441">
        <v>0</v>
      </c>
      <c r="CB17" s="441">
        <v>0</v>
      </c>
      <c r="CC17" s="440">
        <v>0</v>
      </c>
      <c r="CD17" s="439" t="s">
        <v>1029</v>
      </c>
      <c r="CE17" s="439" t="s">
        <v>1029</v>
      </c>
      <c r="CF17" s="441">
        <v>0</v>
      </c>
      <c r="CG17" s="441">
        <v>0</v>
      </c>
      <c r="CH17" s="441">
        <v>0</v>
      </c>
      <c r="CI17" s="441">
        <v>0</v>
      </c>
      <c r="CJ17" s="439" t="s">
        <v>1029</v>
      </c>
      <c r="CK17" s="439" t="s">
        <v>1029</v>
      </c>
      <c r="CL17" s="439" t="s">
        <v>1029</v>
      </c>
      <c r="CM17" s="439" t="s">
        <v>1029</v>
      </c>
      <c r="CN17" s="439" t="s">
        <v>1029</v>
      </c>
      <c r="CO17" s="439" t="s">
        <v>1029</v>
      </c>
      <c r="CP17" s="441">
        <v>0</v>
      </c>
      <c r="CQ17" s="439" t="s">
        <v>1029</v>
      </c>
      <c r="CR17" s="441">
        <v>0</v>
      </c>
      <c r="CS17" s="439" t="s">
        <v>1029</v>
      </c>
      <c r="CT17" s="441">
        <v>0</v>
      </c>
      <c r="CU17" s="439" t="s">
        <v>1029</v>
      </c>
      <c r="CV17" s="439" t="s">
        <v>1029</v>
      </c>
      <c r="CW17" s="441">
        <v>0</v>
      </c>
      <c r="CX17" s="439" t="s">
        <v>1029</v>
      </c>
      <c r="CY17" s="441">
        <v>0</v>
      </c>
      <c r="CZ17" s="439" t="s">
        <v>1029</v>
      </c>
      <c r="DA17" s="441">
        <v>0</v>
      </c>
      <c r="DB17" s="439" t="s">
        <v>1029</v>
      </c>
      <c r="DC17" s="439" t="s">
        <v>1029</v>
      </c>
      <c r="DD17" s="439" t="s">
        <v>1029</v>
      </c>
      <c r="DE17" s="439" t="s">
        <v>1029</v>
      </c>
      <c r="DF17" s="439"/>
    </row>
    <row customHeight="true" ht="16.296296296296294" r="18">
      <c r="A18" s="439" t="s">
        <v>1046</v>
      </c>
      <c r="B18" s="439" t="s">
        <v>1026</v>
      </c>
      <c r="C18" s="439" t="s">
        <v>1027</v>
      </c>
      <c r="D18" s="439" t="s">
        <v>1027</v>
      </c>
      <c r="E18" s="439" t="s">
        <v>1026</v>
      </c>
      <c r="F18" s="439" t="s">
        <v>1028</v>
      </c>
      <c r="G18" s="440">
        <v>0</v>
      </c>
      <c r="H18" s="440">
        <v>64.99</v>
      </c>
      <c r="I18" s="441">
        <v>93</v>
      </c>
      <c r="J18" s="441">
        <v>0</v>
      </c>
      <c r="K18" s="441">
        <v>0</v>
      </c>
      <c r="L18" s="441">
        <v>0</v>
      </c>
      <c r="M18" s="441">
        <v>0</v>
      </c>
      <c r="N18" s="441">
        <v>0</v>
      </c>
      <c r="O18" s="441">
        <v>93</v>
      </c>
      <c r="P18" s="441">
        <v>0</v>
      </c>
      <c r="Q18" s="440">
        <v>0</v>
      </c>
      <c r="R18" s="441">
        <v>0</v>
      </c>
      <c r="S18" s="440">
        <v>0</v>
      </c>
      <c r="T18" s="439" t="s">
        <v>1029</v>
      </c>
      <c r="U18" s="439" t="s">
        <v>1029</v>
      </c>
      <c r="V18" s="439" t="s">
        <v>1029</v>
      </c>
      <c r="W18" s="439" t="s">
        <v>1029</v>
      </c>
      <c r="X18" s="439" t="s">
        <v>1029</v>
      </c>
      <c r="Y18" s="439" t="s">
        <v>1029</v>
      </c>
      <c r="Z18" s="441">
        <v>0</v>
      </c>
      <c r="AA18" s="440">
        <v>0</v>
      </c>
      <c r="AB18" s="441">
        <v>0</v>
      </c>
      <c r="AC18" s="440">
        <v>0</v>
      </c>
      <c r="AD18" s="441">
        <v>0</v>
      </c>
      <c r="AE18" s="440">
        <v>0</v>
      </c>
      <c r="AF18" s="441">
        <v>0</v>
      </c>
      <c r="AG18" s="440">
        <v>0</v>
      </c>
      <c r="AH18" s="442">
        <v>0</v>
      </c>
      <c r="AI18" s="440">
        <v>0</v>
      </c>
      <c r="AJ18" s="442">
        <v>0</v>
      </c>
      <c r="AK18" s="440">
        <v>0</v>
      </c>
      <c r="AL18" s="439"/>
      <c r="AM18" s="439"/>
      <c r="AN18" s="441">
        <v>0</v>
      </c>
      <c r="AO18" s="440">
        <v>0</v>
      </c>
      <c r="AP18" s="439" t="s">
        <v>1029</v>
      </c>
      <c r="AQ18" s="443">
        <v>0</v>
      </c>
      <c r="AR18" s="441">
        <v>0</v>
      </c>
      <c r="AS18" s="439" t="s">
        <v>1029</v>
      </c>
      <c r="AT18" s="439" t="s">
        <v>1030</v>
      </c>
      <c r="AU18" s="439" t="s">
        <v>1030</v>
      </c>
      <c r="AV18" s="439" t="s">
        <v>1030</v>
      </c>
      <c r="AW18" s="439" t="s">
        <v>1030</v>
      </c>
      <c r="AX18" s="439" t="s">
        <v>1030</v>
      </c>
      <c r="AY18" s="441">
        <v>0</v>
      </c>
      <c r="AZ18" s="439" t="s">
        <v>1029</v>
      </c>
      <c r="BA18" s="441">
        <v>0</v>
      </c>
      <c r="BB18" s="439" t="s">
        <v>1029</v>
      </c>
      <c r="BC18" s="441">
        <v>0</v>
      </c>
      <c r="BD18" s="439" t="s">
        <v>1029</v>
      </c>
      <c r="BE18" s="441">
        <v>0</v>
      </c>
      <c r="BF18" s="441">
        <v>0</v>
      </c>
      <c r="BG18" s="441">
        <v>0</v>
      </c>
      <c r="BH18" s="441">
        <v>0</v>
      </c>
      <c r="BI18" s="439" t="s">
        <v>1029</v>
      </c>
      <c r="BJ18" s="439" t="s">
        <v>1029</v>
      </c>
      <c r="BK18" s="439" t="s">
        <v>1029</v>
      </c>
      <c r="BL18" s="440">
        <v>0</v>
      </c>
      <c r="BM18" s="439" t="s">
        <v>1029</v>
      </c>
      <c r="BN18" s="440">
        <v>0</v>
      </c>
      <c r="BO18" s="440">
        <v>0</v>
      </c>
      <c r="BP18" s="440">
        <v>0</v>
      </c>
      <c r="BQ18" s="440">
        <v>0</v>
      </c>
      <c r="BR18" s="440">
        <v>0</v>
      </c>
      <c r="BS18" s="444">
        <v>0</v>
      </c>
      <c r="BT18" s="439" t="s">
        <v>1029</v>
      </c>
      <c r="BU18" s="439" t="s">
        <v>1029</v>
      </c>
      <c r="BV18" s="439" t="s">
        <v>1029</v>
      </c>
      <c r="BW18" s="440">
        <v>0</v>
      </c>
      <c r="BX18" s="440">
        <v>0</v>
      </c>
      <c r="BY18" s="440">
        <v>0</v>
      </c>
      <c r="BZ18" s="440">
        <v>0</v>
      </c>
      <c r="CA18" s="441">
        <v>0</v>
      </c>
      <c r="CB18" s="441">
        <v>0</v>
      </c>
      <c r="CC18" s="440">
        <v>0</v>
      </c>
      <c r="CD18" s="439" t="s">
        <v>1029</v>
      </c>
      <c r="CE18" s="439" t="s">
        <v>1029</v>
      </c>
      <c r="CF18" s="441">
        <v>0</v>
      </c>
      <c r="CG18" s="441">
        <v>0</v>
      </c>
      <c r="CH18" s="441">
        <v>0</v>
      </c>
      <c r="CI18" s="441">
        <v>0</v>
      </c>
      <c r="CJ18" s="439" t="s">
        <v>1029</v>
      </c>
      <c r="CK18" s="439" t="s">
        <v>1029</v>
      </c>
      <c r="CL18" s="439" t="s">
        <v>1029</v>
      </c>
      <c r="CM18" s="439" t="s">
        <v>1029</v>
      </c>
      <c r="CN18" s="439" t="s">
        <v>1029</v>
      </c>
      <c r="CO18" s="439" t="s">
        <v>1029</v>
      </c>
      <c r="CP18" s="441">
        <v>0</v>
      </c>
      <c r="CQ18" s="439" t="s">
        <v>1029</v>
      </c>
      <c r="CR18" s="441">
        <v>0</v>
      </c>
      <c r="CS18" s="439" t="s">
        <v>1029</v>
      </c>
      <c r="CT18" s="441">
        <v>0</v>
      </c>
      <c r="CU18" s="439" t="s">
        <v>1029</v>
      </c>
      <c r="CV18" s="439" t="s">
        <v>1029</v>
      </c>
      <c r="CW18" s="441">
        <v>0</v>
      </c>
      <c r="CX18" s="439" t="s">
        <v>1029</v>
      </c>
      <c r="CY18" s="441">
        <v>0</v>
      </c>
      <c r="CZ18" s="439" t="s">
        <v>1029</v>
      </c>
      <c r="DA18" s="441">
        <v>0</v>
      </c>
      <c r="DB18" s="439" t="s">
        <v>1029</v>
      </c>
      <c r="DC18" s="439" t="s">
        <v>1029</v>
      </c>
      <c r="DD18" s="439" t="s">
        <v>1029</v>
      </c>
      <c r="DE18" s="439" t="s">
        <v>1029</v>
      </c>
      <c r="DF18" s="439"/>
    </row>
    <row customHeight="true" ht="16.296296296296294" r="19">
      <c r="A19" s="439" t="s">
        <v>1047</v>
      </c>
      <c r="B19" s="439" t="s">
        <v>1026</v>
      </c>
      <c r="C19" s="439" t="s">
        <v>1027</v>
      </c>
      <c r="D19" s="439" t="s">
        <v>1027</v>
      </c>
      <c r="E19" s="439" t="s">
        <v>1026</v>
      </c>
      <c r="F19" s="439" t="s">
        <v>1028</v>
      </c>
      <c r="G19" s="440">
        <v>54.99</v>
      </c>
      <c r="H19" s="440">
        <v>64.99</v>
      </c>
      <c r="I19" s="441">
        <v>159</v>
      </c>
      <c r="J19" s="441">
        <v>0</v>
      </c>
      <c r="K19" s="441">
        <v>0</v>
      </c>
      <c r="L19" s="441">
        <v>0</v>
      </c>
      <c r="M19" s="441">
        <v>0</v>
      </c>
      <c r="N19" s="441">
        <v>0</v>
      </c>
      <c r="O19" s="441">
        <v>159</v>
      </c>
      <c r="P19" s="441">
        <v>0</v>
      </c>
      <c r="Q19" s="440">
        <v>0</v>
      </c>
      <c r="R19" s="441">
        <v>0</v>
      </c>
      <c r="S19" s="440">
        <v>0</v>
      </c>
      <c r="T19" s="439" t="s">
        <v>1029</v>
      </c>
      <c r="U19" s="439" t="s">
        <v>1029</v>
      </c>
      <c r="V19" s="439" t="s">
        <v>1029</v>
      </c>
      <c r="W19" s="439" t="s">
        <v>1029</v>
      </c>
      <c r="X19" s="439" t="s">
        <v>1029</v>
      </c>
      <c r="Y19" s="439" t="s">
        <v>1029</v>
      </c>
      <c r="Z19" s="441">
        <v>0</v>
      </c>
      <c r="AA19" s="440">
        <v>0</v>
      </c>
      <c r="AB19" s="441">
        <v>0</v>
      </c>
      <c r="AC19" s="440">
        <v>0</v>
      </c>
      <c r="AD19" s="441">
        <v>0</v>
      </c>
      <c r="AE19" s="440">
        <v>0</v>
      </c>
      <c r="AF19" s="441">
        <v>0</v>
      </c>
      <c r="AG19" s="440">
        <v>0</v>
      </c>
      <c r="AH19" s="442">
        <v>0</v>
      </c>
      <c r="AI19" s="440">
        <v>0</v>
      </c>
      <c r="AJ19" s="442">
        <v>0</v>
      </c>
      <c r="AK19" s="440">
        <v>0</v>
      </c>
      <c r="AL19" s="439"/>
      <c r="AM19" s="439"/>
      <c r="AN19" s="441">
        <v>0</v>
      </c>
      <c r="AO19" s="440">
        <v>0</v>
      </c>
      <c r="AP19" s="439" t="s">
        <v>1029</v>
      </c>
      <c r="AQ19" s="443">
        <v>0</v>
      </c>
      <c r="AR19" s="441">
        <v>0</v>
      </c>
      <c r="AS19" s="439" t="s">
        <v>1029</v>
      </c>
      <c r="AT19" s="439" t="s">
        <v>1030</v>
      </c>
      <c r="AU19" s="439" t="s">
        <v>1030</v>
      </c>
      <c r="AV19" s="439" t="s">
        <v>1030</v>
      </c>
      <c r="AW19" s="439" t="s">
        <v>1030</v>
      </c>
      <c r="AX19" s="439" t="s">
        <v>1030</v>
      </c>
      <c r="AY19" s="441">
        <v>0</v>
      </c>
      <c r="AZ19" s="439" t="s">
        <v>1029</v>
      </c>
      <c r="BA19" s="441">
        <v>2</v>
      </c>
      <c r="BB19" s="439" t="s">
        <v>1048</v>
      </c>
      <c r="BC19" s="441">
        <v>0</v>
      </c>
      <c r="BD19" s="439" t="s">
        <v>1029</v>
      </c>
      <c r="BE19" s="441">
        <v>2</v>
      </c>
      <c r="BF19" s="441">
        <v>5</v>
      </c>
      <c r="BG19" s="441">
        <v>0</v>
      </c>
      <c r="BH19" s="441">
        <v>5</v>
      </c>
      <c r="BI19" s="439" t="s">
        <v>1029</v>
      </c>
      <c r="BJ19" s="439" t="s">
        <v>1029</v>
      </c>
      <c r="BK19" s="439" t="s">
        <v>1049</v>
      </c>
      <c r="BL19" s="440">
        <v>0</v>
      </c>
      <c r="BM19" s="439" t="s">
        <v>1029</v>
      </c>
      <c r="BN19" s="440">
        <v>0</v>
      </c>
      <c r="BO19" s="440">
        <v>0</v>
      </c>
      <c r="BP19" s="440">
        <v>0</v>
      </c>
      <c r="BQ19" s="440">
        <v>0</v>
      </c>
      <c r="BR19" s="440">
        <v>0</v>
      </c>
      <c r="BS19" s="444">
        <v>0</v>
      </c>
      <c r="BT19" s="439" t="s">
        <v>1029</v>
      </c>
      <c r="BU19" s="439" t="s">
        <v>1029</v>
      </c>
      <c r="BV19" s="439" t="s">
        <v>1029</v>
      </c>
      <c r="BW19" s="440">
        <v>0</v>
      </c>
      <c r="BX19" s="440">
        <v>0</v>
      </c>
      <c r="BY19" s="440">
        <v>0</v>
      </c>
      <c r="BZ19" s="440">
        <v>0</v>
      </c>
      <c r="CA19" s="441">
        <v>0</v>
      </c>
      <c r="CB19" s="441">
        <v>0</v>
      </c>
      <c r="CC19" s="440">
        <v>0</v>
      </c>
      <c r="CD19" s="439" t="s">
        <v>1029</v>
      </c>
      <c r="CE19" s="439" t="s">
        <v>1029</v>
      </c>
      <c r="CF19" s="441">
        <v>0</v>
      </c>
      <c r="CG19" s="441">
        <v>0</v>
      </c>
      <c r="CH19" s="441">
        <v>0</v>
      </c>
      <c r="CI19" s="441">
        <v>2</v>
      </c>
      <c r="CJ19" s="439" t="s">
        <v>1029</v>
      </c>
      <c r="CK19" s="439" t="s">
        <v>1029</v>
      </c>
      <c r="CL19" s="439" t="s">
        <v>1029</v>
      </c>
      <c r="CM19" s="439" t="s">
        <v>1050</v>
      </c>
      <c r="CN19" s="439" t="s">
        <v>1029</v>
      </c>
      <c r="CO19" s="439" t="s">
        <v>1029</v>
      </c>
      <c r="CP19" s="441">
        <v>0</v>
      </c>
      <c r="CQ19" s="439" t="s">
        <v>1029</v>
      </c>
      <c r="CR19" s="441">
        <v>0</v>
      </c>
      <c r="CS19" s="439" t="s">
        <v>1029</v>
      </c>
      <c r="CT19" s="441">
        <v>0</v>
      </c>
      <c r="CU19" s="439" t="s">
        <v>1029</v>
      </c>
      <c r="CV19" s="439" t="s">
        <v>1029</v>
      </c>
      <c r="CW19" s="441">
        <v>0</v>
      </c>
      <c r="CX19" s="439" t="s">
        <v>1029</v>
      </c>
      <c r="CY19" s="441">
        <v>0</v>
      </c>
      <c r="CZ19" s="439" t="s">
        <v>1029</v>
      </c>
      <c r="DA19" s="441">
        <v>0</v>
      </c>
      <c r="DB19" s="439" t="s">
        <v>1029</v>
      </c>
      <c r="DC19" s="439" t="s">
        <v>1029</v>
      </c>
      <c r="DD19" s="439" t="s">
        <v>1029</v>
      </c>
      <c r="DE19" s="439" t="s">
        <v>1029</v>
      </c>
      <c r="DF19" s="439"/>
    </row>
    <row customHeight="true" ht="16.296296296296294" r="20">
      <c r="A20" s="439" t="s">
        <v>1051</v>
      </c>
      <c r="B20" s="439" t="s">
        <v>1026</v>
      </c>
      <c r="C20" s="439" t="s">
        <v>1027</v>
      </c>
      <c r="D20" s="439" t="s">
        <v>1027</v>
      </c>
      <c r="E20" s="439" t="s">
        <v>1026</v>
      </c>
      <c r="F20" s="439" t="s">
        <v>1028</v>
      </c>
      <c r="G20" s="440">
        <v>54.99</v>
      </c>
      <c r="H20" s="440">
        <v>64.99</v>
      </c>
      <c r="I20" s="441">
        <v>201</v>
      </c>
      <c r="J20" s="441">
        <v>0</v>
      </c>
      <c r="K20" s="441">
        <v>0</v>
      </c>
      <c r="L20" s="441">
        <v>0</v>
      </c>
      <c r="M20" s="441">
        <v>0</v>
      </c>
      <c r="N20" s="441">
        <v>0</v>
      </c>
      <c r="O20" s="441">
        <v>201</v>
      </c>
      <c r="P20" s="441">
        <v>10</v>
      </c>
      <c r="Q20" s="440">
        <v>549.9</v>
      </c>
      <c r="R20" s="441">
        <v>10</v>
      </c>
      <c r="S20" s="440">
        <v>0</v>
      </c>
      <c r="T20" s="439" t="s">
        <v>1029</v>
      </c>
      <c r="U20" s="439" t="s">
        <v>1049</v>
      </c>
      <c r="V20" s="439" t="s">
        <v>1029</v>
      </c>
      <c r="W20" s="439" t="s">
        <v>1029</v>
      </c>
      <c r="X20" s="439" t="s">
        <v>1049</v>
      </c>
      <c r="Y20" s="439" t="s">
        <v>1029</v>
      </c>
      <c r="Z20" s="441">
        <v>1</v>
      </c>
      <c r="AA20" s="440">
        <v>54.99</v>
      </c>
      <c r="AB20" s="441">
        <v>1</v>
      </c>
      <c r="AC20" s="440">
        <v>0</v>
      </c>
      <c r="AD20" s="441">
        <v>10</v>
      </c>
      <c r="AE20" s="440">
        <v>549.9</v>
      </c>
      <c r="AF20" s="441">
        <v>10</v>
      </c>
      <c r="AG20" s="440">
        <v>549.9</v>
      </c>
      <c r="AH20" s="442">
        <v>10</v>
      </c>
      <c r="AI20" s="440">
        <v>549.9</v>
      </c>
      <c r="AJ20" s="442">
        <v>10</v>
      </c>
      <c r="AK20" s="440">
        <v>0</v>
      </c>
      <c r="AL20" s="439"/>
      <c r="AM20" s="439"/>
      <c r="AN20" s="441">
        <v>0</v>
      </c>
      <c r="AO20" s="440">
        <v>0</v>
      </c>
      <c r="AP20" s="439" t="s">
        <v>1029</v>
      </c>
      <c r="AQ20" s="443">
        <v>0</v>
      </c>
      <c r="AR20" s="441">
        <v>0</v>
      </c>
      <c r="AS20" s="439" t="s">
        <v>1029</v>
      </c>
      <c r="AT20" s="439" t="s">
        <v>1030</v>
      </c>
      <c r="AU20" s="439" t="s">
        <v>1030</v>
      </c>
      <c r="AV20" s="439" t="s">
        <v>1030</v>
      </c>
      <c r="AW20" s="439" t="s">
        <v>1030</v>
      </c>
      <c r="AX20" s="439" t="s">
        <v>1030</v>
      </c>
      <c r="AY20" s="441">
        <v>0</v>
      </c>
      <c r="AZ20" s="439" t="s">
        <v>1029</v>
      </c>
      <c r="BA20" s="441">
        <v>15</v>
      </c>
      <c r="BB20" s="439" t="s">
        <v>1052</v>
      </c>
      <c r="BC20" s="441">
        <v>2</v>
      </c>
      <c r="BD20" s="439" t="s">
        <v>1029</v>
      </c>
      <c r="BE20" s="441">
        <v>17</v>
      </c>
      <c r="BF20" s="441">
        <v>28</v>
      </c>
      <c r="BG20" s="441">
        <v>5</v>
      </c>
      <c r="BH20" s="441">
        <v>33</v>
      </c>
      <c r="BI20" s="439" t="s">
        <v>1053</v>
      </c>
      <c r="BJ20" s="439" t="s">
        <v>1053</v>
      </c>
      <c r="BK20" s="439" t="s">
        <v>1049</v>
      </c>
      <c r="BL20" s="440">
        <v>0</v>
      </c>
      <c r="BM20" s="439" t="s">
        <v>1029</v>
      </c>
      <c r="BN20" s="440">
        <v>0</v>
      </c>
      <c r="BO20" s="440">
        <v>0</v>
      </c>
      <c r="BP20" s="440">
        <v>0</v>
      </c>
      <c r="BQ20" s="440">
        <v>0</v>
      </c>
      <c r="BR20" s="440">
        <v>0</v>
      </c>
      <c r="BS20" s="444">
        <v>0</v>
      </c>
      <c r="BT20" s="439" t="s">
        <v>1029</v>
      </c>
      <c r="BU20" s="439" t="s">
        <v>1029</v>
      </c>
      <c r="BV20" s="439" t="s">
        <v>1029</v>
      </c>
      <c r="BW20" s="440">
        <v>0</v>
      </c>
      <c r="BX20" s="440">
        <v>0</v>
      </c>
      <c r="BY20" s="440">
        <v>0</v>
      </c>
      <c r="BZ20" s="440">
        <v>0</v>
      </c>
      <c r="CA20" s="441">
        <v>0</v>
      </c>
      <c r="CB20" s="441">
        <v>0</v>
      </c>
      <c r="CC20" s="440">
        <v>0</v>
      </c>
      <c r="CD20" s="439" t="s">
        <v>1029</v>
      </c>
      <c r="CE20" s="439" t="s">
        <v>1029</v>
      </c>
      <c r="CF20" s="441">
        <v>0</v>
      </c>
      <c r="CG20" s="441">
        <v>0</v>
      </c>
      <c r="CH20" s="441">
        <v>10</v>
      </c>
      <c r="CI20" s="441">
        <v>17</v>
      </c>
      <c r="CJ20" s="439" t="s">
        <v>1053</v>
      </c>
      <c r="CK20" s="439" t="s">
        <v>1054</v>
      </c>
      <c r="CL20" s="439" t="s">
        <v>1053</v>
      </c>
      <c r="CM20" s="439" t="s">
        <v>1055</v>
      </c>
      <c r="CN20" s="439" t="s">
        <v>1029</v>
      </c>
      <c r="CO20" s="439" t="s">
        <v>1054</v>
      </c>
      <c r="CP20" s="441">
        <v>0</v>
      </c>
      <c r="CQ20" s="439" t="s">
        <v>1029</v>
      </c>
      <c r="CR20" s="441">
        <v>0</v>
      </c>
      <c r="CS20" s="439" t="s">
        <v>1029</v>
      </c>
      <c r="CT20" s="441">
        <v>0</v>
      </c>
      <c r="CU20" s="439" t="s">
        <v>1029</v>
      </c>
      <c r="CV20" s="439" t="s">
        <v>1029</v>
      </c>
      <c r="CW20" s="441">
        <v>0</v>
      </c>
      <c r="CX20" s="439" t="s">
        <v>1029</v>
      </c>
      <c r="CY20" s="441">
        <v>0</v>
      </c>
      <c r="CZ20" s="439" t="s">
        <v>1029</v>
      </c>
      <c r="DA20" s="441">
        <v>0</v>
      </c>
      <c r="DB20" s="439" t="s">
        <v>1029</v>
      </c>
      <c r="DC20" s="439" t="s">
        <v>1049</v>
      </c>
      <c r="DD20" s="439" t="s">
        <v>1049</v>
      </c>
      <c r="DE20" s="439" t="s">
        <v>1029</v>
      </c>
      <c r="DF20" s="439"/>
    </row>
    <row customHeight="true" ht="16.296296296296294" r="21">
      <c r="A21" s="439" t="s">
        <v>1056</v>
      </c>
      <c r="B21" s="439" t="s">
        <v>1026</v>
      </c>
      <c r="C21" s="439" t="s">
        <v>1027</v>
      </c>
      <c r="D21" s="439" t="s">
        <v>1027</v>
      </c>
      <c r="E21" s="439" t="s">
        <v>1026</v>
      </c>
      <c r="F21" s="439" t="s">
        <v>1028</v>
      </c>
      <c r="G21" s="440">
        <v>54.99</v>
      </c>
      <c r="H21" s="440">
        <v>64.99</v>
      </c>
      <c r="I21" s="441">
        <v>201</v>
      </c>
      <c r="J21" s="441">
        <v>0</v>
      </c>
      <c r="K21" s="441">
        <v>0</v>
      </c>
      <c r="L21" s="441">
        <v>0</v>
      </c>
      <c r="M21" s="441">
        <v>0</v>
      </c>
      <c r="N21" s="441">
        <v>0</v>
      </c>
      <c r="O21" s="441">
        <v>201</v>
      </c>
      <c r="P21" s="441">
        <v>0</v>
      </c>
      <c r="Q21" s="440">
        <v>0</v>
      </c>
      <c r="R21" s="441">
        <v>0</v>
      </c>
      <c r="S21" s="440">
        <v>0</v>
      </c>
      <c r="T21" s="439" t="s">
        <v>1029</v>
      </c>
      <c r="U21" s="439" t="s">
        <v>1029</v>
      </c>
      <c r="V21" s="439" t="s">
        <v>1029</v>
      </c>
      <c r="W21" s="439" t="s">
        <v>1029</v>
      </c>
      <c r="X21" s="439" t="s">
        <v>1029</v>
      </c>
      <c r="Y21" s="439" t="s">
        <v>1029</v>
      </c>
      <c r="Z21" s="441">
        <v>0</v>
      </c>
      <c r="AA21" s="440">
        <v>0</v>
      </c>
      <c r="AB21" s="441">
        <v>0</v>
      </c>
      <c r="AC21" s="440">
        <v>0</v>
      </c>
      <c r="AD21" s="441">
        <v>0</v>
      </c>
      <c r="AE21" s="440">
        <v>0</v>
      </c>
      <c r="AF21" s="441">
        <v>0</v>
      </c>
      <c r="AG21" s="440">
        <v>0</v>
      </c>
      <c r="AH21" s="442">
        <v>0</v>
      </c>
      <c r="AI21" s="440">
        <v>0</v>
      </c>
      <c r="AJ21" s="442">
        <v>0</v>
      </c>
      <c r="AK21" s="440">
        <v>0</v>
      </c>
      <c r="AL21" s="439"/>
      <c r="AM21" s="439"/>
      <c r="AN21" s="441">
        <v>0</v>
      </c>
      <c r="AO21" s="440">
        <v>0</v>
      </c>
      <c r="AP21" s="439" t="s">
        <v>1029</v>
      </c>
      <c r="AQ21" s="443">
        <v>0</v>
      </c>
      <c r="AR21" s="441">
        <v>0</v>
      </c>
      <c r="AS21" s="439" t="s">
        <v>1029</v>
      </c>
      <c r="AT21" s="439" t="s">
        <v>1030</v>
      </c>
      <c r="AU21" s="439" t="s">
        <v>1030</v>
      </c>
      <c r="AV21" s="439" t="s">
        <v>1030</v>
      </c>
      <c r="AW21" s="439" t="s">
        <v>1030</v>
      </c>
      <c r="AX21" s="439" t="s">
        <v>1030</v>
      </c>
      <c r="AY21" s="441">
        <v>0</v>
      </c>
      <c r="AZ21" s="439" t="s">
        <v>1029</v>
      </c>
      <c r="BA21" s="441">
        <v>1</v>
      </c>
      <c r="BB21" s="439" t="s">
        <v>1057</v>
      </c>
      <c r="BC21" s="441">
        <v>0</v>
      </c>
      <c r="BD21" s="439" t="s">
        <v>1029</v>
      </c>
      <c r="BE21" s="441">
        <v>1</v>
      </c>
      <c r="BF21" s="441">
        <v>1</v>
      </c>
      <c r="BG21" s="441">
        <v>0</v>
      </c>
      <c r="BH21" s="441">
        <v>1</v>
      </c>
      <c r="BI21" s="439" t="s">
        <v>1029</v>
      </c>
      <c r="BJ21" s="439" t="s">
        <v>1029</v>
      </c>
      <c r="BK21" s="439" t="s">
        <v>1049</v>
      </c>
      <c r="BL21" s="440">
        <v>0</v>
      </c>
      <c r="BM21" s="439" t="s">
        <v>1029</v>
      </c>
      <c r="BN21" s="440">
        <v>0</v>
      </c>
      <c r="BO21" s="440">
        <v>0</v>
      </c>
      <c r="BP21" s="440">
        <v>0</v>
      </c>
      <c r="BQ21" s="440">
        <v>0</v>
      </c>
      <c r="BR21" s="440">
        <v>0</v>
      </c>
      <c r="BS21" s="444">
        <v>0</v>
      </c>
      <c r="BT21" s="439" t="s">
        <v>1029</v>
      </c>
      <c r="BU21" s="439" t="s">
        <v>1029</v>
      </c>
      <c r="BV21" s="439" t="s">
        <v>1029</v>
      </c>
      <c r="BW21" s="440">
        <v>0</v>
      </c>
      <c r="BX21" s="440">
        <v>0</v>
      </c>
      <c r="BY21" s="440">
        <v>0</v>
      </c>
      <c r="BZ21" s="440">
        <v>0</v>
      </c>
      <c r="CA21" s="441">
        <v>0</v>
      </c>
      <c r="CB21" s="441">
        <v>0</v>
      </c>
      <c r="CC21" s="440">
        <v>0</v>
      </c>
      <c r="CD21" s="439" t="s">
        <v>1029</v>
      </c>
      <c r="CE21" s="439" t="s">
        <v>1029</v>
      </c>
      <c r="CF21" s="441">
        <v>0</v>
      </c>
      <c r="CG21" s="441">
        <v>0</v>
      </c>
      <c r="CH21" s="441">
        <v>0</v>
      </c>
      <c r="CI21" s="441">
        <v>1</v>
      </c>
      <c r="CJ21" s="439" t="s">
        <v>1029</v>
      </c>
      <c r="CK21" s="439" t="s">
        <v>1029</v>
      </c>
      <c r="CL21" s="439" t="s">
        <v>1029</v>
      </c>
      <c r="CM21" s="439" t="s">
        <v>1058</v>
      </c>
      <c r="CN21" s="439" t="s">
        <v>1029</v>
      </c>
      <c r="CO21" s="439" t="s">
        <v>1029</v>
      </c>
      <c r="CP21" s="441">
        <v>0</v>
      </c>
      <c r="CQ21" s="439" t="s">
        <v>1029</v>
      </c>
      <c r="CR21" s="441">
        <v>0</v>
      </c>
      <c r="CS21" s="439" t="s">
        <v>1029</v>
      </c>
      <c r="CT21" s="441">
        <v>0</v>
      </c>
      <c r="CU21" s="439" t="s">
        <v>1029</v>
      </c>
      <c r="CV21" s="439" t="s">
        <v>1029</v>
      </c>
      <c r="CW21" s="441">
        <v>0</v>
      </c>
      <c r="CX21" s="439" t="s">
        <v>1029</v>
      </c>
      <c r="CY21" s="441">
        <v>0</v>
      </c>
      <c r="CZ21" s="439" t="s">
        <v>1029</v>
      </c>
      <c r="DA21" s="441">
        <v>0</v>
      </c>
      <c r="DB21" s="439" t="s">
        <v>1029</v>
      </c>
      <c r="DC21" s="439" t="s">
        <v>1029</v>
      </c>
      <c r="DD21" s="439" t="s">
        <v>1029</v>
      </c>
      <c r="DE21" s="439" t="s">
        <v>1029</v>
      </c>
      <c r="DF21" s="439"/>
    </row>
    <row customHeight="true" ht="16.296296296296294" r="22">
      <c r="A22" s="439" t="s">
        <v>1059</v>
      </c>
      <c r="B22" s="439" t="s">
        <v>1026</v>
      </c>
      <c r="C22" s="439" t="s">
        <v>1027</v>
      </c>
      <c r="D22" s="439" t="s">
        <v>1027</v>
      </c>
      <c r="E22" s="439" t="s">
        <v>1026</v>
      </c>
      <c r="F22" s="439" t="s">
        <v>1028</v>
      </c>
      <c r="G22" s="440">
        <v>54.99</v>
      </c>
      <c r="H22" s="440">
        <v>64.99</v>
      </c>
      <c r="I22" s="441">
        <v>200</v>
      </c>
      <c r="J22" s="441">
        <v>0</v>
      </c>
      <c r="K22" s="441">
        <v>0</v>
      </c>
      <c r="L22" s="441">
        <v>0</v>
      </c>
      <c r="M22" s="441">
        <v>0</v>
      </c>
      <c r="N22" s="441">
        <v>0</v>
      </c>
      <c r="O22" s="441">
        <v>200</v>
      </c>
      <c r="P22" s="441">
        <v>0</v>
      </c>
      <c r="Q22" s="440">
        <v>0</v>
      </c>
      <c r="R22" s="441">
        <v>0</v>
      </c>
      <c r="S22" s="440">
        <v>0</v>
      </c>
      <c r="T22" s="439" t="s">
        <v>1029</v>
      </c>
      <c r="U22" s="439" t="s">
        <v>1029</v>
      </c>
      <c r="V22" s="439" t="s">
        <v>1029</v>
      </c>
      <c r="W22" s="439" t="s">
        <v>1029</v>
      </c>
      <c r="X22" s="439" t="s">
        <v>1029</v>
      </c>
      <c r="Y22" s="439" t="s">
        <v>1029</v>
      </c>
      <c r="Z22" s="441">
        <v>0</v>
      </c>
      <c r="AA22" s="440">
        <v>0</v>
      </c>
      <c r="AB22" s="441">
        <v>0</v>
      </c>
      <c r="AC22" s="440">
        <v>0</v>
      </c>
      <c r="AD22" s="441">
        <v>0</v>
      </c>
      <c r="AE22" s="440">
        <v>0</v>
      </c>
      <c r="AF22" s="441">
        <v>0</v>
      </c>
      <c r="AG22" s="440">
        <v>0</v>
      </c>
      <c r="AH22" s="442">
        <v>0</v>
      </c>
      <c r="AI22" s="440">
        <v>0</v>
      </c>
      <c r="AJ22" s="442">
        <v>0</v>
      </c>
      <c r="AK22" s="440">
        <v>0</v>
      </c>
      <c r="AL22" s="439"/>
      <c r="AM22" s="439"/>
      <c r="AN22" s="441">
        <v>0</v>
      </c>
      <c r="AO22" s="440">
        <v>0</v>
      </c>
      <c r="AP22" s="439" t="s">
        <v>1029</v>
      </c>
      <c r="AQ22" s="443">
        <v>0</v>
      </c>
      <c r="AR22" s="441">
        <v>0</v>
      </c>
      <c r="AS22" s="439" t="s">
        <v>1029</v>
      </c>
      <c r="AT22" s="439" t="s">
        <v>1030</v>
      </c>
      <c r="AU22" s="439" t="s">
        <v>1030</v>
      </c>
      <c r="AV22" s="439" t="s">
        <v>1030</v>
      </c>
      <c r="AW22" s="439" t="s">
        <v>1030</v>
      </c>
      <c r="AX22" s="439" t="s">
        <v>1030</v>
      </c>
      <c r="AY22" s="441">
        <v>0</v>
      </c>
      <c r="AZ22" s="439" t="s">
        <v>1029</v>
      </c>
      <c r="BA22" s="441">
        <v>1</v>
      </c>
      <c r="BB22" s="439" t="s">
        <v>1050</v>
      </c>
      <c r="BC22" s="441">
        <v>0</v>
      </c>
      <c r="BD22" s="439" t="s">
        <v>1029</v>
      </c>
      <c r="BE22" s="441">
        <v>1</v>
      </c>
      <c r="BF22" s="441">
        <v>1</v>
      </c>
      <c r="BG22" s="441">
        <v>0</v>
      </c>
      <c r="BH22" s="441">
        <v>1</v>
      </c>
      <c r="BI22" s="439" t="s">
        <v>1029</v>
      </c>
      <c r="BJ22" s="439" t="s">
        <v>1029</v>
      </c>
      <c r="BK22" s="439" t="s">
        <v>1049</v>
      </c>
      <c r="BL22" s="440">
        <v>0</v>
      </c>
      <c r="BM22" s="439" t="s">
        <v>1029</v>
      </c>
      <c r="BN22" s="440">
        <v>0</v>
      </c>
      <c r="BO22" s="440">
        <v>0</v>
      </c>
      <c r="BP22" s="440">
        <v>0</v>
      </c>
      <c r="BQ22" s="440">
        <v>0</v>
      </c>
      <c r="BR22" s="440">
        <v>0</v>
      </c>
      <c r="BS22" s="444">
        <v>0</v>
      </c>
      <c r="BT22" s="439" t="s">
        <v>1029</v>
      </c>
      <c r="BU22" s="439" t="s">
        <v>1029</v>
      </c>
      <c r="BV22" s="439" t="s">
        <v>1029</v>
      </c>
      <c r="BW22" s="440">
        <v>0</v>
      </c>
      <c r="BX22" s="440">
        <v>0</v>
      </c>
      <c r="BY22" s="440">
        <v>0</v>
      </c>
      <c r="BZ22" s="440">
        <v>0</v>
      </c>
      <c r="CA22" s="441">
        <v>0</v>
      </c>
      <c r="CB22" s="441">
        <v>0</v>
      </c>
      <c r="CC22" s="440">
        <v>0</v>
      </c>
      <c r="CD22" s="439" t="s">
        <v>1029</v>
      </c>
      <c r="CE22" s="439" t="s">
        <v>1029</v>
      </c>
      <c r="CF22" s="441">
        <v>0</v>
      </c>
      <c r="CG22" s="441">
        <v>0</v>
      </c>
      <c r="CH22" s="441">
        <v>0</v>
      </c>
      <c r="CI22" s="441">
        <v>1</v>
      </c>
      <c r="CJ22" s="439" t="s">
        <v>1029</v>
      </c>
      <c r="CK22" s="439" t="s">
        <v>1029</v>
      </c>
      <c r="CL22" s="439" t="s">
        <v>1029</v>
      </c>
      <c r="CM22" s="439" t="s">
        <v>1058</v>
      </c>
      <c r="CN22" s="439" t="s">
        <v>1029</v>
      </c>
      <c r="CO22" s="439" t="s">
        <v>1029</v>
      </c>
      <c r="CP22" s="441">
        <v>0</v>
      </c>
      <c r="CQ22" s="439" t="s">
        <v>1029</v>
      </c>
      <c r="CR22" s="441">
        <v>0</v>
      </c>
      <c r="CS22" s="439" t="s">
        <v>1029</v>
      </c>
      <c r="CT22" s="441">
        <v>0</v>
      </c>
      <c r="CU22" s="439" t="s">
        <v>1029</v>
      </c>
      <c r="CV22" s="439" t="s">
        <v>1029</v>
      </c>
      <c r="CW22" s="441">
        <v>0</v>
      </c>
      <c r="CX22" s="439" t="s">
        <v>1029</v>
      </c>
      <c r="CY22" s="441">
        <v>0</v>
      </c>
      <c r="CZ22" s="439" t="s">
        <v>1029</v>
      </c>
      <c r="DA22" s="441">
        <v>0</v>
      </c>
      <c r="DB22" s="439" t="s">
        <v>1029</v>
      </c>
      <c r="DC22" s="439" t="s">
        <v>1029</v>
      </c>
      <c r="DD22" s="439" t="s">
        <v>1029</v>
      </c>
      <c r="DE22" s="439" t="s">
        <v>1029</v>
      </c>
      <c r="DF22" s="439"/>
    </row>
    <row customHeight="true" ht="16.296296296296294" r="23">
      <c r="A23" s="439" t="s">
        <v>1060</v>
      </c>
      <c r="B23" s="439" t="s">
        <v>1026</v>
      </c>
      <c r="C23" s="439" t="s">
        <v>1027</v>
      </c>
      <c r="D23" s="439" t="s">
        <v>1027</v>
      </c>
      <c r="E23" s="439" t="s">
        <v>1026</v>
      </c>
      <c r="F23" s="439" t="s">
        <v>1028</v>
      </c>
      <c r="G23" s="440">
        <v>54.99</v>
      </c>
      <c r="H23" s="440">
        <v>54.99</v>
      </c>
      <c r="I23" s="441">
        <v>198</v>
      </c>
      <c r="J23" s="441">
        <v>0</v>
      </c>
      <c r="K23" s="441">
        <v>0</v>
      </c>
      <c r="L23" s="441">
        <v>0</v>
      </c>
      <c r="M23" s="441">
        <v>0</v>
      </c>
      <c r="N23" s="441">
        <v>0</v>
      </c>
      <c r="O23" s="441">
        <v>198</v>
      </c>
      <c r="P23" s="441">
        <v>0</v>
      </c>
      <c r="Q23" s="440">
        <v>0</v>
      </c>
      <c r="R23" s="441">
        <v>0</v>
      </c>
      <c r="S23" s="440">
        <v>0</v>
      </c>
      <c r="T23" s="439" t="s">
        <v>1029</v>
      </c>
      <c r="U23" s="439" t="s">
        <v>1029</v>
      </c>
      <c r="V23" s="439" t="s">
        <v>1029</v>
      </c>
      <c r="W23" s="439" t="s">
        <v>1029</v>
      </c>
      <c r="X23" s="439" t="s">
        <v>1029</v>
      </c>
      <c r="Y23" s="439" t="s">
        <v>1029</v>
      </c>
      <c r="Z23" s="441">
        <v>0</v>
      </c>
      <c r="AA23" s="440">
        <v>0</v>
      </c>
      <c r="AB23" s="441">
        <v>0</v>
      </c>
      <c r="AC23" s="440">
        <v>0</v>
      </c>
      <c r="AD23" s="441">
        <v>0</v>
      </c>
      <c r="AE23" s="440">
        <v>0</v>
      </c>
      <c r="AF23" s="441">
        <v>0</v>
      </c>
      <c r="AG23" s="440">
        <v>0</v>
      </c>
      <c r="AH23" s="442">
        <v>0</v>
      </c>
      <c r="AI23" s="440">
        <v>0</v>
      </c>
      <c r="AJ23" s="442">
        <v>0</v>
      </c>
      <c r="AK23" s="440">
        <v>0</v>
      </c>
      <c r="AL23" s="439"/>
      <c r="AM23" s="439"/>
      <c r="AN23" s="441">
        <v>0</v>
      </c>
      <c r="AO23" s="440">
        <v>0</v>
      </c>
      <c r="AP23" s="439" t="s">
        <v>1029</v>
      </c>
      <c r="AQ23" s="443">
        <v>0</v>
      </c>
      <c r="AR23" s="441">
        <v>0</v>
      </c>
      <c r="AS23" s="439" t="s">
        <v>1029</v>
      </c>
      <c r="AT23" s="439" t="s">
        <v>1030</v>
      </c>
      <c r="AU23" s="439" t="s">
        <v>1030</v>
      </c>
      <c r="AV23" s="439" t="s">
        <v>1030</v>
      </c>
      <c r="AW23" s="439" t="s">
        <v>1030</v>
      </c>
      <c r="AX23" s="439" t="s">
        <v>1030</v>
      </c>
      <c r="AY23" s="441">
        <v>0</v>
      </c>
      <c r="AZ23" s="439" t="s">
        <v>1029</v>
      </c>
      <c r="BA23" s="441">
        <v>3</v>
      </c>
      <c r="BB23" s="439" t="s">
        <v>1061</v>
      </c>
      <c r="BC23" s="441">
        <v>3</v>
      </c>
      <c r="BD23" s="439" t="s">
        <v>1029</v>
      </c>
      <c r="BE23" s="441">
        <v>6</v>
      </c>
      <c r="BF23" s="441">
        <v>12</v>
      </c>
      <c r="BG23" s="441">
        <v>6</v>
      </c>
      <c r="BH23" s="441">
        <v>18</v>
      </c>
      <c r="BI23" s="439" t="s">
        <v>1029</v>
      </c>
      <c r="BJ23" s="439" t="s">
        <v>1029</v>
      </c>
      <c r="BK23" s="439" t="s">
        <v>1062</v>
      </c>
      <c r="BL23" s="440">
        <v>0</v>
      </c>
      <c r="BM23" s="439" t="s">
        <v>1029</v>
      </c>
      <c r="BN23" s="440">
        <v>0</v>
      </c>
      <c r="BO23" s="440">
        <v>0</v>
      </c>
      <c r="BP23" s="440">
        <v>0</v>
      </c>
      <c r="BQ23" s="440">
        <v>0</v>
      </c>
      <c r="BR23" s="440">
        <v>0</v>
      </c>
      <c r="BS23" s="444">
        <v>0</v>
      </c>
      <c r="BT23" s="439" t="s">
        <v>1029</v>
      </c>
      <c r="BU23" s="439" t="s">
        <v>1029</v>
      </c>
      <c r="BV23" s="439" t="s">
        <v>1029</v>
      </c>
      <c r="BW23" s="440">
        <v>0</v>
      </c>
      <c r="BX23" s="440">
        <v>0</v>
      </c>
      <c r="BY23" s="440">
        <v>0</v>
      </c>
      <c r="BZ23" s="440">
        <v>0</v>
      </c>
      <c r="CA23" s="441">
        <v>0</v>
      </c>
      <c r="CB23" s="441">
        <v>0</v>
      </c>
      <c r="CC23" s="440">
        <v>0</v>
      </c>
      <c r="CD23" s="439" t="s">
        <v>1029</v>
      </c>
      <c r="CE23" s="439" t="s">
        <v>1029</v>
      </c>
      <c r="CF23" s="441">
        <v>0</v>
      </c>
      <c r="CG23" s="441">
        <v>0</v>
      </c>
      <c r="CH23" s="441">
        <v>0</v>
      </c>
      <c r="CI23" s="441">
        <v>6</v>
      </c>
      <c r="CJ23" s="439" t="s">
        <v>1029</v>
      </c>
      <c r="CK23" s="439" t="s">
        <v>1029</v>
      </c>
      <c r="CL23" s="439" t="s">
        <v>1029</v>
      </c>
      <c r="CM23" s="439" t="s">
        <v>1063</v>
      </c>
      <c r="CN23" s="439" t="s">
        <v>1029</v>
      </c>
      <c r="CO23" s="439" t="s">
        <v>1054</v>
      </c>
      <c r="CP23" s="441">
        <v>0</v>
      </c>
      <c r="CQ23" s="439" t="s">
        <v>1029</v>
      </c>
      <c r="CR23" s="441">
        <v>0</v>
      </c>
      <c r="CS23" s="439" t="s">
        <v>1029</v>
      </c>
      <c r="CT23" s="441">
        <v>0</v>
      </c>
      <c r="CU23" s="439" t="s">
        <v>1029</v>
      </c>
      <c r="CV23" s="439" t="s">
        <v>1029</v>
      </c>
      <c r="CW23" s="441">
        <v>0</v>
      </c>
      <c r="CX23" s="439" t="s">
        <v>1029</v>
      </c>
      <c r="CY23" s="441">
        <v>0</v>
      </c>
      <c r="CZ23" s="439" t="s">
        <v>1029</v>
      </c>
      <c r="DA23" s="441">
        <v>0</v>
      </c>
      <c r="DB23" s="439" t="s">
        <v>1029</v>
      </c>
      <c r="DC23" s="439" t="s">
        <v>1029</v>
      </c>
      <c r="DD23" s="439" t="s">
        <v>1029</v>
      </c>
      <c r="DE23" s="439" t="s">
        <v>1029</v>
      </c>
      <c r="DF23" s="439"/>
    </row>
    <row customHeight="true" ht="16.296296296296294" r="24">
      <c r="A24" s="439" t="s">
        <v>1064</v>
      </c>
      <c r="B24" s="439" t="s">
        <v>1026</v>
      </c>
      <c r="C24" s="439" t="s">
        <v>1027</v>
      </c>
      <c r="D24" s="439" t="s">
        <v>1027</v>
      </c>
      <c r="E24" s="439" t="s">
        <v>1026</v>
      </c>
      <c r="F24" s="439" t="s">
        <v>1028</v>
      </c>
      <c r="G24" s="440">
        <v>54.99</v>
      </c>
      <c r="H24" s="440">
        <v>54.99</v>
      </c>
      <c r="I24" s="441">
        <v>192</v>
      </c>
      <c r="J24" s="441">
        <v>0</v>
      </c>
      <c r="K24" s="441">
        <v>0</v>
      </c>
      <c r="L24" s="441">
        <v>0</v>
      </c>
      <c r="M24" s="441">
        <v>0</v>
      </c>
      <c r="N24" s="441">
        <v>0</v>
      </c>
      <c r="O24" s="441">
        <v>192</v>
      </c>
      <c r="P24" s="441">
        <v>1</v>
      </c>
      <c r="Q24" s="440">
        <v>54.99</v>
      </c>
      <c r="R24" s="441">
        <v>1</v>
      </c>
      <c r="S24" s="440">
        <v>54.99</v>
      </c>
      <c r="T24" s="439" t="s">
        <v>1029</v>
      </c>
      <c r="U24" s="439" t="s">
        <v>1049</v>
      </c>
      <c r="V24" s="439" t="s">
        <v>1029</v>
      </c>
      <c r="W24" s="439" t="s">
        <v>1029</v>
      </c>
      <c r="X24" s="439" t="s">
        <v>1049</v>
      </c>
      <c r="Y24" s="439" t="s">
        <v>1029</v>
      </c>
      <c r="Z24" s="441">
        <v>0</v>
      </c>
      <c r="AA24" s="440">
        <v>0</v>
      </c>
      <c r="AB24" s="441">
        <v>0</v>
      </c>
      <c r="AC24" s="440">
        <v>0</v>
      </c>
      <c r="AD24" s="441">
        <v>0</v>
      </c>
      <c r="AE24" s="440">
        <v>0</v>
      </c>
      <c r="AF24" s="441">
        <v>0</v>
      </c>
      <c r="AG24" s="440">
        <v>0</v>
      </c>
      <c r="AH24" s="442">
        <v>1</v>
      </c>
      <c r="AI24" s="440">
        <v>54.99</v>
      </c>
      <c r="AJ24" s="442">
        <v>1</v>
      </c>
      <c r="AK24" s="440">
        <v>54.99</v>
      </c>
      <c r="AL24" s="439" t="s">
        <v>1065</v>
      </c>
      <c r="AM24" s="439" t="s">
        <v>1066</v>
      </c>
      <c r="AN24" s="441">
        <v>0</v>
      </c>
      <c r="AO24" s="440">
        <v>0</v>
      </c>
      <c r="AP24" s="439" t="s">
        <v>1029</v>
      </c>
      <c r="AQ24" s="443">
        <v>0</v>
      </c>
      <c r="AR24" s="441">
        <v>0</v>
      </c>
      <c r="AS24" s="439" t="s">
        <v>1029</v>
      </c>
      <c r="AT24" s="439" t="s">
        <v>1030</v>
      </c>
      <c r="AU24" s="439" t="s">
        <v>1030</v>
      </c>
      <c r="AV24" s="439" t="s">
        <v>1030</v>
      </c>
      <c r="AW24" s="439" t="s">
        <v>1030</v>
      </c>
      <c r="AX24" s="439" t="s">
        <v>1030</v>
      </c>
      <c r="AY24" s="441">
        <v>0</v>
      </c>
      <c r="AZ24" s="439" t="s">
        <v>1029</v>
      </c>
      <c r="BA24" s="441">
        <v>0</v>
      </c>
      <c r="BB24" s="439" t="s">
        <v>1029</v>
      </c>
      <c r="BC24" s="441">
        <v>0</v>
      </c>
      <c r="BD24" s="439" t="s">
        <v>1029</v>
      </c>
      <c r="BE24" s="441">
        <v>0</v>
      </c>
      <c r="BF24" s="441">
        <v>0</v>
      </c>
      <c r="BG24" s="441">
        <v>0</v>
      </c>
      <c r="BH24" s="441">
        <v>0</v>
      </c>
      <c r="BI24" s="439" t="s">
        <v>1029</v>
      </c>
      <c r="BJ24" s="439" t="s">
        <v>1029</v>
      </c>
      <c r="BK24" s="439" t="s">
        <v>1029</v>
      </c>
      <c r="BL24" s="440">
        <v>0</v>
      </c>
      <c r="BM24" s="439" t="s">
        <v>1029</v>
      </c>
      <c r="BN24" s="440">
        <v>0</v>
      </c>
      <c r="BO24" s="440">
        <v>0</v>
      </c>
      <c r="BP24" s="440">
        <v>0</v>
      </c>
      <c r="BQ24" s="440">
        <v>0</v>
      </c>
      <c r="BR24" s="440">
        <v>0</v>
      </c>
      <c r="BS24" s="444">
        <v>0</v>
      </c>
      <c r="BT24" s="439" t="s">
        <v>1029</v>
      </c>
      <c r="BU24" s="439" t="s">
        <v>1029</v>
      </c>
      <c r="BV24" s="439" t="s">
        <v>1029</v>
      </c>
      <c r="BW24" s="440">
        <v>0</v>
      </c>
      <c r="BX24" s="440">
        <v>0</v>
      </c>
      <c r="BY24" s="440">
        <v>0</v>
      </c>
      <c r="BZ24" s="440">
        <v>0</v>
      </c>
      <c r="CA24" s="441">
        <v>0</v>
      </c>
      <c r="CB24" s="441">
        <v>0</v>
      </c>
      <c r="CC24" s="440">
        <v>0</v>
      </c>
      <c r="CD24" s="439" t="s">
        <v>1029</v>
      </c>
      <c r="CE24" s="439" t="s">
        <v>1029</v>
      </c>
      <c r="CF24" s="441">
        <v>0</v>
      </c>
      <c r="CG24" s="441">
        <v>0</v>
      </c>
      <c r="CH24" s="441">
        <v>1</v>
      </c>
      <c r="CI24" s="441">
        <v>0</v>
      </c>
      <c r="CJ24" s="439" t="s">
        <v>1049</v>
      </c>
      <c r="CK24" s="439" t="s">
        <v>1029</v>
      </c>
      <c r="CL24" s="439" t="s">
        <v>1029</v>
      </c>
      <c r="CM24" s="439" t="s">
        <v>1029</v>
      </c>
      <c r="CN24" s="439" t="s">
        <v>1029</v>
      </c>
      <c r="CO24" s="439" t="s">
        <v>1029</v>
      </c>
      <c r="CP24" s="441">
        <v>0</v>
      </c>
      <c r="CQ24" s="439" t="s">
        <v>1029</v>
      </c>
      <c r="CR24" s="441">
        <v>0</v>
      </c>
      <c r="CS24" s="439" t="s">
        <v>1029</v>
      </c>
      <c r="CT24" s="441">
        <v>0</v>
      </c>
      <c r="CU24" s="439" t="s">
        <v>1029</v>
      </c>
      <c r="CV24" s="439" t="s">
        <v>1029</v>
      </c>
      <c r="CW24" s="441">
        <v>0</v>
      </c>
      <c r="CX24" s="439" t="s">
        <v>1029</v>
      </c>
      <c r="CY24" s="441">
        <v>0</v>
      </c>
      <c r="CZ24" s="439" t="s">
        <v>1029</v>
      </c>
      <c r="DA24" s="441">
        <v>0</v>
      </c>
      <c r="DB24" s="439" t="s">
        <v>1029</v>
      </c>
      <c r="DC24" s="439" t="s">
        <v>1029</v>
      </c>
      <c r="DD24" s="439" t="s">
        <v>1029</v>
      </c>
      <c r="DE24" s="439" t="s">
        <v>1029</v>
      </c>
      <c r="DF24" s="439"/>
    </row>
    <row customHeight="true" ht="19.25925925925926" r="25">
      <c r="A25" s="439" t="s">
        <v>1067</v>
      </c>
      <c r="B25" s="439" t="s">
        <v>1026</v>
      </c>
      <c r="C25" s="439" t="s">
        <v>1027</v>
      </c>
      <c r="D25" s="439" t="s">
        <v>1027</v>
      </c>
      <c r="E25" s="439" t="s">
        <v>1026</v>
      </c>
      <c r="F25" s="439" t="s">
        <v>1028</v>
      </c>
      <c r="G25" s="440">
        <v>54.99</v>
      </c>
      <c r="H25" s="440">
        <v>54.99</v>
      </c>
      <c r="I25" s="441">
        <v>193</v>
      </c>
      <c r="J25" s="441">
        <v>0</v>
      </c>
      <c r="K25" s="441">
        <v>0</v>
      </c>
      <c r="L25" s="441">
        <v>0</v>
      </c>
      <c r="M25" s="441">
        <v>0</v>
      </c>
      <c r="N25" s="441">
        <v>0</v>
      </c>
      <c r="O25" s="441">
        <v>193</v>
      </c>
      <c r="P25" s="441">
        <v>0</v>
      </c>
      <c r="Q25" s="440">
        <v>0</v>
      </c>
      <c r="R25" s="441">
        <v>0</v>
      </c>
      <c r="S25" s="440">
        <v>0</v>
      </c>
      <c r="T25" s="439" t="s">
        <v>1029</v>
      </c>
      <c r="U25" s="439" t="s">
        <v>1029</v>
      </c>
      <c r="V25" s="439" t="s">
        <v>1029</v>
      </c>
      <c r="W25" s="439" t="s">
        <v>1029</v>
      </c>
      <c r="X25" s="439" t="s">
        <v>1029</v>
      </c>
      <c r="Y25" s="439" t="s">
        <v>1029</v>
      </c>
      <c r="Z25" s="441">
        <v>0</v>
      </c>
      <c r="AA25" s="440">
        <v>0</v>
      </c>
      <c r="AB25" s="441">
        <v>0</v>
      </c>
      <c r="AC25" s="440">
        <v>0</v>
      </c>
      <c r="AD25" s="441">
        <v>0</v>
      </c>
      <c r="AE25" s="440">
        <v>0</v>
      </c>
      <c r="AF25" s="441">
        <v>0</v>
      </c>
      <c r="AG25" s="440">
        <v>0</v>
      </c>
      <c r="AH25" s="442">
        <v>0</v>
      </c>
      <c r="AI25" s="440">
        <v>0</v>
      </c>
      <c r="AJ25" s="442">
        <v>0</v>
      </c>
      <c r="AK25" s="440">
        <v>0</v>
      </c>
      <c r="AL25" s="439" t="s">
        <v>1065</v>
      </c>
      <c r="AM25" s="439" t="s">
        <v>1066</v>
      </c>
      <c r="AN25" s="441">
        <v>0</v>
      </c>
      <c r="AO25" s="440">
        <v>0</v>
      </c>
      <c r="AP25" s="439" t="s">
        <v>1029</v>
      </c>
      <c r="AQ25" s="443">
        <v>0</v>
      </c>
      <c r="AR25" s="441">
        <v>0</v>
      </c>
      <c r="AS25" s="439" t="s">
        <v>1029</v>
      </c>
      <c r="AT25" s="439" t="s">
        <v>1030</v>
      </c>
      <c r="AU25" s="439" t="s">
        <v>1030</v>
      </c>
      <c r="AV25" s="439" t="s">
        <v>1030</v>
      </c>
      <c r="AW25" s="439" t="s">
        <v>1030</v>
      </c>
      <c r="AX25" s="439" t="s">
        <v>1030</v>
      </c>
      <c r="AY25" s="441">
        <v>0</v>
      </c>
      <c r="AZ25" s="439" t="s">
        <v>1029</v>
      </c>
      <c r="BA25" s="441">
        <v>0</v>
      </c>
      <c r="BB25" s="439" t="s">
        <v>1029</v>
      </c>
      <c r="BC25" s="441">
        <v>0</v>
      </c>
      <c r="BD25" s="439" t="s">
        <v>1029</v>
      </c>
      <c r="BE25" s="441">
        <v>0</v>
      </c>
      <c r="BF25" s="441">
        <v>0</v>
      </c>
      <c r="BG25" s="441">
        <v>0</v>
      </c>
      <c r="BH25" s="441">
        <v>0</v>
      </c>
      <c r="BI25" s="439" t="s">
        <v>1029</v>
      </c>
      <c r="BJ25" s="439" t="s">
        <v>1029</v>
      </c>
      <c r="BK25" s="439" t="s">
        <v>1029</v>
      </c>
      <c r="BL25" s="440">
        <v>0</v>
      </c>
      <c r="BM25" s="439" t="s">
        <v>1029</v>
      </c>
      <c r="BN25" s="440">
        <v>0</v>
      </c>
      <c r="BO25" s="440">
        <v>0</v>
      </c>
      <c r="BP25" s="440">
        <v>0</v>
      </c>
      <c r="BQ25" s="440">
        <v>0</v>
      </c>
      <c r="BR25" s="440">
        <v>0</v>
      </c>
      <c r="BS25" s="444">
        <v>0</v>
      </c>
      <c r="BT25" s="439" t="s">
        <v>1029</v>
      </c>
      <c r="BU25" s="439" t="s">
        <v>1029</v>
      </c>
      <c r="BV25" s="439" t="s">
        <v>1029</v>
      </c>
      <c r="BW25" s="440">
        <v>0</v>
      </c>
      <c r="BX25" s="440">
        <v>0</v>
      </c>
      <c r="BY25" s="440">
        <v>0</v>
      </c>
      <c r="BZ25" s="440">
        <v>0</v>
      </c>
      <c r="CA25" s="441">
        <v>0</v>
      </c>
      <c r="CB25" s="441">
        <v>0</v>
      </c>
      <c r="CC25" s="440">
        <v>0</v>
      </c>
      <c r="CD25" s="439" t="s">
        <v>1029</v>
      </c>
      <c r="CE25" s="439" t="s">
        <v>1029</v>
      </c>
      <c r="CF25" s="441">
        <v>0</v>
      </c>
      <c r="CG25" s="441">
        <v>0</v>
      </c>
      <c r="CH25" s="441">
        <v>0</v>
      </c>
      <c r="CI25" s="441">
        <v>0</v>
      </c>
      <c r="CJ25" s="439" t="s">
        <v>1029</v>
      </c>
      <c r="CK25" s="439" t="s">
        <v>1029</v>
      </c>
      <c r="CL25" s="439" t="s">
        <v>1029</v>
      </c>
      <c r="CM25" s="439" t="s">
        <v>1029</v>
      </c>
      <c r="CN25" s="439" t="s">
        <v>1029</v>
      </c>
      <c r="CO25" s="439" t="s">
        <v>1029</v>
      </c>
      <c r="CP25" s="441">
        <v>0</v>
      </c>
      <c r="CQ25" s="439" t="s">
        <v>1029</v>
      </c>
      <c r="CR25" s="441">
        <v>0</v>
      </c>
      <c r="CS25" s="439" t="s">
        <v>1029</v>
      </c>
      <c r="CT25" s="441">
        <v>0</v>
      </c>
      <c r="CU25" s="439" t="s">
        <v>1029</v>
      </c>
      <c r="CV25" s="439" t="s">
        <v>1029</v>
      </c>
      <c r="CW25" s="441">
        <v>0</v>
      </c>
      <c r="CX25" s="439" t="s">
        <v>1029</v>
      </c>
      <c r="CY25" s="441">
        <v>0</v>
      </c>
      <c r="CZ25" s="439" t="s">
        <v>1029</v>
      </c>
      <c r="DA25" s="441">
        <v>0</v>
      </c>
      <c r="DB25" s="439" t="s">
        <v>1029</v>
      </c>
      <c r="DC25" s="439" t="s">
        <v>1029</v>
      </c>
      <c r="DD25" s="439" t="s">
        <v>1029</v>
      </c>
      <c r="DE25" s="439" t="s">
        <v>1029</v>
      </c>
      <c r="DF25" s="439"/>
    </row>
    <row customHeight="true" ht="19.25925925925926" r="26">
      <c r="A26" s="439" t="s">
        <v>1067</v>
      </c>
      <c r="B26" s="439" t="s">
        <v>1026</v>
      </c>
      <c r="C26" s="439" t="s">
        <v>1027</v>
      </c>
      <c r="D26" s="439" t="s">
        <v>1027</v>
      </c>
      <c r="E26" s="439" t="s">
        <v>1026</v>
      </c>
      <c r="F26" s="439" t="s">
        <v>1028</v>
      </c>
      <c r="G26" s="440">
        <v>54.99</v>
      </c>
      <c r="H26" s="440">
        <v>54.99</v>
      </c>
      <c r="I26" s="441">
        <v>193</v>
      </c>
      <c r="J26" s="441">
        <v>0</v>
      </c>
      <c r="K26" s="441">
        <v>0</v>
      </c>
      <c r="L26" s="441">
        <v>0</v>
      </c>
      <c r="M26" s="441">
        <v>0</v>
      </c>
      <c r="N26" s="441">
        <v>0</v>
      </c>
      <c r="O26" s="441">
        <v>193</v>
      </c>
      <c r="P26" s="441">
        <v>0</v>
      </c>
      <c r="Q26" s="440">
        <v>0</v>
      </c>
      <c r="R26" s="441">
        <v>0</v>
      </c>
      <c r="S26" s="440">
        <v>0</v>
      </c>
      <c r="T26" s="439" t="s">
        <v>1029</v>
      </c>
      <c r="U26" s="439" t="s">
        <v>1029</v>
      </c>
      <c r="V26" s="439" t="s">
        <v>1029</v>
      </c>
      <c r="W26" s="439" t="s">
        <v>1029</v>
      </c>
      <c r="X26" s="439" t="s">
        <v>1029</v>
      </c>
      <c r="Y26" s="439" t="s">
        <v>1029</v>
      </c>
      <c r="Z26" s="441">
        <v>0</v>
      </c>
      <c r="AA26" s="440">
        <v>0</v>
      </c>
      <c r="AB26" s="441">
        <v>0</v>
      </c>
      <c r="AC26" s="440">
        <v>0</v>
      </c>
      <c r="AD26" s="441">
        <v>0</v>
      </c>
      <c r="AE26" s="440">
        <v>0</v>
      </c>
      <c r="AF26" s="441">
        <v>0</v>
      </c>
      <c r="AG26" s="440">
        <v>0</v>
      </c>
      <c r="AH26" s="442">
        <v>0</v>
      </c>
      <c r="AI26" s="440">
        <v>0</v>
      </c>
      <c r="AJ26" s="442">
        <v>0</v>
      </c>
      <c r="AK26" s="440">
        <v>0</v>
      </c>
      <c r="AL26" s="439" t="s">
        <v>1065</v>
      </c>
      <c r="AM26" s="439" t="s">
        <v>1066</v>
      </c>
      <c r="AN26" s="441">
        <v>0</v>
      </c>
      <c r="AO26" s="440">
        <v>0</v>
      </c>
      <c r="AP26" s="439" t="s">
        <v>1029</v>
      </c>
      <c r="AQ26" s="443">
        <v>0</v>
      </c>
      <c r="AR26" s="441">
        <v>0</v>
      </c>
      <c r="AS26" s="439" t="s">
        <v>1029</v>
      </c>
      <c r="AT26" s="439" t="s">
        <v>1030</v>
      </c>
      <c r="AU26" s="439" t="s">
        <v>1030</v>
      </c>
      <c r="AV26" s="439" t="s">
        <v>1030</v>
      </c>
      <c r="AW26" s="439" t="s">
        <v>1030</v>
      </c>
      <c r="AX26" s="439" t="s">
        <v>1030</v>
      </c>
      <c r="AY26" s="441">
        <v>0</v>
      </c>
      <c r="AZ26" s="439" t="s">
        <v>1029</v>
      </c>
      <c r="BA26" s="441">
        <v>0</v>
      </c>
      <c r="BB26" s="439" t="s">
        <v>1029</v>
      </c>
      <c r="BC26" s="441">
        <v>0</v>
      </c>
      <c r="BD26" s="439" t="s">
        <v>1029</v>
      </c>
      <c r="BE26" s="441">
        <v>0</v>
      </c>
      <c r="BF26" s="441">
        <v>0</v>
      </c>
      <c r="BG26" s="441">
        <v>0</v>
      </c>
      <c r="BH26" s="441">
        <v>0</v>
      </c>
      <c r="BI26" s="439" t="s">
        <v>1029</v>
      </c>
      <c r="BJ26" s="439" t="s">
        <v>1029</v>
      </c>
      <c r="BK26" s="439" t="s">
        <v>1029</v>
      </c>
      <c r="BL26" s="440">
        <v>0</v>
      </c>
      <c r="BM26" s="439" t="s">
        <v>1029</v>
      </c>
      <c r="BN26" s="440">
        <v>0</v>
      </c>
      <c r="BO26" s="440">
        <v>0</v>
      </c>
      <c r="BP26" s="440">
        <v>0</v>
      </c>
      <c r="BQ26" s="440">
        <v>0</v>
      </c>
      <c r="BR26" s="440">
        <v>0</v>
      </c>
      <c r="BS26" s="444">
        <v>0</v>
      </c>
      <c r="BT26" s="439" t="s">
        <v>1029</v>
      </c>
      <c r="BU26" s="439" t="s">
        <v>1029</v>
      </c>
      <c r="BV26" s="439" t="s">
        <v>1029</v>
      </c>
      <c r="BW26" s="440">
        <v>0</v>
      </c>
      <c r="BX26" s="440">
        <v>0</v>
      </c>
      <c r="BY26" s="440">
        <v>0</v>
      </c>
      <c r="BZ26" s="440">
        <v>0</v>
      </c>
      <c r="CA26" s="441">
        <v>0</v>
      </c>
      <c r="CB26" s="441">
        <v>0</v>
      </c>
      <c r="CC26" s="440">
        <v>0</v>
      </c>
      <c r="CD26" s="439" t="s">
        <v>1029</v>
      </c>
      <c r="CE26" s="439" t="s">
        <v>1029</v>
      </c>
      <c r="CF26" s="441">
        <v>0</v>
      </c>
      <c r="CG26" s="441">
        <v>0</v>
      </c>
      <c r="CH26" s="441">
        <v>0</v>
      </c>
      <c r="CI26" s="441">
        <v>0</v>
      </c>
      <c r="CJ26" s="439" t="s">
        <v>1029</v>
      </c>
      <c r="CK26" s="439" t="s">
        <v>1029</v>
      </c>
      <c r="CL26" s="439" t="s">
        <v>1029</v>
      </c>
      <c r="CM26" s="439" t="s">
        <v>1029</v>
      </c>
      <c r="CN26" s="439" t="s">
        <v>1029</v>
      </c>
      <c r="CO26" s="439" t="s">
        <v>1029</v>
      </c>
      <c r="CP26" s="441">
        <v>0</v>
      </c>
      <c r="CQ26" s="439" t="s">
        <v>1029</v>
      </c>
      <c r="CR26" s="441">
        <v>0</v>
      </c>
      <c r="CS26" s="439" t="s">
        <v>1029</v>
      </c>
      <c r="CT26" s="441">
        <v>0</v>
      </c>
      <c r="CU26" s="439" t="s">
        <v>1029</v>
      </c>
      <c r="CV26" s="439" t="s">
        <v>1029</v>
      </c>
      <c r="CW26" s="441">
        <v>0</v>
      </c>
      <c r="CX26" s="439" t="s">
        <v>1029</v>
      </c>
      <c r="CY26" s="441">
        <v>0</v>
      </c>
      <c r="CZ26" s="439" t="s">
        <v>1029</v>
      </c>
      <c r="DA26" s="441">
        <v>0</v>
      </c>
      <c r="DB26" s="439" t="s">
        <v>1029</v>
      </c>
      <c r="DC26" s="439" t="s">
        <v>1029</v>
      </c>
      <c r="DD26" s="439" t="s">
        <v>1029</v>
      </c>
      <c r="DE26" s="439" t="s">
        <v>1029</v>
      </c>
      <c r="DF26" s="439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9" min="69" style="0" width="17.933333333333334"/>
    <col collapsed="false" customWidth="true" hidden="false" max="85" min="85" style="0" width="17.933333333333334"/>
    <col collapsed="false" customWidth="true" hidden="false" max="102" min="102" style="0" width="17.933333333333334"/>
    <col collapsed="false" customWidth="true" hidden="false" max="6" min="6" style="0" width="24.2"/>
    <col collapsed="false" customWidth="true" hidden="false" max="22" min="22" style="0" width="24.2"/>
    <col collapsed="false" customWidth="true" hidden="false" max="54" min="54" style="0" width="17.933333333333334"/>
    <col collapsed="false" customWidth="true" hidden="false" max="53" min="53" style="0" width="17.933333333333334"/>
    <col collapsed="false" customWidth="true" hidden="false" max="72" min="72" style="0" width="17.933333333333334"/>
    <col collapsed="false" customWidth="true" hidden="false" max="88" min="88" style="0" width="17.933333333333334"/>
    <col collapsed="false" customWidth="true" hidden="false" max="101" min="101" style="0" width="17.933333333333334"/>
    <col collapsed="false" customWidth="true" hidden="false" max="5" min="5" style="0" width="24.2"/>
    <col collapsed="false" customWidth="true" hidden="false" max="21" min="21" style="0" width="24.2"/>
    <col collapsed="false" customWidth="true" hidden="false" max="38" min="38" style="0" width="17.933333333333334"/>
    <col collapsed="false" customWidth="true" hidden="false" max="56" min="56" style="0" width="17.933333333333334"/>
    <col collapsed="false" customWidth="true" hidden="false" max="71" min="71" style="0" width="17.933333333333334"/>
    <col collapsed="false" customWidth="true" hidden="false" max="87" min="87" style="0" width="17.933333333333334"/>
    <col collapsed="false" customWidth="true" hidden="false" max="104" min="104" style="0" width="17.933333333333334"/>
    <col collapsed="false" customWidth="true" hidden="false" max="8" min="8" style="0" width="24.2"/>
    <col collapsed="false" customWidth="true" hidden="false" max="24" min="24" style="0" width="24.2"/>
    <col collapsed="false" customWidth="true" hidden="false" max="37" min="37" style="0" width="17.933333333333334"/>
    <col collapsed="false" customWidth="true" hidden="false" max="55" min="55" style="0" width="17.933333333333334"/>
    <col collapsed="false" customWidth="true" hidden="false" max="66" min="66" style="0" width="17.933333333333334"/>
    <col collapsed="false" customWidth="true" hidden="false" max="82" min="82" style="0" width="17.933333333333334"/>
    <col collapsed="false" customWidth="true" hidden="false" max="103" min="103" style="0" width="17.933333333333334"/>
    <col collapsed="false" customWidth="true" hidden="false" max="7" min="7" style="0" width="24.2"/>
    <col collapsed="false" customWidth="true" hidden="false" max="23" min="23" style="0" width="24.2"/>
    <col collapsed="false" customWidth="true" hidden="false" max="40" min="40" style="0" width="17.933333333333334"/>
    <col collapsed="false" customWidth="true" hidden="false" max="50" min="50" style="0" width="17.933333333333334"/>
    <col collapsed="false" customWidth="true" hidden="false" max="65" min="65" style="0" width="17.933333333333334"/>
    <col collapsed="false" customWidth="true" hidden="false" max="81" min="81" style="0" width="17.933333333333334"/>
    <col collapsed="false" customWidth="true" hidden="false" max="98" min="98" style="0" width="17.933333333333334"/>
    <col collapsed="false" customWidth="true" hidden="false" max="2" min="2" style="0" width="24.2"/>
    <col collapsed="false" customWidth="true" hidden="false" max="18" min="18" style="0" width="24.2"/>
    <col collapsed="false" customWidth="true" hidden="false" max="39" min="39" style="0" width="17.933333333333334"/>
    <col collapsed="false" customWidth="true" hidden="false" max="49" min="49" style="0" width="17.933333333333334"/>
    <col collapsed="false" customWidth="true" hidden="false" max="68" min="68" style="0" width="17.933333333333334"/>
    <col collapsed="false" customWidth="true" hidden="false" max="84" min="84" style="0" width="17.933333333333334"/>
    <col collapsed="false" customWidth="true" hidden="false" max="97" min="97" style="0" width="17.933333333333334"/>
    <col collapsed="false" customWidth="true" hidden="false" max="1" min="1" style="0" width="24.2"/>
    <col collapsed="false" customWidth="true" hidden="false" max="17" min="17" style="0" width="24.2"/>
    <col collapsed="false" customWidth="true" hidden="false" max="34" min="34" style="0" width="17.933333333333334"/>
    <col collapsed="false" customWidth="true" hidden="false" max="52" min="52" style="0" width="17.933333333333334"/>
    <col collapsed="false" customWidth="true" hidden="false" max="67" min="67" style="0" width="17.933333333333334"/>
    <col collapsed="false" customWidth="true" hidden="false" max="83" min="83" style="0" width="17.933333333333334"/>
    <col collapsed="false" customWidth="true" hidden="false" max="100" min="100" style="0" width="17.933333333333334"/>
    <col collapsed="false" customWidth="true" hidden="false" max="4" min="4" style="0" width="24.2"/>
    <col collapsed="false" customWidth="true" hidden="false" max="20" min="20" style="0" width="24.2"/>
    <col collapsed="false" customWidth="true" hidden="false" max="33" min="33" style="0" width="17.933333333333334"/>
    <col collapsed="false" customWidth="true" hidden="false" max="51" min="51" style="0" width="17.933333333333334"/>
    <col collapsed="false" customWidth="true" hidden="false" max="78" min="78" style="0" width="17.933333333333334"/>
    <col collapsed="false" customWidth="true" hidden="false" max="94" min="94" style="0" width="17.933333333333334"/>
    <col collapsed="false" customWidth="true" hidden="false" max="99" min="99" style="0" width="17.933333333333334"/>
    <col collapsed="false" customWidth="true" hidden="false" max="3" min="3" style="0" width="24.2"/>
    <col collapsed="false" customWidth="true" hidden="false" max="19" min="19" style="0" width="24.2"/>
    <col collapsed="false" customWidth="true" hidden="false" max="36" min="36" style="0" width="17.933333333333334"/>
    <col collapsed="false" customWidth="true" hidden="false" max="62" min="62" style="0" width="17.933333333333334"/>
    <col collapsed="false" customWidth="true" hidden="false" max="77" min="77" style="0" width="17.933333333333334"/>
    <col collapsed="false" customWidth="true" hidden="false" max="93" min="93" style="0" width="17.933333333333334"/>
    <col collapsed="false" customWidth="true" hidden="false" max="110" min="110" style="0" width="17.933333333333334"/>
    <col collapsed="false" customWidth="true" hidden="false" max="14" min="14" style="0" width="24.2"/>
    <col collapsed="false" customWidth="true" hidden="false" max="30" min="30" style="0" width="24.2"/>
    <col collapsed="false" customWidth="true" hidden="false" max="35" min="35" style="0" width="17.933333333333334"/>
    <col collapsed="false" customWidth="true" hidden="false" max="61" min="61" style="0" width="17.933333333333334"/>
    <col collapsed="false" customWidth="true" hidden="false" max="80" min="80" style="0" width="17.933333333333334"/>
    <col collapsed="false" customWidth="true" hidden="false" max="96" min="96" style="0" width="17.933333333333334"/>
    <col collapsed="false" customWidth="true" hidden="false" max="109" min="109" style="0" width="17.933333333333334"/>
    <col collapsed="false" customWidth="true" hidden="false" max="13" min="13" style="0" width="24.2"/>
    <col collapsed="false" customWidth="true" hidden="false" max="29" min="29" style="0" width="24.2"/>
    <col collapsed="false" customWidth="true" hidden="false" max="46" min="46" style="0" width="17.933333333333334"/>
    <col collapsed="false" customWidth="true" hidden="false" max="64" min="64" style="0" width="17.933333333333334"/>
    <col collapsed="false" customWidth="true" hidden="false" max="79" min="79" style="0" width="17.933333333333334"/>
    <col collapsed="false" customWidth="true" hidden="false" max="95" min="95" style="0" width="17.933333333333334"/>
    <col collapsed="false" customWidth="true" hidden="false" max="16" min="16" style="0" width="24.2"/>
    <col collapsed="false" customWidth="true" hidden="false" max="32" min="32" style="0" width="17.933333333333334"/>
    <col collapsed="false" customWidth="true" hidden="false" max="45" min="45" style="0" width="17.933333333333334"/>
    <col collapsed="false" customWidth="true" hidden="false" max="63" min="63" style="0" width="17.933333333333334"/>
    <col collapsed="false" customWidth="true" hidden="false" max="74" min="74" style="0" width="17.933333333333334"/>
    <col collapsed="false" customWidth="true" hidden="false" max="90" min="90" style="0" width="17.933333333333334"/>
    <col collapsed="false" customWidth="true" hidden="false" max="15" min="15" style="0" width="24.2"/>
    <col collapsed="false" customWidth="true" hidden="false" max="31" min="31" style="0" width="24.2"/>
    <col collapsed="false" customWidth="true" hidden="false" max="48" min="48" style="0" width="17.933333333333334"/>
    <col collapsed="false" customWidth="true" hidden="false" max="47" min="47" style="0" width="17.933333333333334"/>
    <col collapsed="false" customWidth="true" hidden="false" max="58" min="58" style="0" width="17.933333333333334"/>
    <col collapsed="false" customWidth="true" hidden="false" max="73" min="73" style="0" width="17.933333333333334"/>
    <col collapsed="false" customWidth="true" hidden="false" max="89" min="89" style="0" width="17.933333333333334"/>
    <col collapsed="false" customWidth="true" hidden="false" max="106" min="106" style="0" width="17.933333333333334"/>
    <col collapsed="false" customWidth="true" hidden="false" max="10" min="10" style="0" width="24.2"/>
    <col collapsed="false" customWidth="true" hidden="false" max="26" min="26" style="0" width="24.2"/>
    <col collapsed="false" customWidth="true" hidden="false" max="42" min="42" style="0" width="17.933333333333334"/>
    <col collapsed="false" customWidth="true" hidden="false" max="57" min="57" style="0" width="17.933333333333334"/>
    <col collapsed="false" customWidth="true" hidden="false" max="76" min="76" style="0" width="17.933333333333334"/>
    <col collapsed="false" customWidth="true" hidden="false" max="92" min="92" style="0" width="17.933333333333334"/>
    <col collapsed="false" customWidth="true" hidden="false" max="105" min="105" style="0" width="17.933333333333334"/>
    <col collapsed="false" customWidth="true" hidden="false" max="9" min="9" style="0" width="24.2"/>
    <col collapsed="false" customWidth="true" hidden="false" max="25" min="25" style="0" width="24.2"/>
    <col collapsed="false" customWidth="true" hidden="false" max="41" min="41" style="0" width="17.933333333333334"/>
    <col collapsed="false" customWidth="true" hidden="false" max="60" min="60" style="0" width="17.933333333333334"/>
    <col collapsed="false" customWidth="true" hidden="false" max="75" min="75" style="0" width="17.933333333333334"/>
    <col collapsed="false" customWidth="true" hidden="false" max="91" min="91" style="0" width="17.933333333333334"/>
    <col collapsed="false" customWidth="true" hidden="false" max="108" min="108" style="0" width="17.933333333333334"/>
    <col collapsed="false" customWidth="true" hidden="false" max="12" min="12" style="0" width="24.2"/>
    <col collapsed="false" customWidth="true" hidden="false" max="28" min="28" style="0" width="24.2"/>
    <col collapsed="false" customWidth="true" hidden="false" max="44" min="44" style="0" width="17.933333333333334"/>
    <col collapsed="false" customWidth="true" hidden="false" max="59" min="59" style="0" width="17.933333333333334"/>
    <col collapsed="false" customWidth="true" hidden="false" max="70" min="70" style="0" width="17.933333333333334"/>
    <col collapsed="false" customWidth="true" hidden="false" max="86" min="86" style="0" width="17.933333333333334"/>
    <col collapsed="false" customWidth="true" hidden="false" max="107" min="107" style="0" width="17.933333333333334"/>
    <col collapsed="false" customWidth="true" hidden="false" max="11" min="11" style="0" width="24.2"/>
    <col collapsed="false" customWidth="true" hidden="false" max="27" min="27" style="0" width="24.2"/>
    <col collapsed="false" customWidth="true" hidden="false" max="43" min="43" style="0" width="17.933333333333334"/>
  </cols>
  <sheetData>
    <row customHeight="true" ht="16.296296296296294" r="1">
      <c r="A1" s="445" t="s">
        <v>1068</v>
      </c>
      <c r="B1" s="445" t="s">
        <v>1069</v>
      </c>
      <c r="C1" s="445" t="s">
        <v>1070</v>
      </c>
      <c r="D1" s="445" t="s">
        <v>1071</v>
      </c>
      <c r="E1" s="445" t="s">
        <v>1072</v>
      </c>
      <c r="F1" s="445" t="s">
        <v>1073</v>
      </c>
      <c r="G1" s="445" t="s">
        <v>1074</v>
      </c>
      <c r="H1" s="445" t="s">
        <v>1075</v>
      </c>
      <c r="I1" s="445" t="s">
        <v>1076</v>
      </c>
      <c r="J1" s="445" t="s">
        <v>1077</v>
      </c>
      <c r="K1" s="445" t="s">
        <v>1078</v>
      </c>
      <c r="L1" s="445" t="s">
        <v>1079</v>
      </c>
      <c r="M1" s="445" t="s">
        <v>1080</v>
      </c>
      <c r="N1" s="445" t="s">
        <v>1081</v>
      </c>
      <c r="O1" s="445" t="s">
        <v>1082</v>
      </c>
      <c r="P1" s="445" t="s">
        <v>1083</v>
      </c>
      <c r="Q1" s="445" t="s">
        <v>1084</v>
      </c>
      <c r="R1" s="445" t="s">
        <v>1085</v>
      </c>
      <c r="S1" s="445" t="s">
        <v>1086</v>
      </c>
      <c r="T1" s="445" t="s">
        <v>1087</v>
      </c>
      <c r="U1" s="445" t="s">
        <v>1088</v>
      </c>
      <c r="V1" s="445" t="s">
        <v>1089</v>
      </c>
      <c r="W1" s="445" t="s">
        <v>1090</v>
      </c>
      <c r="X1" s="445" t="s">
        <v>1091</v>
      </c>
      <c r="Y1" s="445" t="s">
        <v>1092</v>
      </c>
      <c r="Z1" s="445" t="s">
        <v>1093</v>
      </c>
      <c r="AA1" s="445" t="s">
        <v>1094</v>
      </c>
      <c r="AB1" s="445" t="s">
        <v>1095</v>
      </c>
      <c r="AC1" s="445" t="s">
        <v>1096</v>
      </c>
      <c r="AD1" s="445" t="s">
        <v>1097</v>
      </c>
      <c r="AE1" s="445" t="s">
        <v>1098</v>
      </c>
      <c r="AF1" s="445" t="s">
        <v>1099</v>
      </c>
      <c r="AG1" s="445" t="s">
        <v>1100</v>
      </c>
      <c r="AH1" s="445" t="s">
        <v>1101</v>
      </c>
      <c r="AI1" s="445" t="s">
        <v>1102</v>
      </c>
      <c r="AJ1" s="445" t="s">
        <v>1103</v>
      </c>
      <c r="AK1" s="445" t="s">
        <v>1104</v>
      </c>
      <c r="AL1" s="445" t="s">
        <v>1105</v>
      </c>
      <c r="AM1" s="445" t="s">
        <v>1106</v>
      </c>
      <c r="AN1" s="445" t="s">
        <v>1107</v>
      </c>
      <c r="AO1" s="445" t="s">
        <v>1108</v>
      </c>
      <c r="AP1" s="445" t="s">
        <v>1109</v>
      </c>
      <c r="AQ1" s="445" t="s">
        <v>1110</v>
      </c>
      <c r="AR1" s="445" t="s">
        <v>1111</v>
      </c>
      <c r="AS1" s="445" t="s">
        <v>1112</v>
      </c>
      <c r="AT1" s="445" t="s">
        <v>1113</v>
      </c>
      <c r="AU1" s="445" t="s">
        <v>1114</v>
      </c>
      <c r="AV1" s="445" t="s">
        <v>1115</v>
      </c>
      <c r="AW1" s="445" t="s">
        <v>1116</v>
      </c>
      <c r="AX1" s="445" t="s">
        <v>1117</v>
      </c>
      <c r="AY1" s="445" t="s">
        <v>1118</v>
      </c>
      <c r="AZ1" s="445" t="s">
        <v>1119</v>
      </c>
      <c r="BA1" s="445" t="s">
        <v>1120</v>
      </c>
      <c r="BB1" s="445" t="s">
        <v>1121</v>
      </c>
      <c r="BC1" s="445" t="s">
        <v>1122</v>
      </c>
      <c r="BD1" s="445" t="s">
        <v>1123</v>
      </c>
      <c r="BE1" s="445" t="s">
        <v>1124</v>
      </c>
      <c r="BF1" s="445" t="s">
        <v>1125</v>
      </c>
      <c r="BG1" s="445" t="s">
        <v>1126</v>
      </c>
      <c r="BH1" s="445" t="s">
        <v>1127</v>
      </c>
      <c r="BI1" s="445" t="s">
        <v>1128</v>
      </c>
      <c r="BJ1" s="445" t="s">
        <v>1129</v>
      </c>
      <c r="BK1" s="445" t="s">
        <v>1130</v>
      </c>
      <c r="BL1" s="445" t="s">
        <v>1131</v>
      </c>
      <c r="BM1" s="445" t="s">
        <v>1132</v>
      </c>
      <c r="BN1" s="445" t="s">
        <v>1133</v>
      </c>
      <c r="BO1" s="445" t="s">
        <v>1134</v>
      </c>
      <c r="BP1" s="445" t="s">
        <v>1135</v>
      </c>
      <c r="BQ1" s="445" t="s">
        <v>1136</v>
      </c>
      <c r="BR1" s="445" t="s">
        <v>1137</v>
      </c>
      <c r="BS1" s="445" t="s">
        <v>1138</v>
      </c>
      <c r="BT1" s="445" t="s">
        <v>1139</v>
      </c>
      <c r="BU1" s="445" t="s">
        <v>1140</v>
      </c>
      <c r="BV1" s="445" t="s">
        <v>1141</v>
      </c>
      <c r="BW1" s="445" t="s">
        <v>1142</v>
      </c>
      <c r="BX1" s="445" t="s">
        <v>1143</v>
      </c>
      <c r="BY1" s="445" t="s">
        <v>1144</v>
      </c>
      <c r="BZ1" s="445" t="s">
        <v>1145</v>
      </c>
      <c r="CA1" s="445" t="s">
        <v>1146</v>
      </c>
      <c r="CB1" s="445" t="s">
        <v>1147</v>
      </c>
      <c r="CC1" s="445" t="s">
        <v>1148</v>
      </c>
      <c r="CD1" s="445" t="s">
        <v>1149</v>
      </c>
      <c r="CE1" s="445" t="s">
        <v>1150</v>
      </c>
      <c r="CF1" s="445" t="s">
        <v>1151</v>
      </c>
      <c r="CG1" s="445" t="s">
        <v>1152</v>
      </c>
      <c r="CH1" s="445" t="s">
        <v>1153</v>
      </c>
      <c r="CI1" s="445" t="s">
        <v>1154</v>
      </c>
      <c r="CJ1" s="445" t="s">
        <v>1155</v>
      </c>
      <c r="CK1" s="445" t="s">
        <v>1156</v>
      </c>
      <c r="CL1" s="445" t="s">
        <v>1157</v>
      </c>
      <c r="CM1" s="445" t="s">
        <v>1158</v>
      </c>
      <c r="CN1" s="445" t="s">
        <v>1159</v>
      </c>
      <c r="CO1" s="445" t="s">
        <v>1160</v>
      </c>
      <c r="CP1" s="445" t="s">
        <v>1161</v>
      </c>
      <c r="CQ1" s="445" t="s">
        <v>1162</v>
      </c>
      <c r="CR1" s="445" t="s">
        <v>1163</v>
      </c>
      <c r="CS1" s="445" t="s">
        <v>1164</v>
      </c>
      <c r="CT1" s="445" t="s">
        <v>1165</v>
      </c>
      <c r="CU1" s="445" t="s">
        <v>1166</v>
      </c>
      <c r="CV1" s="445" t="s">
        <v>1167</v>
      </c>
      <c r="CW1" s="445" t="s">
        <v>1168</v>
      </c>
      <c r="CX1" s="445" t="s">
        <v>1169</v>
      </c>
      <c r="CY1" s="445" t="s">
        <v>1170</v>
      </c>
      <c r="CZ1" s="445" t="s">
        <v>1171</v>
      </c>
      <c r="DA1" s="445" t="s">
        <v>1172</v>
      </c>
      <c r="DB1" s="445" t="s">
        <v>1173</v>
      </c>
      <c r="DC1" s="445" t="s">
        <v>1174</v>
      </c>
      <c r="DD1" s="445" t="s">
        <v>1175</v>
      </c>
      <c r="DE1" s="445" t="s">
        <v>1176</v>
      </c>
      <c r="DF1" s="445" t="s">
        <v>1177</v>
      </c>
    </row>
    <row customHeight="true" ht="16.296296296296294" r="2">
      <c r="A2" s="446" t="s">
        <v>1178</v>
      </c>
      <c r="B2" s="446" t="s">
        <v>1179</v>
      </c>
      <c r="C2" s="446" t="s">
        <v>1180</v>
      </c>
      <c r="D2" s="446" t="s">
        <v>1180</v>
      </c>
      <c r="E2" s="446" t="s">
        <v>1181</v>
      </c>
      <c r="F2" s="446" t="s">
        <v>1182</v>
      </c>
      <c r="G2" s="447">
        <v>0</v>
      </c>
      <c r="H2" s="447">
        <v>0</v>
      </c>
      <c r="I2" s="448">
        <v>0</v>
      </c>
      <c r="J2" s="448">
        <v>0</v>
      </c>
      <c r="K2" s="448">
        <v>0</v>
      </c>
      <c r="L2" s="448">
        <v>0</v>
      </c>
      <c r="M2" s="448">
        <v>0</v>
      </c>
      <c r="N2" s="448">
        <v>0</v>
      </c>
      <c r="O2" s="448">
        <v>0</v>
      </c>
      <c r="P2" s="448">
        <v>0</v>
      </c>
      <c r="Q2" s="447">
        <v>0</v>
      </c>
      <c r="R2" s="448">
        <v>0</v>
      </c>
      <c r="S2" s="447">
        <v>0</v>
      </c>
      <c r="T2" s="446" t="s">
        <v>1183</v>
      </c>
      <c r="U2" s="446" t="s">
        <v>1183</v>
      </c>
      <c r="V2" s="446" t="s">
        <v>1183</v>
      </c>
      <c r="W2" s="446" t="s">
        <v>1183</v>
      </c>
      <c r="X2" s="446" t="s">
        <v>1183</v>
      </c>
      <c r="Y2" s="446" t="s">
        <v>1183</v>
      </c>
      <c r="Z2" s="448">
        <v>0</v>
      </c>
      <c r="AA2" s="447">
        <v>0</v>
      </c>
      <c r="AB2" s="448">
        <v>0</v>
      </c>
      <c r="AC2" s="447">
        <v>0</v>
      </c>
      <c r="AD2" s="448">
        <v>0</v>
      </c>
      <c r="AE2" s="447">
        <v>0</v>
      </c>
      <c r="AF2" s="448">
        <v>0</v>
      </c>
      <c r="AG2" s="447">
        <v>0</v>
      </c>
      <c r="AH2" s="449">
        <v>0</v>
      </c>
      <c r="AI2" s="447">
        <v>0</v>
      </c>
      <c r="AJ2" s="449">
        <v>0</v>
      </c>
      <c r="AK2" s="447">
        <v>0</v>
      </c>
      <c r="AL2" s="446"/>
      <c r="AM2" s="446"/>
      <c r="AN2" s="448">
        <v>0</v>
      </c>
      <c r="AO2" s="447">
        <v>0</v>
      </c>
      <c r="AP2" s="446" t="s">
        <v>1183</v>
      </c>
      <c r="AQ2" s="450">
        <v>0</v>
      </c>
      <c r="AR2" s="448">
        <v>0</v>
      </c>
      <c r="AS2" s="446" t="s">
        <v>1183</v>
      </c>
      <c r="AT2" s="446" t="s">
        <v>1184</v>
      </c>
      <c r="AU2" s="446" t="s">
        <v>1184</v>
      </c>
      <c r="AV2" s="446" t="s">
        <v>1184</v>
      </c>
      <c r="AW2" s="446" t="s">
        <v>1184</v>
      </c>
      <c r="AX2" s="446" t="s">
        <v>1184</v>
      </c>
      <c r="AY2" s="448">
        <v>0</v>
      </c>
      <c r="AZ2" s="446" t="s">
        <v>1183</v>
      </c>
      <c r="BA2" s="448">
        <v>0</v>
      </c>
      <c r="BB2" s="446" t="s">
        <v>1183</v>
      </c>
      <c r="BC2" s="448">
        <v>0</v>
      </c>
      <c r="BD2" s="446" t="s">
        <v>1183</v>
      </c>
      <c r="BE2" s="448">
        <v>0</v>
      </c>
      <c r="BF2" s="448">
        <v>0</v>
      </c>
      <c r="BG2" s="448">
        <v>0</v>
      </c>
      <c r="BH2" s="448">
        <v>0</v>
      </c>
      <c r="BI2" s="446" t="s">
        <v>1183</v>
      </c>
      <c r="BJ2" s="446" t="s">
        <v>1183</v>
      </c>
      <c r="BK2" s="446" t="s">
        <v>1183</v>
      </c>
      <c r="BL2" s="447">
        <v>0</v>
      </c>
      <c r="BM2" s="446" t="s">
        <v>1183</v>
      </c>
      <c r="BN2" s="447">
        <v>0</v>
      </c>
      <c r="BO2" s="447">
        <v>0</v>
      </c>
      <c r="BP2" s="447">
        <v>0</v>
      </c>
      <c r="BQ2" s="447">
        <v>0</v>
      </c>
      <c r="BR2" s="447">
        <v>0</v>
      </c>
      <c r="BS2" s="451">
        <v>0</v>
      </c>
      <c r="BT2" s="446" t="s">
        <v>1183</v>
      </c>
      <c r="BU2" s="446" t="s">
        <v>1183</v>
      </c>
      <c r="BV2" s="446" t="s">
        <v>1183</v>
      </c>
      <c r="BW2" s="447">
        <v>0</v>
      </c>
      <c r="BX2" s="447">
        <v>0</v>
      </c>
      <c r="BY2" s="447">
        <v>0</v>
      </c>
      <c r="BZ2" s="447">
        <v>0</v>
      </c>
      <c r="CA2" s="448">
        <v>0</v>
      </c>
      <c r="CB2" s="448">
        <v>0</v>
      </c>
      <c r="CC2" s="447">
        <v>0</v>
      </c>
      <c r="CD2" s="446" t="s">
        <v>1183</v>
      </c>
      <c r="CE2" s="446" t="s">
        <v>1183</v>
      </c>
      <c r="CF2" s="448">
        <v>0</v>
      </c>
      <c r="CG2" s="448">
        <v>0</v>
      </c>
      <c r="CH2" s="448">
        <v>0</v>
      </c>
      <c r="CI2" s="448">
        <v>0</v>
      </c>
      <c r="CJ2" s="446" t="s">
        <v>1183</v>
      </c>
      <c r="CK2" s="446" t="s">
        <v>1183</v>
      </c>
      <c r="CL2" s="446" t="s">
        <v>1183</v>
      </c>
      <c r="CM2" s="446" t="s">
        <v>1183</v>
      </c>
      <c r="CN2" s="446" t="s">
        <v>1183</v>
      </c>
      <c r="CO2" s="446" t="s">
        <v>1183</v>
      </c>
      <c r="CP2" s="448">
        <v>0</v>
      </c>
      <c r="CQ2" s="446" t="s">
        <v>1183</v>
      </c>
      <c r="CR2" s="448">
        <v>0</v>
      </c>
      <c r="CS2" s="446" t="s">
        <v>1183</v>
      </c>
      <c r="CT2" s="448">
        <v>0</v>
      </c>
      <c r="CU2" s="446" t="s">
        <v>1183</v>
      </c>
      <c r="CV2" s="446" t="s">
        <v>1183</v>
      </c>
      <c r="CW2" s="448">
        <v>0</v>
      </c>
      <c r="CX2" s="446" t="s">
        <v>1183</v>
      </c>
      <c r="CY2" s="448">
        <v>0</v>
      </c>
      <c r="CZ2" s="446" t="s">
        <v>1183</v>
      </c>
      <c r="DA2" s="448">
        <v>0</v>
      </c>
      <c r="DB2" s="446" t="s">
        <v>1183</v>
      </c>
      <c r="DC2" s="446" t="s">
        <v>1183</v>
      </c>
      <c r="DD2" s="446" t="s">
        <v>1183</v>
      </c>
      <c r="DE2" s="446" t="s">
        <v>1183</v>
      </c>
      <c r="DF2" s="446"/>
    </row>
    <row customHeight="true" ht="16.296296296296294" r="3">
      <c r="A3" s="446" t="s">
        <v>1185</v>
      </c>
      <c r="B3" s="446" t="s">
        <v>1179</v>
      </c>
      <c r="C3" s="446" t="s">
        <v>1180</v>
      </c>
      <c r="D3" s="446" t="s">
        <v>1180</v>
      </c>
      <c r="E3" s="446" t="s">
        <v>1181</v>
      </c>
      <c r="F3" s="446" t="s">
        <v>1182</v>
      </c>
      <c r="G3" s="447">
        <v>0</v>
      </c>
      <c r="H3" s="447">
        <v>0</v>
      </c>
      <c r="I3" s="448">
        <v>0</v>
      </c>
      <c r="J3" s="448">
        <v>0</v>
      </c>
      <c r="K3" s="448">
        <v>0</v>
      </c>
      <c r="L3" s="448">
        <v>0</v>
      </c>
      <c r="M3" s="448">
        <v>0</v>
      </c>
      <c r="N3" s="448">
        <v>0</v>
      </c>
      <c r="O3" s="448">
        <v>0</v>
      </c>
      <c r="P3" s="448">
        <v>0</v>
      </c>
      <c r="Q3" s="447">
        <v>0</v>
      </c>
      <c r="R3" s="448">
        <v>0</v>
      </c>
      <c r="S3" s="447">
        <v>0</v>
      </c>
      <c r="T3" s="446" t="s">
        <v>1183</v>
      </c>
      <c r="U3" s="446" t="s">
        <v>1183</v>
      </c>
      <c r="V3" s="446" t="s">
        <v>1183</v>
      </c>
      <c r="W3" s="446" t="s">
        <v>1183</v>
      </c>
      <c r="X3" s="446" t="s">
        <v>1183</v>
      </c>
      <c r="Y3" s="446" t="s">
        <v>1183</v>
      </c>
      <c r="Z3" s="448">
        <v>0</v>
      </c>
      <c r="AA3" s="447">
        <v>0</v>
      </c>
      <c r="AB3" s="448">
        <v>0</v>
      </c>
      <c r="AC3" s="447">
        <v>0</v>
      </c>
      <c r="AD3" s="448">
        <v>0</v>
      </c>
      <c r="AE3" s="447">
        <v>0</v>
      </c>
      <c r="AF3" s="448">
        <v>0</v>
      </c>
      <c r="AG3" s="447">
        <v>0</v>
      </c>
      <c r="AH3" s="449">
        <v>0</v>
      </c>
      <c r="AI3" s="447">
        <v>0</v>
      </c>
      <c r="AJ3" s="449">
        <v>0</v>
      </c>
      <c r="AK3" s="447">
        <v>0</v>
      </c>
      <c r="AL3" s="446"/>
      <c r="AM3" s="446"/>
      <c r="AN3" s="448">
        <v>0</v>
      </c>
      <c r="AO3" s="447">
        <v>0</v>
      </c>
      <c r="AP3" s="446" t="s">
        <v>1183</v>
      </c>
      <c r="AQ3" s="450">
        <v>0</v>
      </c>
      <c r="AR3" s="448">
        <v>0</v>
      </c>
      <c r="AS3" s="446" t="s">
        <v>1183</v>
      </c>
      <c r="AT3" s="446" t="s">
        <v>1184</v>
      </c>
      <c r="AU3" s="446" t="s">
        <v>1184</v>
      </c>
      <c r="AV3" s="446" t="s">
        <v>1184</v>
      </c>
      <c r="AW3" s="446" t="s">
        <v>1184</v>
      </c>
      <c r="AX3" s="446" t="s">
        <v>1184</v>
      </c>
      <c r="AY3" s="448">
        <v>0</v>
      </c>
      <c r="AZ3" s="446" t="s">
        <v>1183</v>
      </c>
      <c r="BA3" s="448">
        <v>0</v>
      </c>
      <c r="BB3" s="446" t="s">
        <v>1183</v>
      </c>
      <c r="BC3" s="448">
        <v>0</v>
      </c>
      <c r="BD3" s="446" t="s">
        <v>1183</v>
      </c>
      <c r="BE3" s="448">
        <v>0</v>
      </c>
      <c r="BF3" s="448">
        <v>0</v>
      </c>
      <c r="BG3" s="448">
        <v>0</v>
      </c>
      <c r="BH3" s="448">
        <v>0</v>
      </c>
      <c r="BI3" s="446" t="s">
        <v>1183</v>
      </c>
      <c r="BJ3" s="446" t="s">
        <v>1183</v>
      </c>
      <c r="BK3" s="446" t="s">
        <v>1183</v>
      </c>
      <c r="BL3" s="447">
        <v>0</v>
      </c>
      <c r="BM3" s="446" t="s">
        <v>1183</v>
      </c>
      <c r="BN3" s="447">
        <v>0</v>
      </c>
      <c r="BO3" s="447">
        <v>0</v>
      </c>
      <c r="BP3" s="447">
        <v>0</v>
      </c>
      <c r="BQ3" s="447">
        <v>0</v>
      </c>
      <c r="BR3" s="447">
        <v>0</v>
      </c>
      <c r="BS3" s="451">
        <v>0</v>
      </c>
      <c r="BT3" s="446" t="s">
        <v>1183</v>
      </c>
      <c r="BU3" s="446" t="s">
        <v>1183</v>
      </c>
      <c r="BV3" s="446" t="s">
        <v>1183</v>
      </c>
      <c r="BW3" s="447">
        <v>0</v>
      </c>
      <c r="BX3" s="447">
        <v>0</v>
      </c>
      <c r="BY3" s="447">
        <v>0</v>
      </c>
      <c r="BZ3" s="447">
        <v>0</v>
      </c>
      <c r="CA3" s="448">
        <v>0</v>
      </c>
      <c r="CB3" s="448">
        <v>0</v>
      </c>
      <c r="CC3" s="447">
        <v>0</v>
      </c>
      <c r="CD3" s="446" t="s">
        <v>1183</v>
      </c>
      <c r="CE3" s="446" t="s">
        <v>1183</v>
      </c>
      <c r="CF3" s="448">
        <v>0</v>
      </c>
      <c r="CG3" s="448">
        <v>0</v>
      </c>
      <c r="CH3" s="448">
        <v>0</v>
      </c>
      <c r="CI3" s="448">
        <v>0</v>
      </c>
      <c r="CJ3" s="446" t="s">
        <v>1183</v>
      </c>
      <c r="CK3" s="446" t="s">
        <v>1183</v>
      </c>
      <c r="CL3" s="446" t="s">
        <v>1183</v>
      </c>
      <c r="CM3" s="446" t="s">
        <v>1183</v>
      </c>
      <c r="CN3" s="446" t="s">
        <v>1183</v>
      </c>
      <c r="CO3" s="446" t="s">
        <v>1183</v>
      </c>
      <c r="CP3" s="448">
        <v>0</v>
      </c>
      <c r="CQ3" s="446" t="s">
        <v>1183</v>
      </c>
      <c r="CR3" s="448">
        <v>0</v>
      </c>
      <c r="CS3" s="446" t="s">
        <v>1183</v>
      </c>
      <c r="CT3" s="448">
        <v>0</v>
      </c>
      <c r="CU3" s="446" t="s">
        <v>1183</v>
      </c>
      <c r="CV3" s="446" t="s">
        <v>1183</v>
      </c>
      <c r="CW3" s="448">
        <v>0</v>
      </c>
      <c r="CX3" s="446" t="s">
        <v>1183</v>
      </c>
      <c r="CY3" s="448">
        <v>0</v>
      </c>
      <c r="CZ3" s="446" t="s">
        <v>1183</v>
      </c>
      <c r="DA3" s="448">
        <v>0</v>
      </c>
      <c r="DB3" s="446" t="s">
        <v>1183</v>
      </c>
      <c r="DC3" s="446" t="s">
        <v>1183</v>
      </c>
      <c r="DD3" s="446" t="s">
        <v>1183</v>
      </c>
      <c r="DE3" s="446" t="s">
        <v>1183</v>
      </c>
      <c r="DF3" s="446"/>
    </row>
    <row customHeight="true" ht="16.296296296296294" r="4">
      <c r="A4" s="446" t="s">
        <v>1186</v>
      </c>
      <c r="B4" s="446" t="s">
        <v>1179</v>
      </c>
      <c r="C4" s="446" t="s">
        <v>1180</v>
      </c>
      <c r="D4" s="446" t="s">
        <v>1180</v>
      </c>
      <c r="E4" s="446" t="s">
        <v>1181</v>
      </c>
      <c r="F4" s="446" t="s">
        <v>1182</v>
      </c>
      <c r="G4" s="447">
        <v>0</v>
      </c>
      <c r="H4" s="447">
        <v>0</v>
      </c>
      <c r="I4" s="448">
        <v>0</v>
      </c>
      <c r="J4" s="448">
        <v>0</v>
      </c>
      <c r="K4" s="448">
        <v>0</v>
      </c>
      <c r="L4" s="448">
        <v>0</v>
      </c>
      <c r="M4" s="448">
        <v>0</v>
      </c>
      <c r="N4" s="448">
        <v>0</v>
      </c>
      <c r="O4" s="448">
        <v>0</v>
      </c>
      <c r="P4" s="448">
        <v>0</v>
      </c>
      <c r="Q4" s="447">
        <v>0</v>
      </c>
      <c r="R4" s="448">
        <v>0</v>
      </c>
      <c r="S4" s="447">
        <v>0</v>
      </c>
      <c r="T4" s="446" t="s">
        <v>1183</v>
      </c>
      <c r="U4" s="446" t="s">
        <v>1183</v>
      </c>
      <c r="V4" s="446" t="s">
        <v>1183</v>
      </c>
      <c r="W4" s="446" t="s">
        <v>1183</v>
      </c>
      <c r="X4" s="446" t="s">
        <v>1183</v>
      </c>
      <c r="Y4" s="446" t="s">
        <v>1183</v>
      </c>
      <c r="Z4" s="448">
        <v>0</v>
      </c>
      <c r="AA4" s="447">
        <v>0</v>
      </c>
      <c r="AB4" s="448">
        <v>0</v>
      </c>
      <c r="AC4" s="447">
        <v>0</v>
      </c>
      <c r="AD4" s="448">
        <v>0</v>
      </c>
      <c r="AE4" s="447">
        <v>0</v>
      </c>
      <c r="AF4" s="448">
        <v>0</v>
      </c>
      <c r="AG4" s="447">
        <v>0</v>
      </c>
      <c r="AH4" s="449">
        <v>0</v>
      </c>
      <c r="AI4" s="447">
        <v>0</v>
      </c>
      <c r="AJ4" s="449">
        <v>0</v>
      </c>
      <c r="AK4" s="447">
        <v>0</v>
      </c>
      <c r="AL4" s="446"/>
      <c r="AM4" s="446"/>
      <c r="AN4" s="448">
        <v>0</v>
      </c>
      <c r="AO4" s="447">
        <v>0</v>
      </c>
      <c r="AP4" s="446" t="s">
        <v>1183</v>
      </c>
      <c r="AQ4" s="450">
        <v>0</v>
      </c>
      <c r="AR4" s="448">
        <v>0</v>
      </c>
      <c r="AS4" s="446" t="s">
        <v>1183</v>
      </c>
      <c r="AT4" s="446" t="s">
        <v>1184</v>
      </c>
      <c r="AU4" s="446" t="s">
        <v>1184</v>
      </c>
      <c r="AV4" s="446" t="s">
        <v>1184</v>
      </c>
      <c r="AW4" s="446" t="s">
        <v>1184</v>
      </c>
      <c r="AX4" s="446" t="s">
        <v>1184</v>
      </c>
      <c r="AY4" s="448">
        <v>0</v>
      </c>
      <c r="AZ4" s="446" t="s">
        <v>1183</v>
      </c>
      <c r="BA4" s="448">
        <v>0</v>
      </c>
      <c r="BB4" s="446" t="s">
        <v>1183</v>
      </c>
      <c r="BC4" s="448">
        <v>0</v>
      </c>
      <c r="BD4" s="446" t="s">
        <v>1183</v>
      </c>
      <c r="BE4" s="448">
        <v>0</v>
      </c>
      <c r="BF4" s="448">
        <v>0</v>
      </c>
      <c r="BG4" s="448">
        <v>0</v>
      </c>
      <c r="BH4" s="448">
        <v>0</v>
      </c>
      <c r="BI4" s="446" t="s">
        <v>1183</v>
      </c>
      <c r="BJ4" s="446" t="s">
        <v>1183</v>
      </c>
      <c r="BK4" s="446" t="s">
        <v>1183</v>
      </c>
      <c r="BL4" s="447">
        <v>0</v>
      </c>
      <c r="BM4" s="446" t="s">
        <v>1183</v>
      </c>
      <c r="BN4" s="447">
        <v>0</v>
      </c>
      <c r="BO4" s="447">
        <v>0</v>
      </c>
      <c r="BP4" s="447">
        <v>0</v>
      </c>
      <c r="BQ4" s="447">
        <v>0</v>
      </c>
      <c r="BR4" s="447">
        <v>0</v>
      </c>
      <c r="BS4" s="451">
        <v>0</v>
      </c>
      <c r="BT4" s="446" t="s">
        <v>1183</v>
      </c>
      <c r="BU4" s="446" t="s">
        <v>1183</v>
      </c>
      <c r="BV4" s="446" t="s">
        <v>1183</v>
      </c>
      <c r="BW4" s="447">
        <v>0</v>
      </c>
      <c r="BX4" s="447">
        <v>0</v>
      </c>
      <c r="BY4" s="447">
        <v>0</v>
      </c>
      <c r="BZ4" s="447">
        <v>0</v>
      </c>
      <c r="CA4" s="448">
        <v>0</v>
      </c>
      <c r="CB4" s="448">
        <v>0</v>
      </c>
      <c r="CC4" s="447">
        <v>0</v>
      </c>
      <c r="CD4" s="446" t="s">
        <v>1183</v>
      </c>
      <c r="CE4" s="446" t="s">
        <v>1183</v>
      </c>
      <c r="CF4" s="448">
        <v>0</v>
      </c>
      <c r="CG4" s="448">
        <v>0</v>
      </c>
      <c r="CH4" s="448">
        <v>0</v>
      </c>
      <c r="CI4" s="448">
        <v>0</v>
      </c>
      <c r="CJ4" s="446" t="s">
        <v>1183</v>
      </c>
      <c r="CK4" s="446" t="s">
        <v>1183</v>
      </c>
      <c r="CL4" s="446" t="s">
        <v>1183</v>
      </c>
      <c r="CM4" s="446" t="s">
        <v>1183</v>
      </c>
      <c r="CN4" s="446" t="s">
        <v>1183</v>
      </c>
      <c r="CO4" s="446" t="s">
        <v>1183</v>
      </c>
      <c r="CP4" s="448">
        <v>0</v>
      </c>
      <c r="CQ4" s="446" t="s">
        <v>1183</v>
      </c>
      <c r="CR4" s="448">
        <v>0</v>
      </c>
      <c r="CS4" s="446" t="s">
        <v>1183</v>
      </c>
      <c r="CT4" s="448">
        <v>0</v>
      </c>
      <c r="CU4" s="446" t="s">
        <v>1183</v>
      </c>
      <c r="CV4" s="446" t="s">
        <v>1183</v>
      </c>
      <c r="CW4" s="448">
        <v>0</v>
      </c>
      <c r="CX4" s="446" t="s">
        <v>1183</v>
      </c>
      <c r="CY4" s="448">
        <v>0</v>
      </c>
      <c r="CZ4" s="446" t="s">
        <v>1183</v>
      </c>
      <c r="DA4" s="448">
        <v>0</v>
      </c>
      <c r="DB4" s="446" t="s">
        <v>1183</v>
      </c>
      <c r="DC4" s="446" t="s">
        <v>1183</v>
      </c>
      <c r="DD4" s="446" t="s">
        <v>1183</v>
      </c>
      <c r="DE4" s="446" t="s">
        <v>1183</v>
      </c>
      <c r="DF4" s="446"/>
    </row>
    <row customHeight="true" ht="16.296296296296294" r="5">
      <c r="A5" s="446" t="s">
        <v>1187</v>
      </c>
      <c r="B5" s="446" t="s">
        <v>1179</v>
      </c>
      <c r="C5" s="446" t="s">
        <v>1180</v>
      </c>
      <c r="D5" s="446" t="s">
        <v>1180</v>
      </c>
      <c r="E5" s="446" t="s">
        <v>1181</v>
      </c>
      <c r="F5" s="446" t="s">
        <v>1182</v>
      </c>
      <c r="G5" s="447">
        <v>0</v>
      </c>
      <c r="H5" s="447">
        <v>0</v>
      </c>
      <c r="I5" s="448">
        <v>0</v>
      </c>
      <c r="J5" s="448">
        <v>0</v>
      </c>
      <c r="K5" s="448">
        <v>0</v>
      </c>
      <c r="L5" s="448">
        <v>0</v>
      </c>
      <c r="M5" s="448">
        <v>0</v>
      </c>
      <c r="N5" s="448">
        <v>0</v>
      </c>
      <c r="O5" s="448">
        <v>0</v>
      </c>
      <c r="P5" s="448">
        <v>0</v>
      </c>
      <c r="Q5" s="447">
        <v>0</v>
      </c>
      <c r="R5" s="448">
        <v>0</v>
      </c>
      <c r="S5" s="447">
        <v>0</v>
      </c>
      <c r="T5" s="446" t="s">
        <v>1183</v>
      </c>
      <c r="U5" s="446" t="s">
        <v>1183</v>
      </c>
      <c r="V5" s="446" t="s">
        <v>1183</v>
      </c>
      <c r="W5" s="446" t="s">
        <v>1183</v>
      </c>
      <c r="X5" s="446" t="s">
        <v>1183</v>
      </c>
      <c r="Y5" s="446" t="s">
        <v>1183</v>
      </c>
      <c r="Z5" s="448">
        <v>0</v>
      </c>
      <c r="AA5" s="447">
        <v>0</v>
      </c>
      <c r="AB5" s="448">
        <v>0</v>
      </c>
      <c r="AC5" s="447">
        <v>0</v>
      </c>
      <c r="AD5" s="448">
        <v>0</v>
      </c>
      <c r="AE5" s="447">
        <v>0</v>
      </c>
      <c r="AF5" s="448">
        <v>0</v>
      </c>
      <c r="AG5" s="447">
        <v>0</v>
      </c>
      <c r="AH5" s="449">
        <v>0</v>
      </c>
      <c r="AI5" s="447">
        <v>0</v>
      </c>
      <c r="AJ5" s="449">
        <v>0</v>
      </c>
      <c r="AK5" s="447">
        <v>0</v>
      </c>
      <c r="AL5" s="446"/>
      <c r="AM5" s="446"/>
      <c r="AN5" s="448">
        <v>0</v>
      </c>
      <c r="AO5" s="447">
        <v>0</v>
      </c>
      <c r="AP5" s="446" t="s">
        <v>1183</v>
      </c>
      <c r="AQ5" s="450">
        <v>0</v>
      </c>
      <c r="AR5" s="448">
        <v>0</v>
      </c>
      <c r="AS5" s="446" t="s">
        <v>1183</v>
      </c>
      <c r="AT5" s="446" t="s">
        <v>1184</v>
      </c>
      <c r="AU5" s="446" t="s">
        <v>1184</v>
      </c>
      <c r="AV5" s="446" t="s">
        <v>1184</v>
      </c>
      <c r="AW5" s="446" t="s">
        <v>1184</v>
      </c>
      <c r="AX5" s="446" t="s">
        <v>1184</v>
      </c>
      <c r="AY5" s="448">
        <v>0</v>
      </c>
      <c r="AZ5" s="446" t="s">
        <v>1183</v>
      </c>
      <c r="BA5" s="448">
        <v>0</v>
      </c>
      <c r="BB5" s="446" t="s">
        <v>1183</v>
      </c>
      <c r="BC5" s="448">
        <v>0</v>
      </c>
      <c r="BD5" s="446" t="s">
        <v>1183</v>
      </c>
      <c r="BE5" s="448">
        <v>0</v>
      </c>
      <c r="BF5" s="448">
        <v>0</v>
      </c>
      <c r="BG5" s="448">
        <v>0</v>
      </c>
      <c r="BH5" s="448">
        <v>0</v>
      </c>
      <c r="BI5" s="446" t="s">
        <v>1183</v>
      </c>
      <c r="BJ5" s="446" t="s">
        <v>1183</v>
      </c>
      <c r="BK5" s="446" t="s">
        <v>1183</v>
      </c>
      <c r="BL5" s="447">
        <v>0</v>
      </c>
      <c r="BM5" s="446" t="s">
        <v>1183</v>
      </c>
      <c r="BN5" s="447">
        <v>0</v>
      </c>
      <c r="BO5" s="447">
        <v>0</v>
      </c>
      <c r="BP5" s="447">
        <v>0</v>
      </c>
      <c r="BQ5" s="447">
        <v>0</v>
      </c>
      <c r="BR5" s="447">
        <v>0</v>
      </c>
      <c r="BS5" s="451">
        <v>0</v>
      </c>
      <c r="BT5" s="446" t="s">
        <v>1183</v>
      </c>
      <c r="BU5" s="446" t="s">
        <v>1183</v>
      </c>
      <c r="BV5" s="446" t="s">
        <v>1183</v>
      </c>
      <c r="BW5" s="447">
        <v>0</v>
      </c>
      <c r="BX5" s="447">
        <v>0</v>
      </c>
      <c r="BY5" s="447">
        <v>0</v>
      </c>
      <c r="BZ5" s="447">
        <v>0</v>
      </c>
      <c r="CA5" s="448">
        <v>0</v>
      </c>
      <c r="CB5" s="448">
        <v>0</v>
      </c>
      <c r="CC5" s="447">
        <v>0</v>
      </c>
      <c r="CD5" s="446" t="s">
        <v>1183</v>
      </c>
      <c r="CE5" s="446" t="s">
        <v>1183</v>
      </c>
      <c r="CF5" s="448">
        <v>0</v>
      </c>
      <c r="CG5" s="448">
        <v>0</v>
      </c>
      <c r="CH5" s="448">
        <v>0</v>
      </c>
      <c r="CI5" s="448">
        <v>0</v>
      </c>
      <c r="CJ5" s="446" t="s">
        <v>1183</v>
      </c>
      <c r="CK5" s="446" t="s">
        <v>1183</v>
      </c>
      <c r="CL5" s="446" t="s">
        <v>1183</v>
      </c>
      <c r="CM5" s="446" t="s">
        <v>1183</v>
      </c>
      <c r="CN5" s="446" t="s">
        <v>1183</v>
      </c>
      <c r="CO5" s="446" t="s">
        <v>1183</v>
      </c>
      <c r="CP5" s="448">
        <v>0</v>
      </c>
      <c r="CQ5" s="446" t="s">
        <v>1183</v>
      </c>
      <c r="CR5" s="448">
        <v>0</v>
      </c>
      <c r="CS5" s="446" t="s">
        <v>1183</v>
      </c>
      <c r="CT5" s="448">
        <v>0</v>
      </c>
      <c r="CU5" s="446" t="s">
        <v>1183</v>
      </c>
      <c r="CV5" s="446" t="s">
        <v>1183</v>
      </c>
      <c r="CW5" s="448">
        <v>0</v>
      </c>
      <c r="CX5" s="446" t="s">
        <v>1183</v>
      </c>
      <c r="CY5" s="448">
        <v>0</v>
      </c>
      <c r="CZ5" s="446" t="s">
        <v>1183</v>
      </c>
      <c r="DA5" s="448">
        <v>0</v>
      </c>
      <c r="DB5" s="446" t="s">
        <v>1183</v>
      </c>
      <c r="DC5" s="446" t="s">
        <v>1183</v>
      </c>
      <c r="DD5" s="446" t="s">
        <v>1183</v>
      </c>
      <c r="DE5" s="446" t="s">
        <v>1183</v>
      </c>
      <c r="DF5" s="446"/>
    </row>
    <row customHeight="true" ht="16.296296296296294" r="6">
      <c r="A6" s="446" t="s">
        <v>1188</v>
      </c>
      <c r="B6" s="446" t="s">
        <v>1179</v>
      </c>
      <c r="C6" s="446" t="s">
        <v>1180</v>
      </c>
      <c r="D6" s="446" t="s">
        <v>1180</v>
      </c>
      <c r="E6" s="446" t="s">
        <v>1181</v>
      </c>
      <c r="F6" s="446" t="s">
        <v>1182</v>
      </c>
      <c r="G6" s="447">
        <v>0</v>
      </c>
      <c r="H6" s="447">
        <v>0</v>
      </c>
      <c r="I6" s="448">
        <v>0</v>
      </c>
      <c r="J6" s="448">
        <v>0</v>
      </c>
      <c r="K6" s="448">
        <v>0</v>
      </c>
      <c r="L6" s="448">
        <v>0</v>
      </c>
      <c r="M6" s="448">
        <v>0</v>
      </c>
      <c r="N6" s="448">
        <v>0</v>
      </c>
      <c r="O6" s="448">
        <v>0</v>
      </c>
      <c r="P6" s="448">
        <v>0</v>
      </c>
      <c r="Q6" s="447">
        <v>0</v>
      </c>
      <c r="R6" s="448">
        <v>0</v>
      </c>
      <c r="S6" s="447">
        <v>0</v>
      </c>
      <c r="T6" s="446" t="s">
        <v>1183</v>
      </c>
      <c r="U6" s="446" t="s">
        <v>1183</v>
      </c>
      <c r="V6" s="446" t="s">
        <v>1183</v>
      </c>
      <c r="W6" s="446" t="s">
        <v>1183</v>
      </c>
      <c r="X6" s="446" t="s">
        <v>1183</v>
      </c>
      <c r="Y6" s="446" t="s">
        <v>1183</v>
      </c>
      <c r="Z6" s="448">
        <v>0</v>
      </c>
      <c r="AA6" s="447">
        <v>0</v>
      </c>
      <c r="AB6" s="448">
        <v>0</v>
      </c>
      <c r="AC6" s="447">
        <v>0</v>
      </c>
      <c r="AD6" s="448">
        <v>0</v>
      </c>
      <c r="AE6" s="447">
        <v>0</v>
      </c>
      <c r="AF6" s="448">
        <v>0</v>
      </c>
      <c r="AG6" s="447">
        <v>0</v>
      </c>
      <c r="AH6" s="449">
        <v>0</v>
      </c>
      <c r="AI6" s="447">
        <v>0</v>
      </c>
      <c r="AJ6" s="449">
        <v>0</v>
      </c>
      <c r="AK6" s="447">
        <v>0</v>
      </c>
      <c r="AL6" s="446"/>
      <c r="AM6" s="446"/>
      <c r="AN6" s="448">
        <v>0</v>
      </c>
      <c r="AO6" s="447">
        <v>0</v>
      </c>
      <c r="AP6" s="446" t="s">
        <v>1183</v>
      </c>
      <c r="AQ6" s="450">
        <v>0</v>
      </c>
      <c r="AR6" s="448">
        <v>0</v>
      </c>
      <c r="AS6" s="446" t="s">
        <v>1183</v>
      </c>
      <c r="AT6" s="446" t="s">
        <v>1184</v>
      </c>
      <c r="AU6" s="446" t="s">
        <v>1184</v>
      </c>
      <c r="AV6" s="446" t="s">
        <v>1184</v>
      </c>
      <c r="AW6" s="446" t="s">
        <v>1184</v>
      </c>
      <c r="AX6" s="446" t="s">
        <v>1184</v>
      </c>
      <c r="AY6" s="448">
        <v>0</v>
      </c>
      <c r="AZ6" s="446" t="s">
        <v>1183</v>
      </c>
      <c r="BA6" s="448">
        <v>0</v>
      </c>
      <c r="BB6" s="446" t="s">
        <v>1183</v>
      </c>
      <c r="BC6" s="448">
        <v>0</v>
      </c>
      <c r="BD6" s="446" t="s">
        <v>1183</v>
      </c>
      <c r="BE6" s="448">
        <v>0</v>
      </c>
      <c r="BF6" s="448">
        <v>0</v>
      </c>
      <c r="BG6" s="448">
        <v>0</v>
      </c>
      <c r="BH6" s="448">
        <v>0</v>
      </c>
      <c r="BI6" s="446" t="s">
        <v>1183</v>
      </c>
      <c r="BJ6" s="446" t="s">
        <v>1183</v>
      </c>
      <c r="BK6" s="446" t="s">
        <v>1183</v>
      </c>
      <c r="BL6" s="447">
        <v>0</v>
      </c>
      <c r="BM6" s="446" t="s">
        <v>1183</v>
      </c>
      <c r="BN6" s="447">
        <v>0</v>
      </c>
      <c r="BO6" s="447">
        <v>0</v>
      </c>
      <c r="BP6" s="447">
        <v>0</v>
      </c>
      <c r="BQ6" s="447">
        <v>0</v>
      </c>
      <c r="BR6" s="447">
        <v>0</v>
      </c>
      <c r="BS6" s="451">
        <v>0</v>
      </c>
      <c r="BT6" s="446" t="s">
        <v>1183</v>
      </c>
      <c r="BU6" s="446" t="s">
        <v>1183</v>
      </c>
      <c r="BV6" s="446" t="s">
        <v>1183</v>
      </c>
      <c r="BW6" s="447">
        <v>0</v>
      </c>
      <c r="BX6" s="447">
        <v>0</v>
      </c>
      <c r="BY6" s="447">
        <v>0</v>
      </c>
      <c r="BZ6" s="447">
        <v>0</v>
      </c>
      <c r="CA6" s="448">
        <v>0</v>
      </c>
      <c r="CB6" s="448">
        <v>0</v>
      </c>
      <c r="CC6" s="447">
        <v>0</v>
      </c>
      <c r="CD6" s="446" t="s">
        <v>1183</v>
      </c>
      <c r="CE6" s="446" t="s">
        <v>1183</v>
      </c>
      <c r="CF6" s="448">
        <v>0</v>
      </c>
      <c r="CG6" s="448">
        <v>0</v>
      </c>
      <c r="CH6" s="448">
        <v>0</v>
      </c>
      <c r="CI6" s="448">
        <v>0</v>
      </c>
      <c r="CJ6" s="446" t="s">
        <v>1183</v>
      </c>
      <c r="CK6" s="446" t="s">
        <v>1183</v>
      </c>
      <c r="CL6" s="446" t="s">
        <v>1183</v>
      </c>
      <c r="CM6" s="446" t="s">
        <v>1183</v>
      </c>
      <c r="CN6" s="446" t="s">
        <v>1183</v>
      </c>
      <c r="CO6" s="446" t="s">
        <v>1183</v>
      </c>
      <c r="CP6" s="448">
        <v>0</v>
      </c>
      <c r="CQ6" s="446" t="s">
        <v>1183</v>
      </c>
      <c r="CR6" s="448">
        <v>0</v>
      </c>
      <c r="CS6" s="446" t="s">
        <v>1183</v>
      </c>
      <c r="CT6" s="448">
        <v>0</v>
      </c>
      <c r="CU6" s="446" t="s">
        <v>1183</v>
      </c>
      <c r="CV6" s="446" t="s">
        <v>1183</v>
      </c>
      <c r="CW6" s="448">
        <v>0</v>
      </c>
      <c r="CX6" s="446" t="s">
        <v>1183</v>
      </c>
      <c r="CY6" s="448">
        <v>0</v>
      </c>
      <c r="CZ6" s="446" t="s">
        <v>1183</v>
      </c>
      <c r="DA6" s="448">
        <v>0</v>
      </c>
      <c r="DB6" s="446" t="s">
        <v>1183</v>
      </c>
      <c r="DC6" s="446" t="s">
        <v>1183</v>
      </c>
      <c r="DD6" s="446" t="s">
        <v>1183</v>
      </c>
      <c r="DE6" s="446" t="s">
        <v>1183</v>
      </c>
      <c r="DF6" s="446"/>
    </row>
    <row customHeight="true" ht="16.296296296296294" r="7">
      <c r="A7" s="446" t="s">
        <v>1189</v>
      </c>
      <c r="B7" s="446" t="s">
        <v>1179</v>
      </c>
      <c r="C7" s="446" t="s">
        <v>1180</v>
      </c>
      <c r="D7" s="446" t="s">
        <v>1180</v>
      </c>
      <c r="E7" s="446" t="s">
        <v>1181</v>
      </c>
      <c r="F7" s="446" t="s">
        <v>1182</v>
      </c>
      <c r="G7" s="447">
        <v>0</v>
      </c>
      <c r="H7" s="447">
        <v>0</v>
      </c>
      <c r="I7" s="448">
        <v>0</v>
      </c>
      <c r="J7" s="448">
        <v>0</v>
      </c>
      <c r="K7" s="448">
        <v>0</v>
      </c>
      <c r="L7" s="448">
        <v>0</v>
      </c>
      <c r="M7" s="448">
        <v>0</v>
      </c>
      <c r="N7" s="448">
        <v>0</v>
      </c>
      <c r="O7" s="448">
        <v>0</v>
      </c>
      <c r="P7" s="448">
        <v>0</v>
      </c>
      <c r="Q7" s="447">
        <v>0</v>
      </c>
      <c r="R7" s="448">
        <v>0</v>
      </c>
      <c r="S7" s="447">
        <v>0</v>
      </c>
      <c r="T7" s="446" t="s">
        <v>1183</v>
      </c>
      <c r="U7" s="446" t="s">
        <v>1183</v>
      </c>
      <c r="V7" s="446" t="s">
        <v>1183</v>
      </c>
      <c r="W7" s="446" t="s">
        <v>1183</v>
      </c>
      <c r="X7" s="446" t="s">
        <v>1183</v>
      </c>
      <c r="Y7" s="446" t="s">
        <v>1183</v>
      </c>
      <c r="Z7" s="448">
        <v>0</v>
      </c>
      <c r="AA7" s="447">
        <v>0</v>
      </c>
      <c r="AB7" s="448">
        <v>0</v>
      </c>
      <c r="AC7" s="447">
        <v>0</v>
      </c>
      <c r="AD7" s="448">
        <v>0</v>
      </c>
      <c r="AE7" s="447">
        <v>0</v>
      </c>
      <c r="AF7" s="448">
        <v>0</v>
      </c>
      <c r="AG7" s="447">
        <v>0</v>
      </c>
      <c r="AH7" s="449">
        <v>0</v>
      </c>
      <c r="AI7" s="447">
        <v>0</v>
      </c>
      <c r="AJ7" s="449">
        <v>0</v>
      </c>
      <c r="AK7" s="447">
        <v>0</v>
      </c>
      <c r="AL7" s="446"/>
      <c r="AM7" s="446"/>
      <c r="AN7" s="448">
        <v>0</v>
      </c>
      <c r="AO7" s="447">
        <v>0</v>
      </c>
      <c r="AP7" s="446" t="s">
        <v>1183</v>
      </c>
      <c r="AQ7" s="450">
        <v>0</v>
      </c>
      <c r="AR7" s="448">
        <v>0</v>
      </c>
      <c r="AS7" s="446" t="s">
        <v>1183</v>
      </c>
      <c r="AT7" s="446" t="s">
        <v>1184</v>
      </c>
      <c r="AU7" s="446" t="s">
        <v>1184</v>
      </c>
      <c r="AV7" s="446" t="s">
        <v>1184</v>
      </c>
      <c r="AW7" s="446" t="s">
        <v>1184</v>
      </c>
      <c r="AX7" s="446" t="s">
        <v>1184</v>
      </c>
      <c r="AY7" s="448">
        <v>0</v>
      </c>
      <c r="AZ7" s="446" t="s">
        <v>1183</v>
      </c>
      <c r="BA7" s="448">
        <v>0</v>
      </c>
      <c r="BB7" s="446" t="s">
        <v>1183</v>
      </c>
      <c r="BC7" s="448">
        <v>0</v>
      </c>
      <c r="BD7" s="446" t="s">
        <v>1183</v>
      </c>
      <c r="BE7" s="448">
        <v>0</v>
      </c>
      <c r="BF7" s="448">
        <v>0</v>
      </c>
      <c r="BG7" s="448">
        <v>0</v>
      </c>
      <c r="BH7" s="448">
        <v>0</v>
      </c>
      <c r="BI7" s="446" t="s">
        <v>1183</v>
      </c>
      <c r="BJ7" s="446" t="s">
        <v>1183</v>
      </c>
      <c r="BK7" s="446" t="s">
        <v>1183</v>
      </c>
      <c r="BL7" s="447">
        <v>0</v>
      </c>
      <c r="BM7" s="446" t="s">
        <v>1183</v>
      </c>
      <c r="BN7" s="447">
        <v>0</v>
      </c>
      <c r="BO7" s="447">
        <v>0</v>
      </c>
      <c r="BP7" s="447">
        <v>0</v>
      </c>
      <c r="BQ7" s="447">
        <v>0</v>
      </c>
      <c r="BR7" s="447">
        <v>0</v>
      </c>
      <c r="BS7" s="451">
        <v>0</v>
      </c>
      <c r="BT7" s="446" t="s">
        <v>1183</v>
      </c>
      <c r="BU7" s="446" t="s">
        <v>1183</v>
      </c>
      <c r="BV7" s="446" t="s">
        <v>1183</v>
      </c>
      <c r="BW7" s="447">
        <v>0</v>
      </c>
      <c r="BX7" s="447">
        <v>0</v>
      </c>
      <c r="BY7" s="447">
        <v>0</v>
      </c>
      <c r="BZ7" s="447">
        <v>0</v>
      </c>
      <c r="CA7" s="448">
        <v>0</v>
      </c>
      <c r="CB7" s="448">
        <v>0</v>
      </c>
      <c r="CC7" s="447">
        <v>0</v>
      </c>
      <c r="CD7" s="446" t="s">
        <v>1183</v>
      </c>
      <c r="CE7" s="446" t="s">
        <v>1183</v>
      </c>
      <c r="CF7" s="448">
        <v>0</v>
      </c>
      <c r="CG7" s="448">
        <v>0</v>
      </c>
      <c r="CH7" s="448">
        <v>0</v>
      </c>
      <c r="CI7" s="448">
        <v>0</v>
      </c>
      <c r="CJ7" s="446" t="s">
        <v>1183</v>
      </c>
      <c r="CK7" s="446" t="s">
        <v>1183</v>
      </c>
      <c r="CL7" s="446" t="s">
        <v>1183</v>
      </c>
      <c r="CM7" s="446" t="s">
        <v>1183</v>
      </c>
      <c r="CN7" s="446" t="s">
        <v>1183</v>
      </c>
      <c r="CO7" s="446" t="s">
        <v>1183</v>
      </c>
      <c r="CP7" s="448">
        <v>0</v>
      </c>
      <c r="CQ7" s="446" t="s">
        <v>1183</v>
      </c>
      <c r="CR7" s="448">
        <v>0</v>
      </c>
      <c r="CS7" s="446" t="s">
        <v>1183</v>
      </c>
      <c r="CT7" s="448">
        <v>0</v>
      </c>
      <c r="CU7" s="446" t="s">
        <v>1183</v>
      </c>
      <c r="CV7" s="446" t="s">
        <v>1183</v>
      </c>
      <c r="CW7" s="448">
        <v>0</v>
      </c>
      <c r="CX7" s="446" t="s">
        <v>1183</v>
      </c>
      <c r="CY7" s="448">
        <v>0</v>
      </c>
      <c r="CZ7" s="446" t="s">
        <v>1183</v>
      </c>
      <c r="DA7" s="448">
        <v>0</v>
      </c>
      <c r="DB7" s="446" t="s">
        <v>1183</v>
      </c>
      <c r="DC7" s="446" t="s">
        <v>1183</v>
      </c>
      <c r="DD7" s="446" t="s">
        <v>1183</v>
      </c>
      <c r="DE7" s="446" t="s">
        <v>1183</v>
      </c>
      <c r="DF7" s="446"/>
    </row>
    <row customHeight="true" ht="16.296296296296294" r="8">
      <c r="A8" s="446" t="s">
        <v>1190</v>
      </c>
      <c r="B8" s="446" t="s">
        <v>1179</v>
      </c>
      <c r="C8" s="446" t="s">
        <v>1180</v>
      </c>
      <c r="D8" s="446" t="s">
        <v>1180</v>
      </c>
      <c r="E8" s="446" t="s">
        <v>1181</v>
      </c>
      <c r="F8" s="446" t="s">
        <v>1182</v>
      </c>
      <c r="G8" s="447">
        <v>0</v>
      </c>
      <c r="H8" s="447">
        <v>0</v>
      </c>
      <c r="I8" s="448">
        <v>0</v>
      </c>
      <c r="J8" s="448">
        <v>0</v>
      </c>
      <c r="K8" s="448">
        <v>0</v>
      </c>
      <c r="L8" s="448">
        <v>0</v>
      </c>
      <c r="M8" s="448">
        <v>0</v>
      </c>
      <c r="N8" s="448">
        <v>0</v>
      </c>
      <c r="O8" s="448">
        <v>0</v>
      </c>
      <c r="P8" s="448">
        <v>0</v>
      </c>
      <c r="Q8" s="447">
        <v>0</v>
      </c>
      <c r="R8" s="448">
        <v>0</v>
      </c>
      <c r="S8" s="447">
        <v>0</v>
      </c>
      <c r="T8" s="446" t="s">
        <v>1183</v>
      </c>
      <c r="U8" s="446" t="s">
        <v>1183</v>
      </c>
      <c r="V8" s="446" t="s">
        <v>1183</v>
      </c>
      <c r="W8" s="446" t="s">
        <v>1183</v>
      </c>
      <c r="X8" s="446" t="s">
        <v>1183</v>
      </c>
      <c r="Y8" s="446" t="s">
        <v>1183</v>
      </c>
      <c r="Z8" s="448">
        <v>0</v>
      </c>
      <c r="AA8" s="447">
        <v>0</v>
      </c>
      <c r="AB8" s="448">
        <v>0</v>
      </c>
      <c r="AC8" s="447">
        <v>0</v>
      </c>
      <c r="AD8" s="448">
        <v>0</v>
      </c>
      <c r="AE8" s="447">
        <v>0</v>
      </c>
      <c r="AF8" s="448">
        <v>0</v>
      </c>
      <c r="AG8" s="447">
        <v>0</v>
      </c>
      <c r="AH8" s="449">
        <v>0</v>
      </c>
      <c r="AI8" s="447">
        <v>0</v>
      </c>
      <c r="AJ8" s="449">
        <v>0</v>
      </c>
      <c r="AK8" s="447">
        <v>0</v>
      </c>
      <c r="AL8" s="446"/>
      <c r="AM8" s="446"/>
      <c r="AN8" s="448">
        <v>0</v>
      </c>
      <c r="AO8" s="447">
        <v>0</v>
      </c>
      <c r="AP8" s="446" t="s">
        <v>1183</v>
      </c>
      <c r="AQ8" s="450">
        <v>0</v>
      </c>
      <c r="AR8" s="448">
        <v>0</v>
      </c>
      <c r="AS8" s="446" t="s">
        <v>1183</v>
      </c>
      <c r="AT8" s="446" t="s">
        <v>1184</v>
      </c>
      <c r="AU8" s="446" t="s">
        <v>1184</v>
      </c>
      <c r="AV8" s="446" t="s">
        <v>1184</v>
      </c>
      <c r="AW8" s="446" t="s">
        <v>1184</v>
      </c>
      <c r="AX8" s="446" t="s">
        <v>1184</v>
      </c>
      <c r="AY8" s="448">
        <v>0</v>
      </c>
      <c r="AZ8" s="446" t="s">
        <v>1183</v>
      </c>
      <c r="BA8" s="448">
        <v>0</v>
      </c>
      <c r="BB8" s="446" t="s">
        <v>1183</v>
      </c>
      <c r="BC8" s="448">
        <v>0</v>
      </c>
      <c r="BD8" s="446" t="s">
        <v>1183</v>
      </c>
      <c r="BE8" s="448">
        <v>0</v>
      </c>
      <c r="BF8" s="448">
        <v>0</v>
      </c>
      <c r="BG8" s="448">
        <v>0</v>
      </c>
      <c r="BH8" s="448">
        <v>0</v>
      </c>
      <c r="BI8" s="446" t="s">
        <v>1183</v>
      </c>
      <c r="BJ8" s="446" t="s">
        <v>1183</v>
      </c>
      <c r="BK8" s="446" t="s">
        <v>1183</v>
      </c>
      <c r="BL8" s="447">
        <v>0</v>
      </c>
      <c r="BM8" s="446" t="s">
        <v>1183</v>
      </c>
      <c r="BN8" s="447">
        <v>0</v>
      </c>
      <c r="BO8" s="447">
        <v>0</v>
      </c>
      <c r="BP8" s="447">
        <v>0</v>
      </c>
      <c r="BQ8" s="447">
        <v>0</v>
      </c>
      <c r="BR8" s="447">
        <v>0</v>
      </c>
      <c r="BS8" s="451">
        <v>0</v>
      </c>
      <c r="BT8" s="446" t="s">
        <v>1183</v>
      </c>
      <c r="BU8" s="446" t="s">
        <v>1183</v>
      </c>
      <c r="BV8" s="446" t="s">
        <v>1183</v>
      </c>
      <c r="BW8" s="447">
        <v>0</v>
      </c>
      <c r="BX8" s="447">
        <v>0</v>
      </c>
      <c r="BY8" s="447">
        <v>0</v>
      </c>
      <c r="BZ8" s="447">
        <v>0</v>
      </c>
      <c r="CA8" s="448">
        <v>0</v>
      </c>
      <c r="CB8" s="448">
        <v>0</v>
      </c>
      <c r="CC8" s="447">
        <v>0</v>
      </c>
      <c r="CD8" s="446" t="s">
        <v>1183</v>
      </c>
      <c r="CE8" s="446" t="s">
        <v>1183</v>
      </c>
      <c r="CF8" s="448">
        <v>0</v>
      </c>
      <c r="CG8" s="448">
        <v>0</v>
      </c>
      <c r="CH8" s="448">
        <v>0</v>
      </c>
      <c r="CI8" s="448">
        <v>0</v>
      </c>
      <c r="CJ8" s="446" t="s">
        <v>1183</v>
      </c>
      <c r="CK8" s="446" t="s">
        <v>1183</v>
      </c>
      <c r="CL8" s="446" t="s">
        <v>1183</v>
      </c>
      <c r="CM8" s="446" t="s">
        <v>1183</v>
      </c>
      <c r="CN8" s="446" t="s">
        <v>1183</v>
      </c>
      <c r="CO8" s="446" t="s">
        <v>1183</v>
      </c>
      <c r="CP8" s="448">
        <v>0</v>
      </c>
      <c r="CQ8" s="446" t="s">
        <v>1183</v>
      </c>
      <c r="CR8" s="448">
        <v>0</v>
      </c>
      <c r="CS8" s="446" t="s">
        <v>1183</v>
      </c>
      <c r="CT8" s="448">
        <v>0</v>
      </c>
      <c r="CU8" s="446" t="s">
        <v>1183</v>
      </c>
      <c r="CV8" s="446" t="s">
        <v>1183</v>
      </c>
      <c r="CW8" s="448">
        <v>0</v>
      </c>
      <c r="CX8" s="446" t="s">
        <v>1183</v>
      </c>
      <c r="CY8" s="448">
        <v>0</v>
      </c>
      <c r="CZ8" s="446" t="s">
        <v>1183</v>
      </c>
      <c r="DA8" s="448">
        <v>0</v>
      </c>
      <c r="DB8" s="446" t="s">
        <v>1183</v>
      </c>
      <c r="DC8" s="446" t="s">
        <v>1183</v>
      </c>
      <c r="DD8" s="446" t="s">
        <v>1183</v>
      </c>
      <c r="DE8" s="446" t="s">
        <v>1183</v>
      </c>
      <c r="DF8" s="446"/>
    </row>
    <row customHeight="true" ht="16.296296296296294" r="9">
      <c r="A9" s="446" t="s">
        <v>1191</v>
      </c>
      <c r="B9" s="446" t="s">
        <v>1179</v>
      </c>
      <c r="C9" s="446" t="s">
        <v>1180</v>
      </c>
      <c r="D9" s="446" t="s">
        <v>1180</v>
      </c>
      <c r="E9" s="446" t="s">
        <v>1181</v>
      </c>
      <c r="F9" s="446" t="s">
        <v>1182</v>
      </c>
      <c r="G9" s="447">
        <v>0</v>
      </c>
      <c r="H9" s="447">
        <v>0</v>
      </c>
      <c r="I9" s="448">
        <v>0</v>
      </c>
      <c r="J9" s="448">
        <v>0</v>
      </c>
      <c r="K9" s="448">
        <v>0</v>
      </c>
      <c r="L9" s="448">
        <v>0</v>
      </c>
      <c r="M9" s="448">
        <v>0</v>
      </c>
      <c r="N9" s="448">
        <v>0</v>
      </c>
      <c r="O9" s="448">
        <v>0</v>
      </c>
      <c r="P9" s="448">
        <v>0</v>
      </c>
      <c r="Q9" s="447">
        <v>0</v>
      </c>
      <c r="R9" s="448">
        <v>0</v>
      </c>
      <c r="S9" s="447">
        <v>0</v>
      </c>
      <c r="T9" s="446" t="s">
        <v>1183</v>
      </c>
      <c r="U9" s="446" t="s">
        <v>1183</v>
      </c>
      <c r="V9" s="446" t="s">
        <v>1183</v>
      </c>
      <c r="W9" s="446" t="s">
        <v>1183</v>
      </c>
      <c r="X9" s="446" t="s">
        <v>1183</v>
      </c>
      <c r="Y9" s="446" t="s">
        <v>1183</v>
      </c>
      <c r="Z9" s="448">
        <v>0</v>
      </c>
      <c r="AA9" s="447">
        <v>0</v>
      </c>
      <c r="AB9" s="448">
        <v>0</v>
      </c>
      <c r="AC9" s="447">
        <v>0</v>
      </c>
      <c r="AD9" s="448">
        <v>0</v>
      </c>
      <c r="AE9" s="447">
        <v>0</v>
      </c>
      <c r="AF9" s="448">
        <v>0</v>
      </c>
      <c r="AG9" s="447">
        <v>0</v>
      </c>
      <c r="AH9" s="449">
        <v>0</v>
      </c>
      <c r="AI9" s="447">
        <v>0</v>
      </c>
      <c r="AJ9" s="449">
        <v>0</v>
      </c>
      <c r="AK9" s="447">
        <v>0</v>
      </c>
      <c r="AL9" s="446"/>
      <c r="AM9" s="446"/>
      <c r="AN9" s="448">
        <v>0</v>
      </c>
      <c r="AO9" s="447">
        <v>0</v>
      </c>
      <c r="AP9" s="446" t="s">
        <v>1183</v>
      </c>
      <c r="AQ9" s="450">
        <v>0</v>
      </c>
      <c r="AR9" s="448">
        <v>0</v>
      </c>
      <c r="AS9" s="446" t="s">
        <v>1183</v>
      </c>
      <c r="AT9" s="446" t="s">
        <v>1184</v>
      </c>
      <c r="AU9" s="446" t="s">
        <v>1184</v>
      </c>
      <c r="AV9" s="446" t="s">
        <v>1184</v>
      </c>
      <c r="AW9" s="446" t="s">
        <v>1184</v>
      </c>
      <c r="AX9" s="446" t="s">
        <v>1184</v>
      </c>
      <c r="AY9" s="448">
        <v>0</v>
      </c>
      <c r="AZ9" s="446" t="s">
        <v>1183</v>
      </c>
      <c r="BA9" s="448">
        <v>0</v>
      </c>
      <c r="BB9" s="446" t="s">
        <v>1183</v>
      </c>
      <c r="BC9" s="448">
        <v>0</v>
      </c>
      <c r="BD9" s="446" t="s">
        <v>1183</v>
      </c>
      <c r="BE9" s="448">
        <v>0</v>
      </c>
      <c r="BF9" s="448">
        <v>0</v>
      </c>
      <c r="BG9" s="448">
        <v>0</v>
      </c>
      <c r="BH9" s="448">
        <v>0</v>
      </c>
      <c r="BI9" s="446" t="s">
        <v>1183</v>
      </c>
      <c r="BJ9" s="446" t="s">
        <v>1183</v>
      </c>
      <c r="BK9" s="446" t="s">
        <v>1183</v>
      </c>
      <c r="BL9" s="447">
        <v>0</v>
      </c>
      <c r="BM9" s="446" t="s">
        <v>1183</v>
      </c>
      <c r="BN9" s="447">
        <v>0</v>
      </c>
      <c r="BO9" s="447">
        <v>0</v>
      </c>
      <c r="BP9" s="447">
        <v>0</v>
      </c>
      <c r="BQ9" s="447">
        <v>0</v>
      </c>
      <c r="BR9" s="447">
        <v>0</v>
      </c>
      <c r="BS9" s="451">
        <v>0</v>
      </c>
      <c r="BT9" s="446" t="s">
        <v>1183</v>
      </c>
      <c r="BU9" s="446" t="s">
        <v>1183</v>
      </c>
      <c r="BV9" s="446" t="s">
        <v>1183</v>
      </c>
      <c r="BW9" s="447">
        <v>0</v>
      </c>
      <c r="BX9" s="447">
        <v>0</v>
      </c>
      <c r="BY9" s="447">
        <v>0</v>
      </c>
      <c r="BZ9" s="447">
        <v>0</v>
      </c>
      <c r="CA9" s="448">
        <v>0</v>
      </c>
      <c r="CB9" s="448">
        <v>0</v>
      </c>
      <c r="CC9" s="447">
        <v>0</v>
      </c>
      <c r="CD9" s="446" t="s">
        <v>1183</v>
      </c>
      <c r="CE9" s="446" t="s">
        <v>1183</v>
      </c>
      <c r="CF9" s="448">
        <v>0</v>
      </c>
      <c r="CG9" s="448">
        <v>0</v>
      </c>
      <c r="CH9" s="448">
        <v>0</v>
      </c>
      <c r="CI9" s="448">
        <v>0</v>
      </c>
      <c r="CJ9" s="446" t="s">
        <v>1183</v>
      </c>
      <c r="CK9" s="446" t="s">
        <v>1183</v>
      </c>
      <c r="CL9" s="446" t="s">
        <v>1183</v>
      </c>
      <c r="CM9" s="446" t="s">
        <v>1183</v>
      </c>
      <c r="CN9" s="446" t="s">
        <v>1183</v>
      </c>
      <c r="CO9" s="446" t="s">
        <v>1183</v>
      </c>
      <c r="CP9" s="448">
        <v>0</v>
      </c>
      <c r="CQ9" s="446" t="s">
        <v>1183</v>
      </c>
      <c r="CR9" s="448">
        <v>0</v>
      </c>
      <c r="CS9" s="446" t="s">
        <v>1183</v>
      </c>
      <c r="CT9" s="448">
        <v>0</v>
      </c>
      <c r="CU9" s="446" t="s">
        <v>1183</v>
      </c>
      <c r="CV9" s="446" t="s">
        <v>1183</v>
      </c>
      <c r="CW9" s="448">
        <v>0</v>
      </c>
      <c r="CX9" s="446" t="s">
        <v>1183</v>
      </c>
      <c r="CY9" s="448">
        <v>0</v>
      </c>
      <c r="CZ9" s="446" t="s">
        <v>1183</v>
      </c>
      <c r="DA9" s="448">
        <v>0</v>
      </c>
      <c r="DB9" s="446" t="s">
        <v>1183</v>
      </c>
      <c r="DC9" s="446" t="s">
        <v>1183</v>
      </c>
      <c r="DD9" s="446" t="s">
        <v>1183</v>
      </c>
      <c r="DE9" s="446" t="s">
        <v>1183</v>
      </c>
      <c r="DF9" s="446"/>
    </row>
    <row customHeight="true" ht="16.296296296296294" r="10">
      <c r="A10" s="446" t="s">
        <v>1192</v>
      </c>
      <c r="B10" s="446" t="s">
        <v>1179</v>
      </c>
      <c r="C10" s="446" t="s">
        <v>1180</v>
      </c>
      <c r="D10" s="446" t="s">
        <v>1180</v>
      </c>
      <c r="E10" s="446" t="s">
        <v>1181</v>
      </c>
      <c r="F10" s="446" t="s">
        <v>1182</v>
      </c>
      <c r="G10" s="447">
        <v>0</v>
      </c>
      <c r="H10" s="447">
        <v>0</v>
      </c>
      <c r="I10" s="448">
        <v>0</v>
      </c>
      <c r="J10" s="448">
        <v>0</v>
      </c>
      <c r="K10" s="448">
        <v>0</v>
      </c>
      <c r="L10" s="448">
        <v>0</v>
      </c>
      <c r="M10" s="448">
        <v>0</v>
      </c>
      <c r="N10" s="448">
        <v>0</v>
      </c>
      <c r="O10" s="448">
        <v>0</v>
      </c>
      <c r="P10" s="448">
        <v>0</v>
      </c>
      <c r="Q10" s="447">
        <v>0</v>
      </c>
      <c r="R10" s="448">
        <v>0</v>
      </c>
      <c r="S10" s="447">
        <v>0</v>
      </c>
      <c r="T10" s="446" t="s">
        <v>1183</v>
      </c>
      <c r="U10" s="446" t="s">
        <v>1183</v>
      </c>
      <c r="V10" s="446" t="s">
        <v>1183</v>
      </c>
      <c r="W10" s="446" t="s">
        <v>1183</v>
      </c>
      <c r="X10" s="446" t="s">
        <v>1183</v>
      </c>
      <c r="Y10" s="446" t="s">
        <v>1183</v>
      </c>
      <c r="Z10" s="448">
        <v>0</v>
      </c>
      <c r="AA10" s="447">
        <v>0</v>
      </c>
      <c r="AB10" s="448">
        <v>0</v>
      </c>
      <c r="AC10" s="447">
        <v>0</v>
      </c>
      <c r="AD10" s="448">
        <v>0</v>
      </c>
      <c r="AE10" s="447">
        <v>0</v>
      </c>
      <c r="AF10" s="448">
        <v>0</v>
      </c>
      <c r="AG10" s="447">
        <v>0</v>
      </c>
      <c r="AH10" s="449">
        <v>0</v>
      </c>
      <c r="AI10" s="447">
        <v>0</v>
      </c>
      <c r="AJ10" s="449">
        <v>0</v>
      </c>
      <c r="AK10" s="447">
        <v>0</v>
      </c>
      <c r="AL10" s="446"/>
      <c r="AM10" s="446"/>
      <c r="AN10" s="448">
        <v>0</v>
      </c>
      <c r="AO10" s="447">
        <v>0</v>
      </c>
      <c r="AP10" s="446" t="s">
        <v>1183</v>
      </c>
      <c r="AQ10" s="450">
        <v>0</v>
      </c>
      <c r="AR10" s="448">
        <v>0</v>
      </c>
      <c r="AS10" s="446" t="s">
        <v>1183</v>
      </c>
      <c r="AT10" s="446" t="s">
        <v>1184</v>
      </c>
      <c r="AU10" s="446" t="s">
        <v>1184</v>
      </c>
      <c r="AV10" s="446" t="s">
        <v>1184</v>
      </c>
      <c r="AW10" s="446" t="s">
        <v>1184</v>
      </c>
      <c r="AX10" s="446" t="s">
        <v>1184</v>
      </c>
      <c r="AY10" s="448">
        <v>0</v>
      </c>
      <c r="AZ10" s="446" t="s">
        <v>1183</v>
      </c>
      <c r="BA10" s="448">
        <v>0</v>
      </c>
      <c r="BB10" s="446" t="s">
        <v>1183</v>
      </c>
      <c r="BC10" s="448">
        <v>0</v>
      </c>
      <c r="BD10" s="446" t="s">
        <v>1183</v>
      </c>
      <c r="BE10" s="448">
        <v>0</v>
      </c>
      <c r="BF10" s="448">
        <v>0</v>
      </c>
      <c r="BG10" s="448">
        <v>0</v>
      </c>
      <c r="BH10" s="448">
        <v>0</v>
      </c>
      <c r="BI10" s="446" t="s">
        <v>1183</v>
      </c>
      <c r="BJ10" s="446" t="s">
        <v>1183</v>
      </c>
      <c r="BK10" s="446" t="s">
        <v>1183</v>
      </c>
      <c r="BL10" s="447">
        <v>0</v>
      </c>
      <c r="BM10" s="446" t="s">
        <v>1183</v>
      </c>
      <c r="BN10" s="447">
        <v>0</v>
      </c>
      <c r="BO10" s="447">
        <v>0</v>
      </c>
      <c r="BP10" s="447">
        <v>0</v>
      </c>
      <c r="BQ10" s="447">
        <v>0</v>
      </c>
      <c r="BR10" s="447">
        <v>0</v>
      </c>
      <c r="BS10" s="451">
        <v>0</v>
      </c>
      <c r="BT10" s="446" t="s">
        <v>1183</v>
      </c>
      <c r="BU10" s="446" t="s">
        <v>1183</v>
      </c>
      <c r="BV10" s="446" t="s">
        <v>1183</v>
      </c>
      <c r="BW10" s="447">
        <v>0</v>
      </c>
      <c r="BX10" s="447">
        <v>0</v>
      </c>
      <c r="BY10" s="447">
        <v>0</v>
      </c>
      <c r="BZ10" s="447">
        <v>0</v>
      </c>
      <c r="CA10" s="448">
        <v>0</v>
      </c>
      <c r="CB10" s="448">
        <v>0</v>
      </c>
      <c r="CC10" s="447">
        <v>0</v>
      </c>
      <c r="CD10" s="446" t="s">
        <v>1183</v>
      </c>
      <c r="CE10" s="446" t="s">
        <v>1183</v>
      </c>
      <c r="CF10" s="448">
        <v>0</v>
      </c>
      <c r="CG10" s="448">
        <v>0</v>
      </c>
      <c r="CH10" s="448">
        <v>0</v>
      </c>
      <c r="CI10" s="448">
        <v>0</v>
      </c>
      <c r="CJ10" s="446" t="s">
        <v>1183</v>
      </c>
      <c r="CK10" s="446" t="s">
        <v>1183</v>
      </c>
      <c r="CL10" s="446" t="s">
        <v>1183</v>
      </c>
      <c r="CM10" s="446" t="s">
        <v>1183</v>
      </c>
      <c r="CN10" s="446" t="s">
        <v>1183</v>
      </c>
      <c r="CO10" s="446" t="s">
        <v>1183</v>
      </c>
      <c r="CP10" s="448">
        <v>0</v>
      </c>
      <c r="CQ10" s="446" t="s">
        <v>1183</v>
      </c>
      <c r="CR10" s="448">
        <v>0</v>
      </c>
      <c r="CS10" s="446" t="s">
        <v>1183</v>
      </c>
      <c r="CT10" s="448">
        <v>0</v>
      </c>
      <c r="CU10" s="446" t="s">
        <v>1183</v>
      </c>
      <c r="CV10" s="446" t="s">
        <v>1183</v>
      </c>
      <c r="CW10" s="448">
        <v>0</v>
      </c>
      <c r="CX10" s="446" t="s">
        <v>1183</v>
      </c>
      <c r="CY10" s="448">
        <v>0</v>
      </c>
      <c r="CZ10" s="446" t="s">
        <v>1183</v>
      </c>
      <c r="DA10" s="448">
        <v>0</v>
      </c>
      <c r="DB10" s="446" t="s">
        <v>1183</v>
      </c>
      <c r="DC10" s="446" t="s">
        <v>1183</v>
      </c>
      <c r="DD10" s="446" t="s">
        <v>1183</v>
      </c>
      <c r="DE10" s="446" t="s">
        <v>1183</v>
      </c>
      <c r="DF10" s="446"/>
    </row>
    <row customHeight="true" ht="16.296296296296294" r="11">
      <c r="A11" s="446" t="s">
        <v>1193</v>
      </c>
      <c r="B11" s="446" t="s">
        <v>1179</v>
      </c>
      <c r="C11" s="446" t="s">
        <v>1180</v>
      </c>
      <c r="D11" s="446" t="s">
        <v>1180</v>
      </c>
      <c r="E11" s="446" t="s">
        <v>1181</v>
      </c>
      <c r="F11" s="446" t="s">
        <v>1182</v>
      </c>
      <c r="G11" s="447">
        <v>0</v>
      </c>
      <c r="H11" s="447">
        <v>0</v>
      </c>
      <c r="I11" s="448">
        <v>0</v>
      </c>
      <c r="J11" s="448">
        <v>0</v>
      </c>
      <c r="K11" s="448">
        <v>0</v>
      </c>
      <c r="L11" s="448">
        <v>0</v>
      </c>
      <c r="M11" s="448">
        <v>0</v>
      </c>
      <c r="N11" s="448">
        <v>0</v>
      </c>
      <c r="O11" s="448">
        <v>0</v>
      </c>
      <c r="P11" s="448">
        <v>0</v>
      </c>
      <c r="Q11" s="447">
        <v>0</v>
      </c>
      <c r="R11" s="448">
        <v>0</v>
      </c>
      <c r="S11" s="447">
        <v>0</v>
      </c>
      <c r="T11" s="446" t="s">
        <v>1183</v>
      </c>
      <c r="U11" s="446" t="s">
        <v>1183</v>
      </c>
      <c r="V11" s="446" t="s">
        <v>1183</v>
      </c>
      <c r="W11" s="446" t="s">
        <v>1183</v>
      </c>
      <c r="X11" s="446" t="s">
        <v>1183</v>
      </c>
      <c r="Y11" s="446" t="s">
        <v>1183</v>
      </c>
      <c r="Z11" s="448">
        <v>0</v>
      </c>
      <c r="AA11" s="447">
        <v>0</v>
      </c>
      <c r="AB11" s="448">
        <v>0</v>
      </c>
      <c r="AC11" s="447">
        <v>0</v>
      </c>
      <c r="AD11" s="448">
        <v>0</v>
      </c>
      <c r="AE11" s="447">
        <v>0</v>
      </c>
      <c r="AF11" s="448">
        <v>0</v>
      </c>
      <c r="AG11" s="447">
        <v>0</v>
      </c>
      <c r="AH11" s="449">
        <v>0</v>
      </c>
      <c r="AI11" s="447">
        <v>0</v>
      </c>
      <c r="AJ11" s="449">
        <v>0</v>
      </c>
      <c r="AK11" s="447">
        <v>0</v>
      </c>
      <c r="AL11" s="446"/>
      <c r="AM11" s="446"/>
      <c r="AN11" s="448">
        <v>0</v>
      </c>
      <c r="AO11" s="447">
        <v>0</v>
      </c>
      <c r="AP11" s="446" t="s">
        <v>1183</v>
      </c>
      <c r="AQ11" s="450">
        <v>0</v>
      </c>
      <c r="AR11" s="448">
        <v>0</v>
      </c>
      <c r="AS11" s="446" t="s">
        <v>1183</v>
      </c>
      <c r="AT11" s="446" t="s">
        <v>1184</v>
      </c>
      <c r="AU11" s="446" t="s">
        <v>1184</v>
      </c>
      <c r="AV11" s="446" t="s">
        <v>1184</v>
      </c>
      <c r="AW11" s="446" t="s">
        <v>1184</v>
      </c>
      <c r="AX11" s="446" t="s">
        <v>1184</v>
      </c>
      <c r="AY11" s="448">
        <v>0</v>
      </c>
      <c r="AZ11" s="446" t="s">
        <v>1183</v>
      </c>
      <c r="BA11" s="448">
        <v>0</v>
      </c>
      <c r="BB11" s="446" t="s">
        <v>1183</v>
      </c>
      <c r="BC11" s="448">
        <v>0</v>
      </c>
      <c r="BD11" s="446" t="s">
        <v>1183</v>
      </c>
      <c r="BE11" s="448">
        <v>0</v>
      </c>
      <c r="BF11" s="448">
        <v>0</v>
      </c>
      <c r="BG11" s="448">
        <v>0</v>
      </c>
      <c r="BH11" s="448">
        <v>0</v>
      </c>
      <c r="BI11" s="446" t="s">
        <v>1183</v>
      </c>
      <c r="BJ11" s="446" t="s">
        <v>1183</v>
      </c>
      <c r="BK11" s="446" t="s">
        <v>1183</v>
      </c>
      <c r="BL11" s="447">
        <v>0</v>
      </c>
      <c r="BM11" s="446" t="s">
        <v>1183</v>
      </c>
      <c r="BN11" s="447">
        <v>0</v>
      </c>
      <c r="BO11" s="447">
        <v>0</v>
      </c>
      <c r="BP11" s="447">
        <v>0</v>
      </c>
      <c r="BQ11" s="447">
        <v>0</v>
      </c>
      <c r="BR11" s="447">
        <v>0</v>
      </c>
      <c r="BS11" s="451">
        <v>0</v>
      </c>
      <c r="BT11" s="446" t="s">
        <v>1183</v>
      </c>
      <c r="BU11" s="446" t="s">
        <v>1183</v>
      </c>
      <c r="BV11" s="446" t="s">
        <v>1183</v>
      </c>
      <c r="BW11" s="447">
        <v>0</v>
      </c>
      <c r="BX11" s="447">
        <v>0</v>
      </c>
      <c r="BY11" s="447">
        <v>0</v>
      </c>
      <c r="BZ11" s="447">
        <v>0</v>
      </c>
      <c r="CA11" s="448">
        <v>0</v>
      </c>
      <c r="CB11" s="448">
        <v>0</v>
      </c>
      <c r="CC11" s="447">
        <v>0</v>
      </c>
      <c r="CD11" s="446" t="s">
        <v>1183</v>
      </c>
      <c r="CE11" s="446" t="s">
        <v>1183</v>
      </c>
      <c r="CF11" s="448">
        <v>0</v>
      </c>
      <c r="CG11" s="448">
        <v>0</v>
      </c>
      <c r="CH11" s="448">
        <v>0</v>
      </c>
      <c r="CI11" s="448">
        <v>0</v>
      </c>
      <c r="CJ11" s="446" t="s">
        <v>1183</v>
      </c>
      <c r="CK11" s="446" t="s">
        <v>1183</v>
      </c>
      <c r="CL11" s="446" t="s">
        <v>1183</v>
      </c>
      <c r="CM11" s="446" t="s">
        <v>1183</v>
      </c>
      <c r="CN11" s="446" t="s">
        <v>1183</v>
      </c>
      <c r="CO11" s="446" t="s">
        <v>1183</v>
      </c>
      <c r="CP11" s="448">
        <v>0</v>
      </c>
      <c r="CQ11" s="446" t="s">
        <v>1183</v>
      </c>
      <c r="CR11" s="448">
        <v>0</v>
      </c>
      <c r="CS11" s="446" t="s">
        <v>1183</v>
      </c>
      <c r="CT11" s="448">
        <v>0</v>
      </c>
      <c r="CU11" s="446" t="s">
        <v>1183</v>
      </c>
      <c r="CV11" s="446" t="s">
        <v>1183</v>
      </c>
      <c r="CW11" s="448">
        <v>0</v>
      </c>
      <c r="CX11" s="446" t="s">
        <v>1183</v>
      </c>
      <c r="CY11" s="448">
        <v>0</v>
      </c>
      <c r="CZ11" s="446" t="s">
        <v>1183</v>
      </c>
      <c r="DA11" s="448">
        <v>0</v>
      </c>
      <c r="DB11" s="446" t="s">
        <v>1183</v>
      </c>
      <c r="DC11" s="446" t="s">
        <v>1183</v>
      </c>
      <c r="DD11" s="446" t="s">
        <v>1183</v>
      </c>
      <c r="DE11" s="446" t="s">
        <v>1183</v>
      </c>
      <c r="DF11" s="446"/>
    </row>
    <row customHeight="true" ht="16.296296296296294" r="12">
      <c r="A12" s="446" t="s">
        <v>1194</v>
      </c>
      <c r="B12" s="446" t="s">
        <v>1179</v>
      </c>
      <c r="C12" s="446" t="s">
        <v>1180</v>
      </c>
      <c r="D12" s="446" t="s">
        <v>1180</v>
      </c>
      <c r="E12" s="446" t="s">
        <v>1181</v>
      </c>
      <c r="F12" s="446" t="s">
        <v>1182</v>
      </c>
      <c r="G12" s="447">
        <v>0</v>
      </c>
      <c r="H12" s="447">
        <v>0</v>
      </c>
      <c r="I12" s="448">
        <v>0</v>
      </c>
      <c r="J12" s="448">
        <v>0</v>
      </c>
      <c r="K12" s="448">
        <v>0</v>
      </c>
      <c r="L12" s="448">
        <v>0</v>
      </c>
      <c r="M12" s="448">
        <v>0</v>
      </c>
      <c r="N12" s="448">
        <v>0</v>
      </c>
      <c r="O12" s="448">
        <v>0</v>
      </c>
      <c r="P12" s="448">
        <v>0</v>
      </c>
      <c r="Q12" s="447">
        <v>0</v>
      </c>
      <c r="R12" s="448">
        <v>0</v>
      </c>
      <c r="S12" s="447">
        <v>0</v>
      </c>
      <c r="T12" s="446" t="s">
        <v>1183</v>
      </c>
      <c r="U12" s="446" t="s">
        <v>1183</v>
      </c>
      <c r="V12" s="446" t="s">
        <v>1183</v>
      </c>
      <c r="W12" s="446" t="s">
        <v>1183</v>
      </c>
      <c r="X12" s="446" t="s">
        <v>1183</v>
      </c>
      <c r="Y12" s="446" t="s">
        <v>1183</v>
      </c>
      <c r="Z12" s="448">
        <v>0</v>
      </c>
      <c r="AA12" s="447">
        <v>0</v>
      </c>
      <c r="AB12" s="448">
        <v>0</v>
      </c>
      <c r="AC12" s="447">
        <v>0</v>
      </c>
      <c r="AD12" s="448">
        <v>0</v>
      </c>
      <c r="AE12" s="447">
        <v>0</v>
      </c>
      <c r="AF12" s="448">
        <v>0</v>
      </c>
      <c r="AG12" s="447">
        <v>0</v>
      </c>
      <c r="AH12" s="449">
        <v>0</v>
      </c>
      <c r="AI12" s="447">
        <v>0</v>
      </c>
      <c r="AJ12" s="449">
        <v>0</v>
      </c>
      <c r="AK12" s="447">
        <v>0</v>
      </c>
      <c r="AL12" s="446"/>
      <c r="AM12" s="446"/>
      <c r="AN12" s="448">
        <v>0</v>
      </c>
      <c r="AO12" s="447">
        <v>0</v>
      </c>
      <c r="AP12" s="446" t="s">
        <v>1183</v>
      </c>
      <c r="AQ12" s="450">
        <v>0</v>
      </c>
      <c r="AR12" s="448">
        <v>0</v>
      </c>
      <c r="AS12" s="446" t="s">
        <v>1183</v>
      </c>
      <c r="AT12" s="446" t="s">
        <v>1184</v>
      </c>
      <c r="AU12" s="446" t="s">
        <v>1184</v>
      </c>
      <c r="AV12" s="446" t="s">
        <v>1184</v>
      </c>
      <c r="AW12" s="446" t="s">
        <v>1184</v>
      </c>
      <c r="AX12" s="446" t="s">
        <v>1184</v>
      </c>
      <c r="AY12" s="448">
        <v>0</v>
      </c>
      <c r="AZ12" s="446" t="s">
        <v>1183</v>
      </c>
      <c r="BA12" s="448">
        <v>0</v>
      </c>
      <c r="BB12" s="446" t="s">
        <v>1183</v>
      </c>
      <c r="BC12" s="448">
        <v>0</v>
      </c>
      <c r="BD12" s="446" t="s">
        <v>1183</v>
      </c>
      <c r="BE12" s="448">
        <v>0</v>
      </c>
      <c r="BF12" s="448">
        <v>0</v>
      </c>
      <c r="BG12" s="448">
        <v>0</v>
      </c>
      <c r="BH12" s="448">
        <v>0</v>
      </c>
      <c r="BI12" s="446" t="s">
        <v>1183</v>
      </c>
      <c r="BJ12" s="446" t="s">
        <v>1183</v>
      </c>
      <c r="BK12" s="446" t="s">
        <v>1183</v>
      </c>
      <c r="BL12" s="447">
        <v>0</v>
      </c>
      <c r="BM12" s="446" t="s">
        <v>1183</v>
      </c>
      <c r="BN12" s="447">
        <v>0</v>
      </c>
      <c r="BO12" s="447">
        <v>0</v>
      </c>
      <c r="BP12" s="447">
        <v>0</v>
      </c>
      <c r="BQ12" s="447">
        <v>0</v>
      </c>
      <c r="BR12" s="447">
        <v>0</v>
      </c>
      <c r="BS12" s="451">
        <v>0</v>
      </c>
      <c r="BT12" s="446" t="s">
        <v>1183</v>
      </c>
      <c r="BU12" s="446" t="s">
        <v>1183</v>
      </c>
      <c r="BV12" s="446" t="s">
        <v>1183</v>
      </c>
      <c r="BW12" s="447">
        <v>0</v>
      </c>
      <c r="BX12" s="447">
        <v>0</v>
      </c>
      <c r="BY12" s="447">
        <v>0</v>
      </c>
      <c r="BZ12" s="447">
        <v>0</v>
      </c>
      <c r="CA12" s="448">
        <v>0</v>
      </c>
      <c r="CB12" s="448">
        <v>0</v>
      </c>
      <c r="CC12" s="447">
        <v>0</v>
      </c>
      <c r="CD12" s="446" t="s">
        <v>1183</v>
      </c>
      <c r="CE12" s="446" t="s">
        <v>1183</v>
      </c>
      <c r="CF12" s="448">
        <v>0</v>
      </c>
      <c r="CG12" s="448">
        <v>0</v>
      </c>
      <c r="CH12" s="448">
        <v>0</v>
      </c>
      <c r="CI12" s="448">
        <v>0</v>
      </c>
      <c r="CJ12" s="446" t="s">
        <v>1183</v>
      </c>
      <c r="CK12" s="446" t="s">
        <v>1183</v>
      </c>
      <c r="CL12" s="446" t="s">
        <v>1183</v>
      </c>
      <c r="CM12" s="446" t="s">
        <v>1183</v>
      </c>
      <c r="CN12" s="446" t="s">
        <v>1183</v>
      </c>
      <c r="CO12" s="446" t="s">
        <v>1183</v>
      </c>
      <c r="CP12" s="448">
        <v>0</v>
      </c>
      <c r="CQ12" s="446" t="s">
        <v>1183</v>
      </c>
      <c r="CR12" s="448">
        <v>0</v>
      </c>
      <c r="CS12" s="446" t="s">
        <v>1183</v>
      </c>
      <c r="CT12" s="448">
        <v>0</v>
      </c>
      <c r="CU12" s="446" t="s">
        <v>1183</v>
      </c>
      <c r="CV12" s="446" t="s">
        <v>1183</v>
      </c>
      <c r="CW12" s="448">
        <v>0</v>
      </c>
      <c r="CX12" s="446" t="s">
        <v>1183</v>
      </c>
      <c r="CY12" s="448">
        <v>0</v>
      </c>
      <c r="CZ12" s="446" t="s">
        <v>1183</v>
      </c>
      <c r="DA12" s="448">
        <v>0</v>
      </c>
      <c r="DB12" s="446" t="s">
        <v>1183</v>
      </c>
      <c r="DC12" s="446" t="s">
        <v>1183</v>
      </c>
      <c r="DD12" s="446" t="s">
        <v>1183</v>
      </c>
      <c r="DE12" s="446" t="s">
        <v>1183</v>
      </c>
      <c r="DF12" s="446"/>
    </row>
    <row customHeight="true" ht="16.296296296296294" r="13">
      <c r="A13" s="446" t="s">
        <v>1195</v>
      </c>
      <c r="B13" s="446" t="s">
        <v>1179</v>
      </c>
      <c r="C13" s="446" t="s">
        <v>1180</v>
      </c>
      <c r="D13" s="446" t="s">
        <v>1180</v>
      </c>
      <c r="E13" s="446" t="s">
        <v>1181</v>
      </c>
      <c r="F13" s="446" t="s">
        <v>1182</v>
      </c>
      <c r="G13" s="447">
        <v>0</v>
      </c>
      <c r="H13" s="447">
        <v>0</v>
      </c>
      <c r="I13" s="448">
        <v>0</v>
      </c>
      <c r="J13" s="448">
        <v>0</v>
      </c>
      <c r="K13" s="448">
        <v>0</v>
      </c>
      <c r="L13" s="448">
        <v>0</v>
      </c>
      <c r="M13" s="448">
        <v>0</v>
      </c>
      <c r="N13" s="448">
        <v>0</v>
      </c>
      <c r="O13" s="448">
        <v>0</v>
      </c>
      <c r="P13" s="448">
        <v>0</v>
      </c>
      <c r="Q13" s="447">
        <v>0</v>
      </c>
      <c r="R13" s="448">
        <v>0</v>
      </c>
      <c r="S13" s="447">
        <v>0</v>
      </c>
      <c r="T13" s="446" t="s">
        <v>1183</v>
      </c>
      <c r="U13" s="446" t="s">
        <v>1183</v>
      </c>
      <c r="V13" s="446" t="s">
        <v>1183</v>
      </c>
      <c r="W13" s="446" t="s">
        <v>1183</v>
      </c>
      <c r="X13" s="446" t="s">
        <v>1183</v>
      </c>
      <c r="Y13" s="446" t="s">
        <v>1183</v>
      </c>
      <c r="Z13" s="448">
        <v>0</v>
      </c>
      <c r="AA13" s="447">
        <v>0</v>
      </c>
      <c r="AB13" s="448">
        <v>0</v>
      </c>
      <c r="AC13" s="447">
        <v>0</v>
      </c>
      <c r="AD13" s="448">
        <v>0</v>
      </c>
      <c r="AE13" s="447">
        <v>0</v>
      </c>
      <c r="AF13" s="448">
        <v>0</v>
      </c>
      <c r="AG13" s="447">
        <v>0</v>
      </c>
      <c r="AH13" s="449">
        <v>0</v>
      </c>
      <c r="AI13" s="447">
        <v>0</v>
      </c>
      <c r="AJ13" s="449">
        <v>0</v>
      </c>
      <c r="AK13" s="447">
        <v>0</v>
      </c>
      <c r="AL13" s="446"/>
      <c r="AM13" s="446"/>
      <c r="AN13" s="448">
        <v>0</v>
      </c>
      <c r="AO13" s="447">
        <v>0</v>
      </c>
      <c r="AP13" s="446" t="s">
        <v>1183</v>
      </c>
      <c r="AQ13" s="450">
        <v>0</v>
      </c>
      <c r="AR13" s="448">
        <v>0</v>
      </c>
      <c r="AS13" s="446" t="s">
        <v>1183</v>
      </c>
      <c r="AT13" s="446" t="s">
        <v>1184</v>
      </c>
      <c r="AU13" s="446" t="s">
        <v>1184</v>
      </c>
      <c r="AV13" s="446" t="s">
        <v>1184</v>
      </c>
      <c r="AW13" s="446" t="s">
        <v>1184</v>
      </c>
      <c r="AX13" s="446" t="s">
        <v>1184</v>
      </c>
      <c r="AY13" s="448">
        <v>0</v>
      </c>
      <c r="AZ13" s="446" t="s">
        <v>1183</v>
      </c>
      <c r="BA13" s="448">
        <v>0</v>
      </c>
      <c r="BB13" s="446" t="s">
        <v>1183</v>
      </c>
      <c r="BC13" s="448">
        <v>0</v>
      </c>
      <c r="BD13" s="446" t="s">
        <v>1183</v>
      </c>
      <c r="BE13" s="448">
        <v>0</v>
      </c>
      <c r="BF13" s="448">
        <v>0</v>
      </c>
      <c r="BG13" s="448">
        <v>0</v>
      </c>
      <c r="BH13" s="448">
        <v>0</v>
      </c>
      <c r="BI13" s="446" t="s">
        <v>1183</v>
      </c>
      <c r="BJ13" s="446" t="s">
        <v>1183</v>
      </c>
      <c r="BK13" s="446" t="s">
        <v>1183</v>
      </c>
      <c r="BL13" s="447">
        <v>0</v>
      </c>
      <c r="BM13" s="446" t="s">
        <v>1183</v>
      </c>
      <c r="BN13" s="447">
        <v>0</v>
      </c>
      <c r="BO13" s="447">
        <v>0</v>
      </c>
      <c r="BP13" s="447">
        <v>0</v>
      </c>
      <c r="BQ13" s="447">
        <v>0</v>
      </c>
      <c r="BR13" s="447">
        <v>0</v>
      </c>
      <c r="BS13" s="451">
        <v>0</v>
      </c>
      <c r="BT13" s="446" t="s">
        <v>1183</v>
      </c>
      <c r="BU13" s="446" t="s">
        <v>1183</v>
      </c>
      <c r="BV13" s="446" t="s">
        <v>1183</v>
      </c>
      <c r="BW13" s="447">
        <v>0</v>
      </c>
      <c r="BX13" s="447">
        <v>0</v>
      </c>
      <c r="BY13" s="447">
        <v>0</v>
      </c>
      <c r="BZ13" s="447">
        <v>0</v>
      </c>
      <c r="CA13" s="448">
        <v>0</v>
      </c>
      <c r="CB13" s="448">
        <v>0</v>
      </c>
      <c r="CC13" s="447">
        <v>0</v>
      </c>
      <c r="CD13" s="446" t="s">
        <v>1183</v>
      </c>
      <c r="CE13" s="446" t="s">
        <v>1183</v>
      </c>
      <c r="CF13" s="448">
        <v>0</v>
      </c>
      <c r="CG13" s="448">
        <v>0</v>
      </c>
      <c r="CH13" s="448">
        <v>0</v>
      </c>
      <c r="CI13" s="448">
        <v>0</v>
      </c>
      <c r="CJ13" s="446" t="s">
        <v>1183</v>
      </c>
      <c r="CK13" s="446" t="s">
        <v>1183</v>
      </c>
      <c r="CL13" s="446" t="s">
        <v>1183</v>
      </c>
      <c r="CM13" s="446" t="s">
        <v>1183</v>
      </c>
      <c r="CN13" s="446" t="s">
        <v>1183</v>
      </c>
      <c r="CO13" s="446" t="s">
        <v>1183</v>
      </c>
      <c r="CP13" s="448">
        <v>0</v>
      </c>
      <c r="CQ13" s="446" t="s">
        <v>1183</v>
      </c>
      <c r="CR13" s="448">
        <v>0</v>
      </c>
      <c r="CS13" s="446" t="s">
        <v>1183</v>
      </c>
      <c r="CT13" s="448">
        <v>0</v>
      </c>
      <c r="CU13" s="446" t="s">
        <v>1183</v>
      </c>
      <c r="CV13" s="446" t="s">
        <v>1183</v>
      </c>
      <c r="CW13" s="448">
        <v>0</v>
      </c>
      <c r="CX13" s="446" t="s">
        <v>1183</v>
      </c>
      <c r="CY13" s="448">
        <v>0</v>
      </c>
      <c r="CZ13" s="446" t="s">
        <v>1183</v>
      </c>
      <c r="DA13" s="448">
        <v>0</v>
      </c>
      <c r="DB13" s="446" t="s">
        <v>1183</v>
      </c>
      <c r="DC13" s="446" t="s">
        <v>1183</v>
      </c>
      <c r="DD13" s="446" t="s">
        <v>1183</v>
      </c>
      <c r="DE13" s="446" t="s">
        <v>1183</v>
      </c>
      <c r="DF13" s="446"/>
    </row>
    <row customHeight="true" ht="16.296296296296294" r="14">
      <c r="A14" s="446" t="s">
        <v>1196</v>
      </c>
      <c r="B14" s="446" t="s">
        <v>1179</v>
      </c>
      <c r="C14" s="446" t="s">
        <v>1180</v>
      </c>
      <c r="D14" s="446" t="s">
        <v>1180</v>
      </c>
      <c r="E14" s="446" t="s">
        <v>1181</v>
      </c>
      <c r="F14" s="446" t="s">
        <v>1182</v>
      </c>
      <c r="G14" s="447">
        <v>0</v>
      </c>
      <c r="H14" s="447">
        <v>0</v>
      </c>
      <c r="I14" s="448">
        <v>0</v>
      </c>
      <c r="J14" s="448">
        <v>0</v>
      </c>
      <c r="K14" s="448">
        <v>0</v>
      </c>
      <c r="L14" s="448">
        <v>0</v>
      </c>
      <c r="M14" s="448">
        <v>0</v>
      </c>
      <c r="N14" s="448">
        <v>0</v>
      </c>
      <c r="O14" s="448">
        <v>0</v>
      </c>
      <c r="P14" s="448">
        <v>0</v>
      </c>
      <c r="Q14" s="447">
        <v>0</v>
      </c>
      <c r="R14" s="448">
        <v>0</v>
      </c>
      <c r="S14" s="447">
        <v>0</v>
      </c>
      <c r="T14" s="446" t="s">
        <v>1183</v>
      </c>
      <c r="U14" s="446" t="s">
        <v>1183</v>
      </c>
      <c r="V14" s="446" t="s">
        <v>1183</v>
      </c>
      <c r="W14" s="446" t="s">
        <v>1183</v>
      </c>
      <c r="X14" s="446" t="s">
        <v>1183</v>
      </c>
      <c r="Y14" s="446" t="s">
        <v>1183</v>
      </c>
      <c r="Z14" s="448">
        <v>0</v>
      </c>
      <c r="AA14" s="447">
        <v>0</v>
      </c>
      <c r="AB14" s="448">
        <v>0</v>
      </c>
      <c r="AC14" s="447">
        <v>0</v>
      </c>
      <c r="AD14" s="448">
        <v>0</v>
      </c>
      <c r="AE14" s="447">
        <v>0</v>
      </c>
      <c r="AF14" s="448">
        <v>0</v>
      </c>
      <c r="AG14" s="447">
        <v>0</v>
      </c>
      <c r="AH14" s="449">
        <v>0</v>
      </c>
      <c r="AI14" s="447">
        <v>0</v>
      </c>
      <c r="AJ14" s="449">
        <v>0</v>
      </c>
      <c r="AK14" s="447">
        <v>0</v>
      </c>
      <c r="AL14" s="446"/>
      <c r="AM14" s="446"/>
      <c r="AN14" s="448">
        <v>0</v>
      </c>
      <c r="AO14" s="447">
        <v>0</v>
      </c>
      <c r="AP14" s="446" t="s">
        <v>1183</v>
      </c>
      <c r="AQ14" s="450">
        <v>0</v>
      </c>
      <c r="AR14" s="448">
        <v>0</v>
      </c>
      <c r="AS14" s="446" t="s">
        <v>1183</v>
      </c>
      <c r="AT14" s="446" t="s">
        <v>1184</v>
      </c>
      <c r="AU14" s="446" t="s">
        <v>1184</v>
      </c>
      <c r="AV14" s="446" t="s">
        <v>1184</v>
      </c>
      <c r="AW14" s="446" t="s">
        <v>1184</v>
      </c>
      <c r="AX14" s="446" t="s">
        <v>1184</v>
      </c>
      <c r="AY14" s="448">
        <v>0</v>
      </c>
      <c r="AZ14" s="446" t="s">
        <v>1183</v>
      </c>
      <c r="BA14" s="448">
        <v>0</v>
      </c>
      <c r="BB14" s="446" t="s">
        <v>1183</v>
      </c>
      <c r="BC14" s="448">
        <v>0</v>
      </c>
      <c r="BD14" s="446" t="s">
        <v>1183</v>
      </c>
      <c r="BE14" s="448">
        <v>0</v>
      </c>
      <c r="BF14" s="448">
        <v>0</v>
      </c>
      <c r="BG14" s="448">
        <v>0</v>
      </c>
      <c r="BH14" s="448">
        <v>0</v>
      </c>
      <c r="BI14" s="446" t="s">
        <v>1183</v>
      </c>
      <c r="BJ14" s="446" t="s">
        <v>1183</v>
      </c>
      <c r="BK14" s="446" t="s">
        <v>1183</v>
      </c>
      <c r="BL14" s="447">
        <v>0</v>
      </c>
      <c r="BM14" s="446" t="s">
        <v>1183</v>
      </c>
      <c r="BN14" s="447">
        <v>0</v>
      </c>
      <c r="BO14" s="447">
        <v>0</v>
      </c>
      <c r="BP14" s="447">
        <v>0</v>
      </c>
      <c r="BQ14" s="447">
        <v>0</v>
      </c>
      <c r="BR14" s="447">
        <v>0</v>
      </c>
      <c r="BS14" s="451">
        <v>0</v>
      </c>
      <c r="BT14" s="446" t="s">
        <v>1183</v>
      </c>
      <c r="BU14" s="446" t="s">
        <v>1183</v>
      </c>
      <c r="BV14" s="446" t="s">
        <v>1183</v>
      </c>
      <c r="BW14" s="447">
        <v>0</v>
      </c>
      <c r="BX14" s="447">
        <v>0</v>
      </c>
      <c r="BY14" s="447">
        <v>0</v>
      </c>
      <c r="BZ14" s="447">
        <v>0</v>
      </c>
      <c r="CA14" s="448">
        <v>0</v>
      </c>
      <c r="CB14" s="448">
        <v>0</v>
      </c>
      <c r="CC14" s="447">
        <v>0</v>
      </c>
      <c r="CD14" s="446" t="s">
        <v>1183</v>
      </c>
      <c r="CE14" s="446" t="s">
        <v>1183</v>
      </c>
      <c r="CF14" s="448">
        <v>0</v>
      </c>
      <c r="CG14" s="448">
        <v>0</v>
      </c>
      <c r="CH14" s="448">
        <v>0</v>
      </c>
      <c r="CI14" s="448">
        <v>0</v>
      </c>
      <c r="CJ14" s="446" t="s">
        <v>1183</v>
      </c>
      <c r="CK14" s="446" t="s">
        <v>1183</v>
      </c>
      <c r="CL14" s="446" t="s">
        <v>1183</v>
      </c>
      <c r="CM14" s="446" t="s">
        <v>1183</v>
      </c>
      <c r="CN14" s="446" t="s">
        <v>1183</v>
      </c>
      <c r="CO14" s="446" t="s">
        <v>1183</v>
      </c>
      <c r="CP14" s="448">
        <v>0</v>
      </c>
      <c r="CQ14" s="446" t="s">
        <v>1183</v>
      </c>
      <c r="CR14" s="448">
        <v>0</v>
      </c>
      <c r="CS14" s="446" t="s">
        <v>1183</v>
      </c>
      <c r="CT14" s="448">
        <v>0</v>
      </c>
      <c r="CU14" s="446" t="s">
        <v>1183</v>
      </c>
      <c r="CV14" s="446" t="s">
        <v>1183</v>
      </c>
      <c r="CW14" s="448">
        <v>0</v>
      </c>
      <c r="CX14" s="446" t="s">
        <v>1183</v>
      </c>
      <c r="CY14" s="448">
        <v>0</v>
      </c>
      <c r="CZ14" s="446" t="s">
        <v>1183</v>
      </c>
      <c r="DA14" s="448">
        <v>0</v>
      </c>
      <c r="DB14" s="446" t="s">
        <v>1183</v>
      </c>
      <c r="DC14" s="446" t="s">
        <v>1183</v>
      </c>
      <c r="DD14" s="446" t="s">
        <v>1183</v>
      </c>
      <c r="DE14" s="446" t="s">
        <v>1183</v>
      </c>
      <c r="DF14" s="446"/>
    </row>
    <row customHeight="true" ht="16.296296296296294" r="15">
      <c r="A15" s="446" t="s">
        <v>1197</v>
      </c>
      <c r="B15" s="446" t="s">
        <v>1179</v>
      </c>
      <c r="C15" s="446" t="s">
        <v>1180</v>
      </c>
      <c r="D15" s="446" t="s">
        <v>1180</v>
      </c>
      <c r="E15" s="446" t="s">
        <v>1181</v>
      </c>
      <c r="F15" s="446" t="s">
        <v>1182</v>
      </c>
      <c r="G15" s="447">
        <v>0</v>
      </c>
      <c r="H15" s="447">
        <v>0</v>
      </c>
      <c r="I15" s="448">
        <v>0</v>
      </c>
      <c r="J15" s="448">
        <v>0</v>
      </c>
      <c r="K15" s="448">
        <v>0</v>
      </c>
      <c r="L15" s="448">
        <v>0</v>
      </c>
      <c r="M15" s="448">
        <v>0</v>
      </c>
      <c r="N15" s="448">
        <v>0</v>
      </c>
      <c r="O15" s="448">
        <v>0</v>
      </c>
      <c r="P15" s="448">
        <v>0</v>
      </c>
      <c r="Q15" s="447">
        <v>0</v>
      </c>
      <c r="R15" s="448">
        <v>0</v>
      </c>
      <c r="S15" s="447">
        <v>0</v>
      </c>
      <c r="T15" s="446" t="s">
        <v>1183</v>
      </c>
      <c r="U15" s="446" t="s">
        <v>1183</v>
      </c>
      <c r="V15" s="446" t="s">
        <v>1183</v>
      </c>
      <c r="W15" s="446" t="s">
        <v>1183</v>
      </c>
      <c r="X15" s="446" t="s">
        <v>1183</v>
      </c>
      <c r="Y15" s="446" t="s">
        <v>1183</v>
      </c>
      <c r="Z15" s="448">
        <v>0</v>
      </c>
      <c r="AA15" s="447">
        <v>0</v>
      </c>
      <c r="AB15" s="448">
        <v>0</v>
      </c>
      <c r="AC15" s="447">
        <v>0</v>
      </c>
      <c r="AD15" s="448">
        <v>0</v>
      </c>
      <c r="AE15" s="447">
        <v>0</v>
      </c>
      <c r="AF15" s="448">
        <v>0</v>
      </c>
      <c r="AG15" s="447">
        <v>0</v>
      </c>
      <c r="AH15" s="449">
        <v>0</v>
      </c>
      <c r="AI15" s="447">
        <v>0</v>
      </c>
      <c r="AJ15" s="449">
        <v>0</v>
      </c>
      <c r="AK15" s="447">
        <v>0</v>
      </c>
      <c r="AL15" s="446"/>
      <c r="AM15" s="446"/>
      <c r="AN15" s="448">
        <v>0</v>
      </c>
      <c r="AO15" s="447">
        <v>0</v>
      </c>
      <c r="AP15" s="446" t="s">
        <v>1183</v>
      </c>
      <c r="AQ15" s="450">
        <v>0</v>
      </c>
      <c r="AR15" s="448">
        <v>0</v>
      </c>
      <c r="AS15" s="446" t="s">
        <v>1183</v>
      </c>
      <c r="AT15" s="446" t="s">
        <v>1184</v>
      </c>
      <c r="AU15" s="446" t="s">
        <v>1184</v>
      </c>
      <c r="AV15" s="446" t="s">
        <v>1184</v>
      </c>
      <c r="AW15" s="446" t="s">
        <v>1184</v>
      </c>
      <c r="AX15" s="446" t="s">
        <v>1184</v>
      </c>
      <c r="AY15" s="448">
        <v>0</v>
      </c>
      <c r="AZ15" s="446" t="s">
        <v>1183</v>
      </c>
      <c r="BA15" s="448">
        <v>0</v>
      </c>
      <c r="BB15" s="446" t="s">
        <v>1183</v>
      </c>
      <c r="BC15" s="448">
        <v>0</v>
      </c>
      <c r="BD15" s="446" t="s">
        <v>1183</v>
      </c>
      <c r="BE15" s="448">
        <v>0</v>
      </c>
      <c r="BF15" s="448">
        <v>0</v>
      </c>
      <c r="BG15" s="448">
        <v>0</v>
      </c>
      <c r="BH15" s="448">
        <v>0</v>
      </c>
      <c r="BI15" s="446" t="s">
        <v>1183</v>
      </c>
      <c r="BJ15" s="446" t="s">
        <v>1183</v>
      </c>
      <c r="BK15" s="446" t="s">
        <v>1183</v>
      </c>
      <c r="BL15" s="447">
        <v>0</v>
      </c>
      <c r="BM15" s="446" t="s">
        <v>1183</v>
      </c>
      <c r="BN15" s="447">
        <v>0</v>
      </c>
      <c r="BO15" s="447">
        <v>0</v>
      </c>
      <c r="BP15" s="447">
        <v>0</v>
      </c>
      <c r="BQ15" s="447">
        <v>0</v>
      </c>
      <c r="BR15" s="447">
        <v>0</v>
      </c>
      <c r="BS15" s="451">
        <v>0</v>
      </c>
      <c r="BT15" s="446" t="s">
        <v>1183</v>
      </c>
      <c r="BU15" s="446" t="s">
        <v>1183</v>
      </c>
      <c r="BV15" s="446" t="s">
        <v>1183</v>
      </c>
      <c r="BW15" s="447">
        <v>0</v>
      </c>
      <c r="BX15" s="447">
        <v>0</v>
      </c>
      <c r="BY15" s="447">
        <v>0</v>
      </c>
      <c r="BZ15" s="447">
        <v>0</v>
      </c>
      <c r="CA15" s="448">
        <v>0</v>
      </c>
      <c r="CB15" s="448">
        <v>0</v>
      </c>
      <c r="CC15" s="447">
        <v>0</v>
      </c>
      <c r="CD15" s="446" t="s">
        <v>1183</v>
      </c>
      <c r="CE15" s="446" t="s">
        <v>1183</v>
      </c>
      <c r="CF15" s="448">
        <v>0</v>
      </c>
      <c r="CG15" s="448">
        <v>0</v>
      </c>
      <c r="CH15" s="448">
        <v>0</v>
      </c>
      <c r="CI15" s="448">
        <v>0</v>
      </c>
      <c r="CJ15" s="446" t="s">
        <v>1183</v>
      </c>
      <c r="CK15" s="446" t="s">
        <v>1183</v>
      </c>
      <c r="CL15" s="446" t="s">
        <v>1183</v>
      </c>
      <c r="CM15" s="446" t="s">
        <v>1183</v>
      </c>
      <c r="CN15" s="446" t="s">
        <v>1183</v>
      </c>
      <c r="CO15" s="446" t="s">
        <v>1183</v>
      </c>
      <c r="CP15" s="448">
        <v>0</v>
      </c>
      <c r="CQ15" s="446" t="s">
        <v>1183</v>
      </c>
      <c r="CR15" s="448">
        <v>0</v>
      </c>
      <c r="CS15" s="446" t="s">
        <v>1183</v>
      </c>
      <c r="CT15" s="448">
        <v>0</v>
      </c>
      <c r="CU15" s="446" t="s">
        <v>1183</v>
      </c>
      <c r="CV15" s="446" t="s">
        <v>1183</v>
      </c>
      <c r="CW15" s="448">
        <v>0</v>
      </c>
      <c r="CX15" s="446" t="s">
        <v>1183</v>
      </c>
      <c r="CY15" s="448">
        <v>0</v>
      </c>
      <c r="CZ15" s="446" t="s">
        <v>1183</v>
      </c>
      <c r="DA15" s="448">
        <v>0</v>
      </c>
      <c r="DB15" s="446" t="s">
        <v>1183</v>
      </c>
      <c r="DC15" s="446" t="s">
        <v>1183</v>
      </c>
      <c r="DD15" s="446" t="s">
        <v>1183</v>
      </c>
      <c r="DE15" s="446" t="s">
        <v>1183</v>
      </c>
      <c r="DF15" s="446"/>
    </row>
    <row customHeight="true" ht="16.296296296296294" r="16">
      <c r="A16" s="446" t="s">
        <v>1198</v>
      </c>
      <c r="B16" s="446" t="s">
        <v>1179</v>
      </c>
      <c r="C16" s="446" t="s">
        <v>1180</v>
      </c>
      <c r="D16" s="446" t="s">
        <v>1180</v>
      </c>
      <c r="E16" s="446" t="s">
        <v>1181</v>
      </c>
      <c r="F16" s="446" t="s">
        <v>1182</v>
      </c>
      <c r="G16" s="447">
        <v>0</v>
      </c>
      <c r="H16" s="447">
        <v>0</v>
      </c>
      <c r="I16" s="448">
        <v>0</v>
      </c>
      <c r="J16" s="448">
        <v>0</v>
      </c>
      <c r="K16" s="448">
        <v>0</v>
      </c>
      <c r="L16" s="448">
        <v>0</v>
      </c>
      <c r="M16" s="448">
        <v>0</v>
      </c>
      <c r="N16" s="448">
        <v>0</v>
      </c>
      <c r="O16" s="448">
        <v>0</v>
      </c>
      <c r="P16" s="448">
        <v>0</v>
      </c>
      <c r="Q16" s="447">
        <v>0</v>
      </c>
      <c r="R16" s="448">
        <v>0</v>
      </c>
      <c r="S16" s="447">
        <v>0</v>
      </c>
      <c r="T16" s="446" t="s">
        <v>1183</v>
      </c>
      <c r="U16" s="446" t="s">
        <v>1183</v>
      </c>
      <c r="V16" s="446" t="s">
        <v>1183</v>
      </c>
      <c r="W16" s="446" t="s">
        <v>1183</v>
      </c>
      <c r="X16" s="446" t="s">
        <v>1183</v>
      </c>
      <c r="Y16" s="446" t="s">
        <v>1183</v>
      </c>
      <c r="Z16" s="448">
        <v>0</v>
      </c>
      <c r="AA16" s="447">
        <v>0</v>
      </c>
      <c r="AB16" s="448">
        <v>0</v>
      </c>
      <c r="AC16" s="447">
        <v>0</v>
      </c>
      <c r="AD16" s="448">
        <v>0</v>
      </c>
      <c r="AE16" s="447">
        <v>0</v>
      </c>
      <c r="AF16" s="448">
        <v>0</v>
      </c>
      <c r="AG16" s="447">
        <v>0</v>
      </c>
      <c r="AH16" s="449">
        <v>0</v>
      </c>
      <c r="AI16" s="447">
        <v>0</v>
      </c>
      <c r="AJ16" s="449">
        <v>0</v>
      </c>
      <c r="AK16" s="447">
        <v>0</v>
      </c>
      <c r="AL16" s="446"/>
      <c r="AM16" s="446"/>
      <c r="AN16" s="448">
        <v>0</v>
      </c>
      <c r="AO16" s="447">
        <v>0</v>
      </c>
      <c r="AP16" s="446" t="s">
        <v>1183</v>
      </c>
      <c r="AQ16" s="450">
        <v>0</v>
      </c>
      <c r="AR16" s="448">
        <v>0</v>
      </c>
      <c r="AS16" s="446" t="s">
        <v>1183</v>
      </c>
      <c r="AT16" s="446" t="s">
        <v>1184</v>
      </c>
      <c r="AU16" s="446" t="s">
        <v>1184</v>
      </c>
      <c r="AV16" s="446" t="s">
        <v>1184</v>
      </c>
      <c r="AW16" s="446" t="s">
        <v>1184</v>
      </c>
      <c r="AX16" s="446" t="s">
        <v>1184</v>
      </c>
      <c r="AY16" s="448">
        <v>0</v>
      </c>
      <c r="AZ16" s="446" t="s">
        <v>1183</v>
      </c>
      <c r="BA16" s="448">
        <v>0</v>
      </c>
      <c r="BB16" s="446" t="s">
        <v>1183</v>
      </c>
      <c r="BC16" s="448">
        <v>0</v>
      </c>
      <c r="BD16" s="446" t="s">
        <v>1183</v>
      </c>
      <c r="BE16" s="448">
        <v>0</v>
      </c>
      <c r="BF16" s="448">
        <v>0</v>
      </c>
      <c r="BG16" s="448">
        <v>0</v>
      </c>
      <c r="BH16" s="448">
        <v>0</v>
      </c>
      <c r="BI16" s="446" t="s">
        <v>1183</v>
      </c>
      <c r="BJ16" s="446" t="s">
        <v>1183</v>
      </c>
      <c r="BK16" s="446" t="s">
        <v>1183</v>
      </c>
      <c r="BL16" s="447">
        <v>0</v>
      </c>
      <c r="BM16" s="446" t="s">
        <v>1183</v>
      </c>
      <c r="BN16" s="447">
        <v>0</v>
      </c>
      <c r="BO16" s="447">
        <v>0</v>
      </c>
      <c r="BP16" s="447">
        <v>0</v>
      </c>
      <c r="BQ16" s="447">
        <v>0</v>
      </c>
      <c r="BR16" s="447">
        <v>0</v>
      </c>
      <c r="BS16" s="451">
        <v>0</v>
      </c>
      <c r="BT16" s="446" t="s">
        <v>1183</v>
      </c>
      <c r="BU16" s="446" t="s">
        <v>1183</v>
      </c>
      <c r="BV16" s="446" t="s">
        <v>1183</v>
      </c>
      <c r="BW16" s="447">
        <v>0</v>
      </c>
      <c r="BX16" s="447">
        <v>0</v>
      </c>
      <c r="BY16" s="447">
        <v>0</v>
      </c>
      <c r="BZ16" s="447">
        <v>0</v>
      </c>
      <c r="CA16" s="448">
        <v>0</v>
      </c>
      <c r="CB16" s="448">
        <v>0</v>
      </c>
      <c r="CC16" s="447">
        <v>0</v>
      </c>
      <c r="CD16" s="446" t="s">
        <v>1183</v>
      </c>
      <c r="CE16" s="446" t="s">
        <v>1183</v>
      </c>
      <c r="CF16" s="448">
        <v>0</v>
      </c>
      <c r="CG16" s="448">
        <v>0</v>
      </c>
      <c r="CH16" s="448">
        <v>0</v>
      </c>
      <c r="CI16" s="448">
        <v>0</v>
      </c>
      <c r="CJ16" s="446" t="s">
        <v>1183</v>
      </c>
      <c r="CK16" s="446" t="s">
        <v>1183</v>
      </c>
      <c r="CL16" s="446" t="s">
        <v>1183</v>
      </c>
      <c r="CM16" s="446" t="s">
        <v>1183</v>
      </c>
      <c r="CN16" s="446" t="s">
        <v>1183</v>
      </c>
      <c r="CO16" s="446" t="s">
        <v>1183</v>
      </c>
      <c r="CP16" s="448">
        <v>0</v>
      </c>
      <c r="CQ16" s="446" t="s">
        <v>1183</v>
      </c>
      <c r="CR16" s="448">
        <v>0</v>
      </c>
      <c r="CS16" s="446" t="s">
        <v>1183</v>
      </c>
      <c r="CT16" s="448">
        <v>0</v>
      </c>
      <c r="CU16" s="446" t="s">
        <v>1183</v>
      </c>
      <c r="CV16" s="446" t="s">
        <v>1183</v>
      </c>
      <c r="CW16" s="448">
        <v>0</v>
      </c>
      <c r="CX16" s="446" t="s">
        <v>1183</v>
      </c>
      <c r="CY16" s="448">
        <v>0</v>
      </c>
      <c r="CZ16" s="446" t="s">
        <v>1183</v>
      </c>
      <c r="DA16" s="448">
        <v>0</v>
      </c>
      <c r="DB16" s="446" t="s">
        <v>1183</v>
      </c>
      <c r="DC16" s="446" t="s">
        <v>1183</v>
      </c>
      <c r="DD16" s="446" t="s">
        <v>1183</v>
      </c>
      <c r="DE16" s="446" t="s">
        <v>1183</v>
      </c>
      <c r="DF16" s="446"/>
    </row>
    <row customHeight="true" ht="16.296296296296294" r="17">
      <c r="A17" s="446" t="s">
        <v>1199</v>
      </c>
      <c r="B17" s="446" t="s">
        <v>1179</v>
      </c>
      <c r="C17" s="446" t="s">
        <v>1180</v>
      </c>
      <c r="D17" s="446" t="s">
        <v>1180</v>
      </c>
      <c r="E17" s="446" t="s">
        <v>1181</v>
      </c>
      <c r="F17" s="446" t="s">
        <v>1182</v>
      </c>
      <c r="G17" s="447">
        <v>0</v>
      </c>
      <c r="H17" s="447">
        <v>0</v>
      </c>
      <c r="I17" s="448">
        <v>0</v>
      </c>
      <c r="J17" s="448">
        <v>0</v>
      </c>
      <c r="K17" s="448">
        <v>0</v>
      </c>
      <c r="L17" s="448">
        <v>0</v>
      </c>
      <c r="M17" s="448">
        <v>0</v>
      </c>
      <c r="N17" s="448">
        <v>0</v>
      </c>
      <c r="O17" s="448">
        <v>0</v>
      </c>
      <c r="P17" s="448">
        <v>0</v>
      </c>
      <c r="Q17" s="447">
        <v>0</v>
      </c>
      <c r="R17" s="448">
        <v>0</v>
      </c>
      <c r="S17" s="447">
        <v>0</v>
      </c>
      <c r="T17" s="446" t="s">
        <v>1183</v>
      </c>
      <c r="U17" s="446" t="s">
        <v>1183</v>
      </c>
      <c r="V17" s="446" t="s">
        <v>1183</v>
      </c>
      <c r="W17" s="446" t="s">
        <v>1183</v>
      </c>
      <c r="X17" s="446" t="s">
        <v>1183</v>
      </c>
      <c r="Y17" s="446" t="s">
        <v>1183</v>
      </c>
      <c r="Z17" s="448">
        <v>0</v>
      </c>
      <c r="AA17" s="447">
        <v>0</v>
      </c>
      <c r="AB17" s="448">
        <v>0</v>
      </c>
      <c r="AC17" s="447">
        <v>0</v>
      </c>
      <c r="AD17" s="448">
        <v>0</v>
      </c>
      <c r="AE17" s="447">
        <v>0</v>
      </c>
      <c r="AF17" s="448">
        <v>0</v>
      </c>
      <c r="AG17" s="447">
        <v>0</v>
      </c>
      <c r="AH17" s="449">
        <v>0</v>
      </c>
      <c r="AI17" s="447">
        <v>0</v>
      </c>
      <c r="AJ17" s="449">
        <v>0</v>
      </c>
      <c r="AK17" s="447">
        <v>0</v>
      </c>
      <c r="AL17" s="446"/>
      <c r="AM17" s="446"/>
      <c r="AN17" s="448">
        <v>0</v>
      </c>
      <c r="AO17" s="447">
        <v>0</v>
      </c>
      <c r="AP17" s="446" t="s">
        <v>1183</v>
      </c>
      <c r="AQ17" s="450">
        <v>0</v>
      </c>
      <c r="AR17" s="448">
        <v>0</v>
      </c>
      <c r="AS17" s="446" t="s">
        <v>1183</v>
      </c>
      <c r="AT17" s="446" t="s">
        <v>1184</v>
      </c>
      <c r="AU17" s="446" t="s">
        <v>1184</v>
      </c>
      <c r="AV17" s="446" t="s">
        <v>1184</v>
      </c>
      <c r="AW17" s="446" t="s">
        <v>1184</v>
      </c>
      <c r="AX17" s="446" t="s">
        <v>1184</v>
      </c>
      <c r="AY17" s="448">
        <v>0</v>
      </c>
      <c r="AZ17" s="446" t="s">
        <v>1183</v>
      </c>
      <c r="BA17" s="448">
        <v>0</v>
      </c>
      <c r="BB17" s="446" t="s">
        <v>1183</v>
      </c>
      <c r="BC17" s="448">
        <v>0</v>
      </c>
      <c r="BD17" s="446" t="s">
        <v>1183</v>
      </c>
      <c r="BE17" s="448">
        <v>0</v>
      </c>
      <c r="BF17" s="448">
        <v>0</v>
      </c>
      <c r="BG17" s="448">
        <v>0</v>
      </c>
      <c r="BH17" s="448">
        <v>0</v>
      </c>
      <c r="BI17" s="446" t="s">
        <v>1183</v>
      </c>
      <c r="BJ17" s="446" t="s">
        <v>1183</v>
      </c>
      <c r="BK17" s="446" t="s">
        <v>1183</v>
      </c>
      <c r="BL17" s="447">
        <v>0</v>
      </c>
      <c r="BM17" s="446" t="s">
        <v>1183</v>
      </c>
      <c r="BN17" s="447">
        <v>0</v>
      </c>
      <c r="BO17" s="447">
        <v>0</v>
      </c>
      <c r="BP17" s="447">
        <v>0</v>
      </c>
      <c r="BQ17" s="447">
        <v>0</v>
      </c>
      <c r="BR17" s="447">
        <v>0</v>
      </c>
      <c r="BS17" s="451">
        <v>0</v>
      </c>
      <c r="BT17" s="446" t="s">
        <v>1183</v>
      </c>
      <c r="BU17" s="446" t="s">
        <v>1183</v>
      </c>
      <c r="BV17" s="446" t="s">
        <v>1183</v>
      </c>
      <c r="BW17" s="447">
        <v>0</v>
      </c>
      <c r="BX17" s="447">
        <v>0</v>
      </c>
      <c r="BY17" s="447">
        <v>0</v>
      </c>
      <c r="BZ17" s="447">
        <v>0</v>
      </c>
      <c r="CA17" s="448">
        <v>0</v>
      </c>
      <c r="CB17" s="448">
        <v>0</v>
      </c>
      <c r="CC17" s="447">
        <v>0</v>
      </c>
      <c r="CD17" s="446" t="s">
        <v>1183</v>
      </c>
      <c r="CE17" s="446" t="s">
        <v>1183</v>
      </c>
      <c r="CF17" s="448">
        <v>0</v>
      </c>
      <c r="CG17" s="448">
        <v>0</v>
      </c>
      <c r="CH17" s="448">
        <v>0</v>
      </c>
      <c r="CI17" s="448">
        <v>0</v>
      </c>
      <c r="CJ17" s="446" t="s">
        <v>1183</v>
      </c>
      <c r="CK17" s="446" t="s">
        <v>1183</v>
      </c>
      <c r="CL17" s="446" t="s">
        <v>1183</v>
      </c>
      <c r="CM17" s="446" t="s">
        <v>1183</v>
      </c>
      <c r="CN17" s="446" t="s">
        <v>1183</v>
      </c>
      <c r="CO17" s="446" t="s">
        <v>1183</v>
      </c>
      <c r="CP17" s="448">
        <v>0</v>
      </c>
      <c r="CQ17" s="446" t="s">
        <v>1183</v>
      </c>
      <c r="CR17" s="448">
        <v>0</v>
      </c>
      <c r="CS17" s="446" t="s">
        <v>1183</v>
      </c>
      <c r="CT17" s="448">
        <v>0</v>
      </c>
      <c r="CU17" s="446" t="s">
        <v>1183</v>
      </c>
      <c r="CV17" s="446" t="s">
        <v>1183</v>
      </c>
      <c r="CW17" s="448">
        <v>0</v>
      </c>
      <c r="CX17" s="446" t="s">
        <v>1183</v>
      </c>
      <c r="CY17" s="448">
        <v>0</v>
      </c>
      <c r="CZ17" s="446" t="s">
        <v>1183</v>
      </c>
      <c r="DA17" s="448">
        <v>0</v>
      </c>
      <c r="DB17" s="446" t="s">
        <v>1183</v>
      </c>
      <c r="DC17" s="446" t="s">
        <v>1183</v>
      </c>
      <c r="DD17" s="446" t="s">
        <v>1183</v>
      </c>
      <c r="DE17" s="446" t="s">
        <v>1183</v>
      </c>
      <c r="DF17" s="446"/>
    </row>
    <row customHeight="true" ht="16.296296296296294" r="18">
      <c r="A18" s="446" t="s">
        <v>1200</v>
      </c>
      <c r="B18" s="446" t="s">
        <v>1179</v>
      </c>
      <c r="C18" s="446" t="s">
        <v>1180</v>
      </c>
      <c r="D18" s="446" t="s">
        <v>1180</v>
      </c>
      <c r="E18" s="446" t="s">
        <v>1181</v>
      </c>
      <c r="F18" s="446" t="s">
        <v>1182</v>
      </c>
      <c r="G18" s="447">
        <v>0</v>
      </c>
      <c r="H18" s="447">
        <v>69</v>
      </c>
      <c r="I18" s="448">
        <v>93</v>
      </c>
      <c r="J18" s="448">
        <v>0</v>
      </c>
      <c r="K18" s="448">
        <v>0</v>
      </c>
      <c r="L18" s="448">
        <v>0</v>
      </c>
      <c r="M18" s="448">
        <v>0</v>
      </c>
      <c r="N18" s="448">
        <v>0</v>
      </c>
      <c r="O18" s="448">
        <v>93</v>
      </c>
      <c r="P18" s="448">
        <v>0</v>
      </c>
      <c r="Q18" s="447">
        <v>0</v>
      </c>
      <c r="R18" s="448">
        <v>0</v>
      </c>
      <c r="S18" s="447">
        <v>0</v>
      </c>
      <c r="T18" s="446" t="s">
        <v>1183</v>
      </c>
      <c r="U18" s="446" t="s">
        <v>1183</v>
      </c>
      <c r="V18" s="446" t="s">
        <v>1183</v>
      </c>
      <c r="W18" s="446" t="s">
        <v>1183</v>
      </c>
      <c r="X18" s="446" t="s">
        <v>1183</v>
      </c>
      <c r="Y18" s="446" t="s">
        <v>1183</v>
      </c>
      <c r="Z18" s="448">
        <v>0</v>
      </c>
      <c r="AA18" s="447">
        <v>0</v>
      </c>
      <c r="AB18" s="448">
        <v>0</v>
      </c>
      <c r="AC18" s="447">
        <v>0</v>
      </c>
      <c r="AD18" s="448">
        <v>0</v>
      </c>
      <c r="AE18" s="447">
        <v>0</v>
      </c>
      <c r="AF18" s="448">
        <v>0</v>
      </c>
      <c r="AG18" s="447">
        <v>0</v>
      </c>
      <c r="AH18" s="449">
        <v>0</v>
      </c>
      <c r="AI18" s="447">
        <v>0</v>
      </c>
      <c r="AJ18" s="449">
        <v>0</v>
      </c>
      <c r="AK18" s="447">
        <v>0</v>
      </c>
      <c r="AL18" s="446"/>
      <c r="AM18" s="446"/>
      <c r="AN18" s="448">
        <v>0</v>
      </c>
      <c r="AO18" s="447">
        <v>0</v>
      </c>
      <c r="AP18" s="446" t="s">
        <v>1183</v>
      </c>
      <c r="AQ18" s="450">
        <v>0</v>
      </c>
      <c r="AR18" s="448">
        <v>0</v>
      </c>
      <c r="AS18" s="446" t="s">
        <v>1183</v>
      </c>
      <c r="AT18" s="446" t="s">
        <v>1184</v>
      </c>
      <c r="AU18" s="446" t="s">
        <v>1184</v>
      </c>
      <c r="AV18" s="446" t="s">
        <v>1184</v>
      </c>
      <c r="AW18" s="446" t="s">
        <v>1184</v>
      </c>
      <c r="AX18" s="446" t="s">
        <v>1184</v>
      </c>
      <c r="AY18" s="448">
        <v>0</v>
      </c>
      <c r="AZ18" s="446" t="s">
        <v>1183</v>
      </c>
      <c r="BA18" s="448">
        <v>0</v>
      </c>
      <c r="BB18" s="446" t="s">
        <v>1183</v>
      </c>
      <c r="BC18" s="448">
        <v>0</v>
      </c>
      <c r="BD18" s="446" t="s">
        <v>1183</v>
      </c>
      <c r="BE18" s="448">
        <v>0</v>
      </c>
      <c r="BF18" s="448">
        <v>0</v>
      </c>
      <c r="BG18" s="448">
        <v>0</v>
      </c>
      <c r="BH18" s="448">
        <v>0</v>
      </c>
      <c r="BI18" s="446" t="s">
        <v>1183</v>
      </c>
      <c r="BJ18" s="446" t="s">
        <v>1183</v>
      </c>
      <c r="BK18" s="446" t="s">
        <v>1183</v>
      </c>
      <c r="BL18" s="447">
        <v>0</v>
      </c>
      <c r="BM18" s="446" t="s">
        <v>1183</v>
      </c>
      <c r="BN18" s="447">
        <v>0</v>
      </c>
      <c r="BO18" s="447">
        <v>0</v>
      </c>
      <c r="BP18" s="447">
        <v>0</v>
      </c>
      <c r="BQ18" s="447">
        <v>0</v>
      </c>
      <c r="BR18" s="447">
        <v>0</v>
      </c>
      <c r="BS18" s="451">
        <v>0</v>
      </c>
      <c r="BT18" s="446" t="s">
        <v>1183</v>
      </c>
      <c r="BU18" s="446" t="s">
        <v>1183</v>
      </c>
      <c r="BV18" s="446" t="s">
        <v>1183</v>
      </c>
      <c r="BW18" s="447">
        <v>0</v>
      </c>
      <c r="BX18" s="447">
        <v>0</v>
      </c>
      <c r="BY18" s="447">
        <v>0</v>
      </c>
      <c r="BZ18" s="447">
        <v>0</v>
      </c>
      <c r="CA18" s="448">
        <v>0</v>
      </c>
      <c r="CB18" s="448">
        <v>0</v>
      </c>
      <c r="CC18" s="447">
        <v>0</v>
      </c>
      <c r="CD18" s="446" t="s">
        <v>1183</v>
      </c>
      <c r="CE18" s="446" t="s">
        <v>1183</v>
      </c>
      <c r="CF18" s="448">
        <v>0</v>
      </c>
      <c r="CG18" s="448">
        <v>0</v>
      </c>
      <c r="CH18" s="448">
        <v>0</v>
      </c>
      <c r="CI18" s="448">
        <v>0</v>
      </c>
      <c r="CJ18" s="446" t="s">
        <v>1183</v>
      </c>
      <c r="CK18" s="446" t="s">
        <v>1183</v>
      </c>
      <c r="CL18" s="446" t="s">
        <v>1183</v>
      </c>
      <c r="CM18" s="446" t="s">
        <v>1183</v>
      </c>
      <c r="CN18" s="446" t="s">
        <v>1183</v>
      </c>
      <c r="CO18" s="446" t="s">
        <v>1183</v>
      </c>
      <c r="CP18" s="448">
        <v>0</v>
      </c>
      <c r="CQ18" s="446" t="s">
        <v>1183</v>
      </c>
      <c r="CR18" s="448">
        <v>0</v>
      </c>
      <c r="CS18" s="446" t="s">
        <v>1183</v>
      </c>
      <c r="CT18" s="448">
        <v>0</v>
      </c>
      <c r="CU18" s="446" t="s">
        <v>1183</v>
      </c>
      <c r="CV18" s="446" t="s">
        <v>1183</v>
      </c>
      <c r="CW18" s="448">
        <v>0</v>
      </c>
      <c r="CX18" s="446" t="s">
        <v>1183</v>
      </c>
      <c r="CY18" s="448">
        <v>0</v>
      </c>
      <c r="CZ18" s="446" t="s">
        <v>1183</v>
      </c>
      <c r="DA18" s="448">
        <v>0</v>
      </c>
      <c r="DB18" s="446" t="s">
        <v>1183</v>
      </c>
      <c r="DC18" s="446" t="s">
        <v>1183</v>
      </c>
      <c r="DD18" s="446" t="s">
        <v>1183</v>
      </c>
      <c r="DE18" s="446" t="s">
        <v>1183</v>
      </c>
      <c r="DF18" s="446"/>
    </row>
    <row customHeight="true" ht="16.296296296296294" r="19">
      <c r="A19" s="446" t="s">
        <v>1201</v>
      </c>
      <c r="B19" s="446" t="s">
        <v>1179</v>
      </c>
      <c r="C19" s="446" t="s">
        <v>1180</v>
      </c>
      <c r="D19" s="446" t="s">
        <v>1180</v>
      </c>
      <c r="E19" s="446" t="s">
        <v>1181</v>
      </c>
      <c r="F19" s="446" t="s">
        <v>1182</v>
      </c>
      <c r="G19" s="447">
        <v>0</v>
      </c>
      <c r="H19" s="447">
        <v>69</v>
      </c>
      <c r="I19" s="448">
        <v>159</v>
      </c>
      <c r="J19" s="448">
        <v>0</v>
      </c>
      <c r="K19" s="448">
        <v>0</v>
      </c>
      <c r="L19" s="448">
        <v>0</v>
      </c>
      <c r="M19" s="448">
        <v>0</v>
      </c>
      <c r="N19" s="448">
        <v>0</v>
      </c>
      <c r="O19" s="448">
        <v>159</v>
      </c>
      <c r="P19" s="448">
        <v>0</v>
      </c>
      <c r="Q19" s="447">
        <v>0</v>
      </c>
      <c r="R19" s="448">
        <v>0</v>
      </c>
      <c r="S19" s="447">
        <v>0</v>
      </c>
      <c r="T19" s="446" t="s">
        <v>1183</v>
      </c>
      <c r="U19" s="446" t="s">
        <v>1183</v>
      </c>
      <c r="V19" s="446" t="s">
        <v>1183</v>
      </c>
      <c r="W19" s="446" t="s">
        <v>1183</v>
      </c>
      <c r="X19" s="446" t="s">
        <v>1183</v>
      </c>
      <c r="Y19" s="446" t="s">
        <v>1183</v>
      </c>
      <c r="Z19" s="448">
        <v>0</v>
      </c>
      <c r="AA19" s="447">
        <v>0</v>
      </c>
      <c r="AB19" s="448">
        <v>0</v>
      </c>
      <c r="AC19" s="447">
        <v>0</v>
      </c>
      <c r="AD19" s="448">
        <v>0</v>
      </c>
      <c r="AE19" s="447">
        <v>0</v>
      </c>
      <c r="AF19" s="448">
        <v>0</v>
      </c>
      <c r="AG19" s="447">
        <v>0</v>
      </c>
      <c r="AH19" s="449">
        <v>0</v>
      </c>
      <c r="AI19" s="447">
        <v>0</v>
      </c>
      <c r="AJ19" s="449">
        <v>0</v>
      </c>
      <c r="AK19" s="447">
        <v>0</v>
      </c>
      <c r="AL19" s="446"/>
      <c r="AM19" s="446"/>
      <c r="AN19" s="448">
        <v>0</v>
      </c>
      <c r="AO19" s="447">
        <v>0</v>
      </c>
      <c r="AP19" s="446" t="s">
        <v>1183</v>
      </c>
      <c r="AQ19" s="450">
        <v>0</v>
      </c>
      <c r="AR19" s="448">
        <v>0</v>
      </c>
      <c r="AS19" s="446" t="s">
        <v>1183</v>
      </c>
      <c r="AT19" s="446" t="s">
        <v>1184</v>
      </c>
      <c r="AU19" s="446" t="s">
        <v>1184</v>
      </c>
      <c r="AV19" s="446" t="s">
        <v>1184</v>
      </c>
      <c r="AW19" s="446" t="s">
        <v>1184</v>
      </c>
      <c r="AX19" s="446" t="s">
        <v>1184</v>
      </c>
      <c r="AY19" s="448">
        <v>0</v>
      </c>
      <c r="AZ19" s="446" t="s">
        <v>1183</v>
      </c>
      <c r="BA19" s="448">
        <v>2</v>
      </c>
      <c r="BB19" s="446" t="s">
        <v>1202</v>
      </c>
      <c r="BC19" s="448">
        <v>0</v>
      </c>
      <c r="BD19" s="446" t="s">
        <v>1183</v>
      </c>
      <c r="BE19" s="448">
        <v>2</v>
      </c>
      <c r="BF19" s="448">
        <v>4</v>
      </c>
      <c r="BG19" s="448">
        <v>0</v>
      </c>
      <c r="BH19" s="448">
        <v>4</v>
      </c>
      <c r="BI19" s="446" t="s">
        <v>1183</v>
      </c>
      <c r="BJ19" s="446" t="s">
        <v>1183</v>
      </c>
      <c r="BK19" s="446" t="s">
        <v>1203</v>
      </c>
      <c r="BL19" s="447">
        <v>0</v>
      </c>
      <c r="BM19" s="446" t="s">
        <v>1183</v>
      </c>
      <c r="BN19" s="447">
        <v>0</v>
      </c>
      <c r="BO19" s="447">
        <v>0</v>
      </c>
      <c r="BP19" s="447">
        <v>0</v>
      </c>
      <c r="BQ19" s="447">
        <v>0</v>
      </c>
      <c r="BR19" s="447">
        <v>0</v>
      </c>
      <c r="BS19" s="451">
        <v>0</v>
      </c>
      <c r="BT19" s="446" t="s">
        <v>1183</v>
      </c>
      <c r="BU19" s="446" t="s">
        <v>1183</v>
      </c>
      <c r="BV19" s="446" t="s">
        <v>1183</v>
      </c>
      <c r="BW19" s="447">
        <v>0</v>
      </c>
      <c r="BX19" s="447">
        <v>0</v>
      </c>
      <c r="BY19" s="447">
        <v>0</v>
      </c>
      <c r="BZ19" s="447">
        <v>0</v>
      </c>
      <c r="CA19" s="448">
        <v>0</v>
      </c>
      <c r="CB19" s="448">
        <v>0</v>
      </c>
      <c r="CC19" s="447">
        <v>0</v>
      </c>
      <c r="CD19" s="446" t="s">
        <v>1183</v>
      </c>
      <c r="CE19" s="446" t="s">
        <v>1183</v>
      </c>
      <c r="CF19" s="448">
        <v>0</v>
      </c>
      <c r="CG19" s="448">
        <v>0</v>
      </c>
      <c r="CH19" s="448">
        <v>0</v>
      </c>
      <c r="CI19" s="448">
        <v>2</v>
      </c>
      <c r="CJ19" s="446" t="s">
        <v>1183</v>
      </c>
      <c r="CK19" s="446" t="s">
        <v>1183</v>
      </c>
      <c r="CL19" s="446" t="s">
        <v>1183</v>
      </c>
      <c r="CM19" s="446" t="s">
        <v>1204</v>
      </c>
      <c r="CN19" s="446" t="s">
        <v>1183</v>
      </c>
      <c r="CO19" s="446" t="s">
        <v>1183</v>
      </c>
      <c r="CP19" s="448">
        <v>0</v>
      </c>
      <c r="CQ19" s="446" t="s">
        <v>1183</v>
      </c>
      <c r="CR19" s="448">
        <v>0</v>
      </c>
      <c r="CS19" s="446" t="s">
        <v>1183</v>
      </c>
      <c r="CT19" s="448">
        <v>0</v>
      </c>
      <c r="CU19" s="446" t="s">
        <v>1183</v>
      </c>
      <c r="CV19" s="446" t="s">
        <v>1183</v>
      </c>
      <c r="CW19" s="448">
        <v>0</v>
      </c>
      <c r="CX19" s="446" t="s">
        <v>1183</v>
      </c>
      <c r="CY19" s="448">
        <v>0</v>
      </c>
      <c r="CZ19" s="446" t="s">
        <v>1183</v>
      </c>
      <c r="DA19" s="448">
        <v>0</v>
      </c>
      <c r="DB19" s="446" t="s">
        <v>1183</v>
      </c>
      <c r="DC19" s="446" t="s">
        <v>1183</v>
      </c>
      <c r="DD19" s="446" t="s">
        <v>1183</v>
      </c>
      <c r="DE19" s="446" t="s">
        <v>1183</v>
      </c>
      <c r="DF19" s="446"/>
    </row>
    <row customHeight="true" ht="16.296296296296294" r="20">
      <c r="A20" s="446" t="s">
        <v>1205</v>
      </c>
      <c r="B20" s="446" t="s">
        <v>1179</v>
      </c>
      <c r="C20" s="446" t="s">
        <v>1180</v>
      </c>
      <c r="D20" s="446" t="s">
        <v>1180</v>
      </c>
      <c r="E20" s="446" t="s">
        <v>1181</v>
      </c>
      <c r="F20" s="446" t="s">
        <v>1182</v>
      </c>
      <c r="G20" s="447">
        <v>0</v>
      </c>
      <c r="H20" s="447">
        <v>69</v>
      </c>
      <c r="I20" s="448">
        <v>201</v>
      </c>
      <c r="J20" s="448">
        <v>0</v>
      </c>
      <c r="K20" s="448">
        <v>0</v>
      </c>
      <c r="L20" s="448">
        <v>0</v>
      </c>
      <c r="M20" s="448">
        <v>0</v>
      </c>
      <c r="N20" s="448">
        <v>0</v>
      </c>
      <c r="O20" s="448">
        <v>201</v>
      </c>
      <c r="P20" s="448">
        <v>0</v>
      </c>
      <c r="Q20" s="447">
        <v>0</v>
      </c>
      <c r="R20" s="448">
        <v>0</v>
      </c>
      <c r="S20" s="447">
        <v>0</v>
      </c>
      <c r="T20" s="446" t="s">
        <v>1183</v>
      </c>
      <c r="U20" s="446" t="s">
        <v>1183</v>
      </c>
      <c r="V20" s="446" t="s">
        <v>1183</v>
      </c>
      <c r="W20" s="446" t="s">
        <v>1183</v>
      </c>
      <c r="X20" s="446" t="s">
        <v>1183</v>
      </c>
      <c r="Y20" s="446" t="s">
        <v>1183</v>
      </c>
      <c r="Z20" s="448">
        <v>0</v>
      </c>
      <c r="AA20" s="447">
        <v>0</v>
      </c>
      <c r="AB20" s="448">
        <v>0</v>
      </c>
      <c r="AC20" s="447">
        <v>0</v>
      </c>
      <c r="AD20" s="448">
        <v>0</v>
      </c>
      <c r="AE20" s="447">
        <v>0</v>
      </c>
      <c r="AF20" s="448">
        <v>0</v>
      </c>
      <c r="AG20" s="447">
        <v>0</v>
      </c>
      <c r="AH20" s="449">
        <v>0</v>
      </c>
      <c r="AI20" s="447">
        <v>0</v>
      </c>
      <c r="AJ20" s="449">
        <v>0</v>
      </c>
      <c r="AK20" s="447">
        <v>0</v>
      </c>
      <c r="AL20" s="446"/>
      <c r="AM20" s="446"/>
      <c r="AN20" s="448">
        <v>0</v>
      </c>
      <c r="AO20" s="447">
        <v>0</v>
      </c>
      <c r="AP20" s="446" t="s">
        <v>1183</v>
      </c>
      <c r="AQ20" s="450">
        <v>0</v>
      </c>
      <c r="AR20" s="448">
        <v>0</v>
      </c>
      <c r="AS20" s="446" t="s">
        <v>1183</v>
      </c>
      <c r="AT20" s="446" t="s">
        <v>1184</v>
      </c>
      <c r="AU20" s="446" t="s">
        <v>1184</v>
      </c>
      <c r="AV20" s="446" t="s">
        <v>1184</v>
      </c>
      <c r="AW20" s="446" t="s">
        <v>1184</v>
      </c>
      <c r="AX20" s="446" t="s">
        <v>1184</v>
      </c>
      <c r="AY20" s="448">
        <v>0</v>
      </c>
      <c r="AZ20" s="446" t="s">
        <v>1183</v>
      </c>
      <c r="BA20" s="448">
        <v>1</v>
      </c>
      <c r="BB20" s="446" t="s">
        <v>1206</v>
      </c>
      <c r="BC20" s="448">
        <v>0</v>
      </c>
      <c r="BD20" s="446" t="s">
        <v>1183</v>
      </c>
      <c r="BE20" s="448">
        <v>1</v>
      </c>
      <c r="BF20" s="448">
        <v>1</v>
      </c>
      <c r="BG20" s="448">
        <v>0</v>
      </c>
      <c r="BH20" s="448">
        <v>1</v>
      </c>
      <c r="BI20" s="446" t="s">
        <v>1183</v>
      </c>
      <c r="BJ20" s="446" t="s">
        <v>1183</v>
      </c>
      <c r="BK20" s="446" t="s">
        <v>1203</v>
      </c>
      <c r="BL20" s="447">
        <v>0</v>
      </c>
      <c r="BM20" s="446" t="s">
        <v>1183</v>
      </c>
      <c r="BN20" s="447">
        <v>0</v>
      </c>
      <c r="BO20" s="447">
        <v>0</v>
      </c>
      <c r="BP20" s="447">
        <v>0</v>
      </c>
      <c r="BQ20" s="447">
        <v>0</v>
      </c>
      <c r="BR20" s="447">
        <v>0</v>
      </c>
      <c r="BS20" s="451">
        <v>0</v>
      </c>
      <c r="BT20" s="446" t="s">
        <v>1183</v>
      </c>
      <c r="BU20" s="446" t="s">
        <v>1183</v>
      </c>
      <c r="BV20" s="446" t="s">
        <v>1183</v>
      </c>
      <c r="BW20" s="447">
        <v>0</v>
      </c>
      <c r="BX20" s="447">
        <v>0</v>
      </c>
      <c r="BY20" s="447">
        <v>0</v>
      </c>
      <c r="BZ20" s="447">
        <v>0</v>
      </c>
      <c r="CA20" s="448">
        <v>0</v>
      </c>
      <c r="CB20" s="448">
        <v>0</v>
      </c>
      <c r="CC20" s="447">
        <v>0</v>
      </c>
      <c r="CD20" s="446" t="s">
        <v>1183</v>
      </c>
      <c r="CE20" s="446" t="s">
        <v>1183</v>
      </c>
      <c r="CF20" s="448">
        <v>0</v>
      </c>
      <c r="CG20" s="448">
        <v>0</v>
      </c>
      <c r="CH20" s="448">
        <v>0</v>
      </c>
      <c r="CI20" s="448">
        <v>1</v>
      </c>
      <c r="CJ20" s="446" t="s">
        <v>1183</v>
      </c>
      <c r="CK20" s="446" t="s">
        <v>1183</v>
      </c>
      <c r="CL20" s="446" t="s">
        <v>1183</v>
      </c>
      <c r="CM20" s="446" t="s">
        <v>1207</v>
      </c>
      <c r="CN20" s="446" t="s">
        <v>1183</v>
      </c>
      <c r="CO20" s="446" t="s">
        <v>1183</v>
      </c>
      <c r="CP20" s="448">
        <v>0</v>
      </c>
      <c r="CQ20" s="446" t="s">
        <v>1183</v>
      </c>
      <c r="CR20" s="448">
        <v>0</v>
      </c>
      <c r="CS20" s="446" t="s">
        <v>1183</v>
      </c>
      <c r="CT20" s="448">
        <v>0</v>
      </c>
      <c r="CU20" s="446" t="s">
        <v>1183</v>
      </c>
      <c r="CV20" s="446" t="s">
        <v>1183</v>
      </c>
      <c r="CW20" s="448">
        <v>0</v>
      </c>
      <c r="CX20" s="446" t="s">
        <v>1183</v>
      </c>
      <c r="CY20" s="448">
        <v>0</v>
      </c>
      <c r="CZ20" s="446" t="s">
        <v>1183</v>
      </c>
      <c r="DA20" s="448">
        <v>0</v>
      </c>
      <c r="DB20" s="446" t="s">
        <v>1183</v>
      </c>
      <c r="DC20" s="446" t="s">
        <v>1183</v>
      </c>
      <c r="DD20" s="446" t="s">
        <v>1183</v>
      </c>
      <c r="DE20" s="446" t="s">
        <v>1183</v>
      </c>
      <c r="DF20" s="446"/>
    </row>
    <row customHeight="true" ht="16.296296296296294" r="21">
      <c r="A21" s="446" t="s">
        <v>1208</v>
      </c>
      <c r="B21" s="446" t="s">
        <v>1179</v>
      </c>
      <c r="C21" s="446" t="s">
        <v>1180</v>
      </c>
      <c r="D21" s="446" t="s">
        <v>1180</v>
      </c>
      <c r="E21" s="446" t="s">
        <v>1181</v>
      </c>
      <c r="F21" s="446" t="s">
        <v>1182</v>
      </c>
      <c r="G21" s="447">
        <v>0</v>
      </c>
      <c r="H21" s="447">
        <v>69</v>
      </c>
      <c r="I21" s="448">
        <v>201</v>
      </c>
      <c r="J21" s="448">
        <v>0</v>
      </c>
      <c r="K21" s="448">
        <v>0</v>
      </c>
      <c r="L21" s="448">
        <v>0</v>
      </c>
      <c r="M21" s="448">
        <v>0</v>
      </c>
      <c r="N21" s="448">
        <v>0</v>
      </c>
      <c r="O21" s="448">
        <v>201</v>
      </c>
      <c r="P21" s="448">
        <v>0</v>
      </c>
      <c r="Q21" s="447">
        <v>0</v>
      </c>
      <c r="R21" s="448">
        <v>0</v>
      </c>
      <c r="S21" s="447">
        <v>0</v>
      </c>
      <c r="T21" s="446" t="s">
        <v>1183</v>
      </c>
      <c r="U21" s="446" t="s">
        <v>1183</v>
      </c>
      <c r="V21" s="446" t="s">
        <v>1183</v>
      </c>
      <c r="W21" s="446" t="s">
        <v>1183</v>
      </c>
      <c r="X21" s="446" t="s">
        <v>1183</v>
      </c>
      <c r="Y21" s="446" t="s">
        <v>1183</v>
      </c>
      <c r="Z21" s="448">
        <v>0</v>
      </c>
      <c r="AA21" s="447">
        <v>0</v>
      </c>
      <c r="AB21" s="448">
        <v>0</v>
      </c>
      <c r="AC21" s="447">
        <v>0</v>
      </c>
      <c r="AD21" s="448">
        <v>0</v>
      </c>
      <c r="AE21" s="447">
        <v>0</v>
      </c>
      <c r="AF21" s="448">
        <v>0</v>
      </c>
      <c r="AG21" s="447">
        <v>0</v>
      </c>
      <c r="AH21" s="449">
        <v>0</v>
      </c>
      <c r="AI21" s="447">
        <v>0</v>
      </c>
      <c r="AJ21" s="449">
        <v>0</v>
      </c>
      <c r="AK21" s="447">
        <v>0</v>
      </c>
      <c r="AL21" s="446"/>
      <c r="AM21" s="446"/>
      <c r="AN21" s="448">
        <v>0</v>
      </c>
      <c r="AO21" s="447">
        <v>0</v>
      </c>
      <c r="AP21" s="446" t="s">
        <v>1183</v>
      </c>
      <c r="AQ21" s="450">
        <v>0</v>
      </c>
      <c r="AR21" s="448">
        <v>0</v>
      </c>
      <c r="AS21" s="446" t="s">
        <v>1183</v>
      </c>
      <c r="AT21" s="446" t="s">
        <v>1184</v>
      </c>
      <c r="AU21" s="446" t="s">
        <v>1184</v>
      </c>
      <c r="AV21" s="446" t="s">
        <v>1184</v>
      </c>
      <c r="AW21" s="446" t="s">
        <v>1184</v>
      </c>
      <c r="AX21" s="446" t="s">
        <v>1184</v>
      </c>
      <c r="AY21" s="448">
        <v>0</v>
      </c>
      <c r="AZ21" s="446" t="s">
        <v>1183</v>
      </c>
      <c r="BA21" s="448">
        <v>0</v>
      </c>
      <c r="BB21" s="446" t="s">
        <v>1183</v>
      </c>
      <c r="BC21" s="448">
        <v>0</v>
      </c>
      <c r="BD21" s="446" t="s">
        <v>1183</v>
      </c>
      <c r="BE21" s="448">
        <v>0</v>
      </c>
      <c r="BF21" s="448">
        <v>0</v>
      </c>
      <c r="BG21" s="448">
        <v>0</v>
      </c>
      <c r="BH21" s="448">
        <v>0</v>
      </c>
      <c r="BI21" s="446" t="s">
        <v>1183</v>
      </c>
      <c r="BJ21" s="446" t="s">
        <v>1183</v>
      </c>
      <c r="BK21" s="446" t="s">
        <v>1183</v>
      </c>
      <c r="BL21" s="447">
        <v>0</v>
      </c>
      <c r="BM21" s="446" t="s">
        <v>1183</v>
      </c>
      <c r="BN21" s="447">
        <v>0</v>
      </c>
      <c r="BO21" s="447">
        <v>0</v>
      </c>
      <c r="BP21" s="447">
        <v>0</v>
      </c>
      <c r="BQ21" s="447">
        <v>0</v>
      </c>
      <c r="BR21" s="447">
        <v>0</v>
      </c>
      <c r="BS21" s="451">
        <v>0</v>
      </c>
      <c r="BT21" s="446" t="s">
        <v>1183</v>
      </c>
      <c r="BU21" s="446" t="s">
        <v>1183</v>
      </c>
      <c r="BV21" s="446" t="s">
        <v>1183</v>
      </c>
      <c r="BW21" s="447">
        <v>0</v>
      </c>
      <c r="BX21" s="447">
        <v>0</v>
      </c>
      <c r="BY21" s="447">
        <v>0</v>
      </c>
      <c r="BZ21" s="447">
        <v>0</v>
      </c>
      <c r="CA21" s="448">
        <v>0</v>
      </c>
      <c r="CB21" s="448">
        <v>0</v>
      </c>
      <c r="CC21" s="447">
        <v>0</v>
      </c>
      <c r="CD21" s="446" t="s">
        <v>1183</v>
      </c>
      <c r="CE21" s="446" t="s">
        <v>1183</v>
      </c>
      <c r="CF21" s="448">
        <v>0</v>
      </c>
      <c r="CG21" s="448">
        <v>0</v>
      </c>
      <c r="CH21" s="448">
        <v>0</v>
      </c>
      <c r="CI21" s="448">
        <v>0</v>
      </c>
      <c r="CJ21" s="446" t="s">
        <v>1183</v>
      </c>
      <c r="CK21" s="446" t="s">
        <v>1183</v>
      </c>
      <c r="CL21" s="446" t="s">
        <v>1183</v>
      </c>
      <c r="CM21" s="446" t="s">
        <v>1183</v>
      </c>
      <c r="CN21" s="446" t="s">
        <v>1183</v>
      </c>
      <c r="CO21" s="446" t="s">
        <v>1183</v>
      </c>
      <c r="CP21" s="448">
        <v>0</v>
      </c>
      <c r="CQ21" s="446" t="s">
        <v>1183</v>
      </c>
      <c r="CR21" s="448">
        <v>0</v>
      </c>
      <c r="CS21" s="446" t="s">
        <v>1183</v>
      </c>
      <c r="CT21" s="448">
        <v>0</v>
      </c>
      <c r="CU21" s="446" t="s">
        <v>1183</v>
      </c>
      <c r="CV21" s="446" t="s">
        <v>1183</v>
      </c>
      <c r="CW21" s="448">
        <v>0</v>
      </c>
      <c r="CX21" s="446" t="s">
        <v>1183</v>
      </c>
      <c r="CY21" s="448">
        <v>0</v>
      </c>
      <c r="CZ21" s="446" t="s">
        <v>1183</v>
      </c>
      <c r="DA21" s="448">
        <v>0</v>
      </c>
      <c r="DB21" s="446" t="s">
        <v>1183</v>
      </c>
      <c r="DC21" s="446" t="s">
        <v>1183</v>
      </c>
      <c r="DD21" s="446" t="s">
        <v>1183</v>
      </c>
      <c r="DE21" s="446" t="s">
        <v>1183</v>
      </c>
      <c r="DF21" s="446"/>
    </row>
    <row customHeight="true" ht="16.296296296296294" r="22">
      <c r="A22" s="446" t="s">
        <v>1209</v>
      </c>
      <c r="B22" s="446" t="s">
        <v>1179</v>
      </c>
      <c r="C22" s="446" t="s">
        <v>1180</v>
      </c>
      <c r="D22" s="446" t="s">
        <v>1180</v>
      </c>
      <c r="E22" s="446" t="s">
        <v>1181</v>
      </c>
      <c r="F22" s="446" t="s">
        <v>1182</v>
      </c>
      <c r="G22" s="447">
        <v>0</v>
      </c>
      <c r="H22" s="447">
        <v>69</v>
      </c>
      <c r="I22" s="448">
        <v>200</v>
      </c>
      <c r="J22" s="448">
        <v>0</v>
      </c>
      <c r="K22" s="448">
        <v>0</v>
      </c>
      <c r="L22" s="448">
        <v>0</v>
      </c>
      <c r="M22" s="448">
        <v>0</v>
      </c>
      <c r="N22" s="448">
        <v>0</v>
      </c>
      <c r="O22" s="448">
        <v>200</v>
      </c>
      <c r="P22" s="448">
        <v>0</v>
      </c>
      <c r="Q22" s="447">
        <v>0</v>
      </c>
      <c r="R22" s="448">
        <v>0</v>
      </c>
      <c r="S22" s="447">
        <v>0</v>
      </c>
      <c r="T22" s="446" t="s">
        <v>1183</v>
      </c>
      <c r="U22" s="446" t="s">
        <v>1183</v>
      </c>
      <c r="V22" s="446" t="s">
        <v>1183</v>
      </c>
      <c r="W22" s="446" t="s">
        <v>1183</v>
      </c>
      <c r="X22" s="446" t="s">
        <v>1183</v>
      </c>
      <c r="Y22" s="446" t="s">
        <v>1183</v>
      </c>
      <c r="Z22" s="448">
        <v>0</v>
      </c>
      <c r="AA22" s="447">
        <v>0</v>
      </c>
      <c r="AB22" s="448">
        <v>0</v>
      </c>
      <c r="AC22" s="447">
        <v>0</v>
      </c>
      <c r="AD22" s="448">
        <v>0</v>
      </c>
      <c r="AE22" s="447">
        <v>0</v>
      </c>
      <c r="AF22" s="448">
        <v>0</v>
      </c>
      <c r="AG22" s="447">
        <v>0</v>
      </c>
      <c r="AH22" s="449">
        <v>0</v>
      </c>
      <c r="AI22" s="447">
        <v>0</v>
      </c>
      <c r="AJ22" s="449">
        <v>0</v>
      </c>
      <c r="AK22" s="447">
        <v>0</v>
      </c>
      <c r="AL22" s="446"/>
      <c r="AM22" s="446"/>
      <c r="AN22" s="448">
        <v>0</v>
      </c>
      <c r="AO22" s="447">
        <v>0</v>
      </c>
      <c r="AP22" s="446" t="s">
        <v>1183</v>
      </c>
      <c r="AQ22" s="450">
        <v>0</v>
      </c>
      <c r="AR22" s="448">
        <v>0</v>
      </c>
      <c r="AS22" s="446" t="s">
        <v>1183</v>
      </c>
      <c r="AT22" s="446" t="s">
        <v>1184</v>
      </c>
      <c r="AU22" s="446" t="s">
        <v>1184</v>
      </c>
      <c r="AV22" s="446" t="s">
        <v>1184</v>
      </c>
      <c r="AW22" s="446" t="s">
        <v>1184</v>
      </c>
      <c r="AX22" s="446" t="s">
        <v>1184</v>
      </c>
      <c r="AY22" s="448">
        <v>0</v>
      </c>
      <c r="AZ22" s="446" t="s">
        <v>1183</v>
      </c>
      <c r="BA22" s="448">
        <v>0</v>
      </c>
      <c r="BB22" s="446" t="s">
        <v>1183</v>
      </c>
      <c r="BC22" s="448">
        <v>0</v>
      </c>
      <c r="BD22" s="446" t="s">
        <v>1183</v>
      </c>
      <c r="BE22" s="448">
        <v>0</v>
      </c>
      <c r="BF22" s="448">
        <v>0</v>
      </c>
      <c r="BG22" s="448">
        <v>0</v>
      </c>
      <c r="BH22" s="448">
        <v>0</v>
      </c>
      <c r="BI22" s="446" t="s">
        <v>1183</v>
      </c>
      <c r="BJ22" s="446" t="s">
        <v>1183</v>
      </c>
      <c r="BK22" s="446" t="s">
        <v>1183</v>
      </c>
      <c r="BL22" s="447">
        <v>0</v>
      </c>
      <c r="BM22" s="446" t="s">
        <v>1183</v>
      </c>
      <c r="BN22" s="447">
        <v>0</v>
      </c>
      <c r="BO22" s="447">
        <v>0</v>
      </c>
      <c r="BP22" s="447">
        <v>0</v>
      </c>
      <c r="BQ22" s="447">
        <v>0</v>
      </c>
      <c r="BR22" s="447">
        <v>0</v>
      </c>
      <c r="BS22" s="451">
        <v>0</v>
      </c>
      <c r="BT22" s="446" t="s">
        <v>1183</v>
      </c>
      <c r="BU22" s="446" t="s">
        <v>1183</v>
      </c>
      <c r="BV22" s="446" t="s">
        <v>1183</v>
      </c>
      <c r="BW22" s="447">
        <v>0</v>
      </c>
      <c r="BX22" s="447">
        <v>0</v>
      </c>
      <c r="BY22" s="447">
        <v>0</v>
      </c>
      <c r="BZ22" s="447">
        <v>0</v>
      </c>
      <c r="CA22" s="448">
        <v>0</v>
      </c>
      <c r="CB22" s="448">
        <v>0</v>
      </c>
      <c r="CC22" s="447">
        <v>0</v>
      </c>
      <c r="CD22" s="446" t="s">
        <v>1183</v>
      </c>
      <c r="CE22" s="446" t="s">
        <v>1183</v>
      </c>
      <c r="CF22" s="448">
        <v>0</v>
      </c>
      <c r="CG22" s="448">
        <v>0</v>
      </c>
      <c r="CH22" s="448">
        <v>0</v>
      </c>
      <c r="CI22" s="448">
        <v>0</v>
      </c>
      <c r="CJ22" s="446" t="s">
        <v>1183</v>
      </c>
      <c r="CK22" s="446" t="s">
        <v>1183</v>
      </c>
      <c r="CL22" s="446" t="s">
        <v>1183</v>
      </c>
      <c r="CM22" s="446" t="s">
        <v>1183</v>
      </c>
      <c r="CN22" s="446" t="s">
        <v>1183</v>
      </c>
      <c r="CO22" s="446" t="s">
        <v>1183</v>
      </c>
      <c r="CP22" s="448">
        <v>0</v>
      </c>
      <c r="CQ22" s="446" t="s">
        <v>1183</v>
      </c>
      <c r="CR22" s="448">
        <v>0</v>
      </c>
      <c r="CS22" s="446" t="s">
        <v>1183</v>
      </c>
      <c r="CT22" s="448">
        <v>0</v>
      </c>
      <c r="CU22" s="446" t="s">
        <v>1183</v>
      </c>
      <c r="CV22" s="446" t="s">
        <v>1183</v>
      </c>
      <c r="CW22" s="448">
        <v>0</v>
      </c>
      <c r="CX22" s="446" t="s">
        <v>1183</v>
      </c>
      <c r="CY22" s="448">
        <v>0</v>
      </c>
      <c r="CZ22" s="446" t="s">
        <v>1183</v>
      </c>
      <c r="DA22" s="448">
        <v>0</v>
      </c>
      <c r="DB22" s="446" t="s">
        <v>1183</v>
      </c>
      <c r="DC22" s="446" t="s">
        <v>1183</v>
      </c>
      <c r="DD22" s="446" t="s">
        <v>1183</v>
      </c>
      <c r="DE22" s="446" t="s">
        <v>1183</v>
      </c>
      <c r="DF22" s="446"/>
    </row>
    <row customHeight="true" ht="16.296296296296294" r="23">
      <c r="A23" s="446" t="s">
        <v>1210</v>
      </c>
      <c r="B23" s="446" t="s">
        <v>1179</v>
      </c>
      <c r="C23" s="446" t="s">
        <v>1180</v>
      </c>
      <c r="D23" s="446" t="s">
        <v>1180</v>
      </c>
      <c r="E23" s="446" t="s">
        <v>1181</v>
      </c>
      <c r="F23" s="446" t="s">
        <v>1182</v>
      </c>
      <c r="G23" s="447">
        <v>54.99</v>
      </c>
      <c r="H23" s="447">
        <v>54.99</v>
      </c>
      <c r="I23" s="448">
        <v>198</v>
      </c>
      <c r="J23" s="448">
        <v>0</v>
      </c>
      <c r="K23" s="448">
        <v>0</v>
      </c>
      <c r="L23" s="448">
        <v>0</v>
      </c>
      <c r="M23" s="448">
        <v>0</v>
      </c>
      <c r="N23" s="448">
        <v>0</v>
      </c>
      <c r="O23" s="448">
        <v>198</v>
      </c>
      <c r="P23" s="448">
        <v>1</v>
      </c>
      <c r="Q23" s="447">
        <v>54.99</v>
      </c>
      <c r="R23" s="448">
        <v>1</v>
      </c>
      <c r="S23" s="447">
        <v>54.99</v>
      </c>
      <c r="T23" s="446" t="s">
        <v>1183</v>
      </c>
      <c r="U23" s="446" t="s">
        <v>1203</v>
      </c>
      <c r="V23" s="446" t="s">
        <v>1183</v>
      </c>
      <c r="W23" s="446" t="s">
        <v>1183</v>
      </c>
      <c r="X23" s="446" t="s">
        <v>1203</v>
      </c>
      <c r="Y23" s="446" t="s">
        <v>1183</v>
      </c>
      <c r="Z23" s="448">
        <v>0</v>
      </c>
      <c r="AA23" s="447">
        <v>0</v>
      </c>
      <c r="AB23" s="448">
        <v>0</v>
      </c>
      <c r="AC23" s="447">
        <v>0</v>
      </c>
      <c r="AD23" s="448">
        <v>0</v>
      </c>
      <c r="AE23" s="447">
        <v>0</v>
      </c>
      <c r="AF23" s="448">
        <v>0</v>
      </c>
      <c r="AG23" s="447">
        <v>0</v>
      </c>
      <c r="AH23" s="449">
        <v>1</v>
      </c>
      <c r="AI23" s="447">
        <v>54.99</v>
      </c>
      <c r="AJ23" s="449">
        <v>1</v>
      </c>
      <c r="AK23" s="447">
        <v>54.99</v>
      </c>
      <c r="AL23" s="446"/>
      <c r="AM23" s="446"/>
      <c r="AN23" s="448">
        <v>0</v>
      </c>
      <c r="AO23" s="447">
        <v>0</v>
      </c>
      <c r="AP23" s="446" t="s">
        <v>1183</v>
      </c>
      <c r="AQ23" s="450">
        <v>0</v>
      </c>
      <c r="AR23" s="448">
        <v>0</v>
      </c>
      <c r="AS23" s="446" t="s">
        <v>1183</v>
      </c>
      <c r="AT23" s="446" t="s">
        <v>1184</v>
      </c>
      <c r="AU23" s="446" t="s">
        <v>1184</v>
      </c>
      <c r="AV23" s="446" t="s">
        <v>1184</v>
      </c>
      <c r="AW23" s="446" t="s">
        <v>1184</v>
      </c>
      <c r="AX23" s="446" t="s">
        <v>1184</v>
      </c>
      <c r="AY23" s="448">
        <v>0</v>
      </c>
      <c r="AZ23" s="446" t="s">
        <v>1183</v>
      </c>
      <c r="BA23" s="448">
        <v>2</v>
      </c>
      <c r="BB23" s="446" t="s">
        <v>1211</v>
      </c>
      <c r="BC23" s="448">
        <v>5</v>
      </c>
      <c r="BD23" s="446" t="s">
        <v>1183</v>
      </c>
      <c r="BE23" s="448">
        <v>7</v>
      </c>
      <c r="BF23" s="448">
        <v>5</v>
      </c>
      <c r="BG23" s="448">
        <v>13</v>
      </c>
      <c r="BH23" s="448">
        <v>18</v>
      </c>
      <c r="BI23" s="446" t="s">
        <v>1212</v>
      </c>
      <c r="BJ23" s="446" t="s">
        <v>1212</v>
      </c>
      <c r="BK23" s="446" t="s">
        <v>1203</v>
      </c>
      <c r="BL23" s="447">
        <v>0</v>
      </c>
      <c r="BM23" s="446" t="s">
        <v>1183</v>
      </c>
      <c r="BN23" s="447">
        <v>0</v>
      </c>
      <c r="BO23" s="447">
        <v>0</v>
      </c>
      <c r="BP23" s="447">
        <v>0</v>
      </c>
      <c r="BQ23" s="447">
        <v>0</v>
      </c>
      <c r="BR23" s="447">
        <v>0</v>
      </c>
      <c r="BS23" s="451">
        <v>0</v>
      </c>
      <c r="BT23" s="446" t="s">
        <v>1183</v>
      </c>
      <c r="BU23" s="446" t="s">
        <v>1183</v>
      </c>
      <c r="BV23" s="446" t="s">
        <v>1183</v>
      </c>
      <c r="BW23" s="447">
        <v>0</v>
      </c>
      <c r="BX23" s="447">
        <v>0</v>
      </c>
      <c r="BY23" s="447">
        <v>0</v>
      </c>
      <c r="BZ23" s="447">
        <v>0</v>
      </c>
      <c r="CA23" s="448">
        <v>0</v>
      </c>
      <c r="CB23" s="448">
        <v>0</v>
      </c>
      <c r="CC23" s="447">
        <v>0</v>
      </c>
      <c r="CD23" s="446" t="s">
        <v>1183</v>
      </c>
      <c r="CE23" s="446" t="s">
        <v>1183</v>
      </c>
      <c r="CF23" s="448">
        <v>0</v>
      </c>
      <c r="CG23" s="448">
        <v>0</v>
      </c>
      <c r="CH23" s="448">
        <v>1</v>
      </c>
      <c r="CI23" s="448">
        <v>7</v>
      </c>
      <c r="CJ23" s="446" t="s">
        <v>1212</v>
      </c>
      <c r="CK23" s="446" t="s">
        <v>1183</v>
      </c>
      <c r="CL23" s="446" t="s">
        <v>1212</v>
      </c>
      <c r="CM23" s="446" t="s">
        <v>1213</v>
      </c>
      <c r="CN23" s="446" t="s">
        <v>1183</v>
      </c>
      <c r="CO23" s="446" t="s">
        <v>1183</v>
      </c>
      <c r="CP23" s="448">
        <v>0</v>
      </c>
      <c r="CQ23" s="446" t="s">
        <v>1183</v>
      </c>
      <c r="CR23" s="448">
        <v>0</v>
      </c>
      <c r="CS23" s="446" t="s">
        <v>1183</v>
      </c>
      <c r="CT23" s="448">
        <v>0</v>
      </c>
      <c r="CU23" s="446" t="s">
        <v>1183</v>
      </c>
      <c r="CV23" s="446" t="s">
        <v>1183</v>
      </c>
      <c r="CW23" s="448">
        <v>0</v>
      </c>
      <c r="CX23" s="446" t="s">
        <v>1183</v>
      </c>
      <c r="CY23" s="448">
        <v>0</v>
      </c>
      <c r="CZ23" s="446" t="s">
        <v>1183</v>
      </c>
      <c r="DA23" s="448">
        <v>0</v>
      </c>
      <c r="DB23" s="446" t="s">
        <v>1183</v>
      </c>
      <c r="DC23" s="446" t="s">
        <v>1183</v>
      </c>
      <c r="DD23" s="446" t="s">
        <v>1183</v>
      </c>
      <c r="DE23" s="446" t="s">
        <v>1183</v>
      </c>
      <c r="DF23" s="446"/>
    </row>
    <row customHeight="true" ht="16.296296296296294" r="24">
      <c r="A24" s="446" t="s">
        <v>1214</v>
      </c>
      <c r="B24" s="446" t="s">
        <v>1179</v>
      </c>
      <c r="C24" s="446" t="s">
        <v>1180</v>
      </c>
      <c r="D24" s="446" t="s">
        <v>1180</v>
      </c>
      <c r="E24" s="446" t="s">
        <v>1181</v>
      </c>
      <c r="F24" s="446" t="s">
        <v>1182</v>
      </c>
      <c r="G24" s="447">
        <v>54.99</v>
      </c>
      <c r="H24" s="447">
        <v>54.99</v>
      </c>
      <c r="I24" s="448">
        <v>192</v>
      </c>
      <c r="J24" s="448">
        <v>0</v>
      </c>
      <c r="K24" s="448">
        <v>0</v>
      </c>
      <c r="L24" s="448">
        <v>0</v>
      </c>
      <c r="M24" s="448">
        <v>0</v>
      </c>
      <c r="N24" s="448">
        <v>0</v>
      </c>
      <c r="O24" s="448">
        <v>192</v>
      </c>
      <c r="P24" s="448">
        <v>2</v>
      </c>
      <c r="Q24" s="447">
        <v>109.98</v>
      </c>
      <c r="R24" s="448">
        <v>2</v>
      </c>
      <c r="S24" s="447">
        <v>109.98</v>
      </c>
      <c r="T24" s="446" t="s">
        <v>1183</v>
      </c>
      <c r="U24" s="446" t="s">
        <v>1203</v>
      </c>
      <c r="V24" s="446" t="s">
        <v>1183</v>
      </c>
      <c r="W24" s="446" t="s">
        <v>1183</v>
      </c>
      <c r="X24" s="446" t="s">
        <v>1203</v>
      </c>
      <c r="Y24" s="446" t="s">
        <v>1183</v>
      </c>
      <c r="Z24" s="448">
        <v>0</v>
      </c>
      <c r="AA24" s="447">
        <v>0</v>
      </c>
      <c r="AB24" s="448">
        <v>0</v>
      </c>
      <c r="AC24" s="447">
        <v>0</v>
      </c>
      <c r="AD24" s="448">
        <v>0</v>
      </c>
      <c r="AE24" s="447">
        <v>0</v>
      </c>
      <c r="AF24" s="448">
        <v>0</v>
      </c>
      <c r="AG24" s="447">
        <v>0</v>
      </c>
      <c r="AH24" s="449">
        <v>2</v>
      </c>
      <c r="AI24" s="447">
        <v>109.98</v>
      </c>
      <c r="AJ24" s="449">
        <v>2</v>
      </c>
      <c r="AK24" s="447">
        <v>54.99</v>
      </c>
      <c r="AL24" s="446"/>
      <c r="AM24" s="446"/>
      <c r="AN24" s="448">
        <v>0</v>
      </c>
      <c r="AO24" s="447">
        <v>0</v>
      </c>
      <c r="AP24" s="446" t="s">
        <v>1183</v>
      </c>
      <c r="AQ24" s="450">
        <v>0</v>
      </c>
      <c r="AR24" s="448">
        <v>0</v>
      </c>
      <c r="AS24" s="446" t="s">
        <v>1183</v>
      </c>
      <c r="AT24" s="446" t="s">
        <v>1184</v>
      </c>
      <c r="AU24" s="446" t="s">
        <v>1184</v>
      </c>
      <c r="AV24" s="446" t="s">
        <v>1184</v>
      </c>
      <c r="AW24" s="446" t="s">
        <v>1184</v>
      </c>
      <c r="AX24" s="446" t="s">
        <v>1184</v>
      </c>
      <c r="AY24" s="448">
        <v>0</v>
      </c>
      <c r="AZ24" s="446" t="s">
        <v>1183</v>
      </c>
      <c r="BA24" s="448">
        <v>0</v>
      </c>
      <c r="BB24" s="446" t="s">
        <v>1183</v>
      </c>
      <c r="BC24" s="448">
        <v>0</v>
      </c>
      <c r="BD24" s="446" t="s">
        <v>1183</v>
      </c>
      <c r="BE24" s="448">
        <v>0</v>
      </c>
      <c r="BF24" s="448">
        <v>0</v>
      </c>
      <c r="BG24" s="448">
        <v>0</v>
      </c>
      <c r="BH24" s="448">
        <v>0</v>
      </c>
      <c r="BI24" s="446" t="s">
        <v>1203</v>
      </c>
      <c r="BJ24" s="446" t="s">
        <v>1203</v>
      </c>
      <c r="BK24" s="446" t="s">
        <v>1183</v>
      </c>
      <c r="BL24" s="447">
        <v>0</v>
      </c>
      <c r="BM24" s="446" t="s">
        <v>1183</v>
      </c>
      <c r="BN24" s="447">
        <v>0</v>
      </c>
      <c r="BO24" s="447">
        <v>0</v>
      </c>
      <c r="BP24" s="447">
        <v>0</v>
      </c>
      <c r="BQ24" s="447">
        <v>0</v>
      </c>
      <c r="BR24" s="447">
        <v>0</v>
      </c>
      <c r="BS24" s="451">
        <v>0</v>
      </c>
      <c r="BT24" s="446" t="s">
        <v>1183</v>
      </c>
      <c r="BU24" s="446" t="s">
        <v>1183</v>
      </c>
      <c r="BV24" s="446" t="s">
        <v>1183</v>
      </c>
      <c r="BW24" s="447">
        <v>0</v>
      </c>
      <c r="BX24" s="447">
        <v>0</v>
      </c>
      <c r="BY24" s="447">
        <v>0</v>
      </c>
      <c r="BZ24" s="447">
        <v>0</v>
      </c>
      <c r="CA24" s="448">
        <v>0</v>
      </c>
      <c r="CB24" s="448">
        <v>0</v>
      </c>
      <c r="CC24" s="447">
        <v>0</v>
      </c>
      <c r="CD24" s="446" t="s">
        <v>1183</v>
      </c>
      <c r="CE24" s="446" t="s">
        <v>1183</v>
      </c>
      <c r="CF24" s="448">
        <v>0</v>
      </c>
      <c r="CG24" s="448">
        <v>0</v>
      </c>
      <c r="CH24" s="448">
        <v>2</v>
      </c>
      <c r="CI24" s="448">
        <v>0</v>
      </c>
      <c r="CJ24" s="446" t="s">
        <v>1203</v>
      </c>
      <c r="CK24" s="446" t="s">
        <v>1183</v>
      </c>
      <c r="CL24" s="446" t="s">
        <v>1183</v>
      </c>
      <c r="CM24" s="446" t="s">
        <v>1183</v>
      </c>
      <c r="CN24" s="446" t="s">
        <v>1183</v>
      </c>
      <c r="CO24" s="446" t="s">
        <v>1183</v>
      </c>
      <c r="CP24" s="448">
        <v>0</v>
      </c>
      <c r="CQ24" s="446" t="s">
        <v>1183</v>
      </c>
      <c r="CR24" s="448">
        <v>0</v>
      </c>
      <c r="CS24" s="446" t="s">
        <v>1183</v>
      </c>
      <c r="CT24" s="448">
        <v>0</v>
      </c>
      <c r="CU24" s="446" t="s">
        <v>1183</v>
      </c>
      <c r="CV24" s="446" t="s">
        <v>1183</v>
      </c>
      <c r="CW24" s="448">
        <v>0</v>
      </c>
      <c r="CX24" s="446" t="s">
        <v>1183</v>
      </c>
      <c r="CY24" s="448">
        <v>0</v>
      </c>
      <c r="CZ24" s="446" t="s">
        <v>1183</v>
      </c>
      <c r="DA24" s="448">
        <v>0</v>
      </c>
      <c r="DB24" s="446" t="s">
        <v>1183</v>
      </c>
      <c r="DC24" s="446" t="s">
        <v>1183</v>
      </c>
      <c r="DD24" s="446" t="s">
        <v>1183</v>
      </c>
      <c r="DE24" s="446" t="s">
        <v>1183</v>
      </c>
      <c r="DF24" s="446"/>
    </row>
    <row customHeight="true" ht="19.25925925925926" r="25">
      <c r="A25" s="446" t="s">
        <v>1215</v>
      </c>
      <c r="B25" s="446" t="s">
        <v>1179</v>
      </c>
      <c r="C25" s="446" t="s">
        <v>1180</v>
      </c>
      <c r="D25" s="446" t="s">
        <v>1180</v>
      </c>
      <c r="E25" s="446" t="s">
        <v>1181</v>
      </c>
      <c r="F25" s="446" t="s">
        <v>1182</v>
      </c>
      <c r="G25" s="447">
        <v>0</v>
      </c>
      <c r="H25" s="447">
        <v>69</v>
      </c>
      <c r="I25" s="448">
        <v>193</v>
      </c>
      <c r="J25" s="448">
        <v>0</v>
      </c>
      <c r="K25" s="448">
        <v>0</v>
      </c>
      <c r="L25" s="448">
        <v>0</v>
      </c>
      <c r="M25" s="448">
        <v>0</v>
      </c>
      <c r="N25" s="448">
        <v>0</v>
      </c>
      <c r="O25" s="448">
        <v>193</v>
      </c>
      <c r="P25" s="448">
        <v>0</v>
      </c>
      <c r="Q25" s="447">
        <v>0</v>
      </c>
      <c r="R25" s="448">
        <v>0</v>
      </c>
      <c r="S25" s="447">
        <v>0</v>
      </c>
      <c r="T25" s="446" t="s">
        <v>1183</v>
      </c>
      <c r="U25" s="446" t="s">
        <v>1183</v>
      </c>
      <c r="V25" s="446" t="s">
        <v>1183</v>
      </c>
      <c r="W25" s="446" t="s">
        <v>1183</v>
      </c>
      <c r="X25" s="446" t="s">
        <v>1183</v>
      </c>
      <c r="Y25" s="446" t="s">
        <v>1183</v>
      </c>
      <c r="Z25" s="448">
        <v>0</v>
      </c>
      <c r="AA25" s="447">
        <v>0</v>
      </c>
      <c r="AB25" s="448">
        <v>0</v>
      </c>
      <c r="AC25" s="447">
        <v>0</v>
      </c>
      <c r="AD25" s="448">
        <v>0</v>
      </c>
      <c r="AE25" s="447">
        <v>0</v>
      </c>
      <c r="AF25" s="448">
        <v>0</v>
      </c>
      <c r="AG25" s="447">
        <v>0</v>
      </c>
      <c r="AH25" s="449">
        <v>0</v>
      </c>
      <c r="AI25" s="447">
        <v>0</v>
      </c>
      <c r="AJ25" s="449">
        <v>0</v>
      </c>
      <c r="AK25" s="447">
        <v>0</v>
      </c>
      <c r="AL25" s="446"/>
      <c r="AM25" s="446"/>
      <c r="AN25" s="448">
        <v>0</v>
      </c>
      <c r="AO25" s="447">
        <v>0</v>
      </c>
      <c r="AP25" s="446" t="s">
        <v>1183</v>
      </c>
      <c r="AQ25" s="450">
        <v>0</v>
      </c>
      <c r="AR25" s="448">
        <v>0</v>
      </c>
      <c r="AS25" s="446" t="s">
        <v>1183</v>
      </c>
      <c r="AT25" s="446" t="s">
        <v>1184</v>
      </c>
      <c r="AU25" s="446" t="s">
        <v>1184</v>
      </c>
      <c r="AV25" s="446" t="s">
        <v>1184</v>
      </c>
      <c r="AW25" s="446" t="s">
        <v>1184</v>
      </c>
      <c r="AX25" s="446" t="s">
        <v>1184</v>
      </c>
      <c r="AY25" s="448">
        <v>0</v>
      </c>
      <c r="AZ25" s="446" t="s">
        <v>1183</v>
      </c>
      <c r="BA25" s="448">
        <v>0</v>
      </c>
      <c r="BB25" s="446" t="s">
        <v>1183</v>
      </c>
      <c r="BC25" s="448">
        <v>0</v>
      </c>
      <c r="BD25" s="446" t="s">
        <v>1183</v>
      </c>
      <c r="BE25" s="448">
        <v>0</v>
      </c>
      <c r="BF25" s="448">
        <v>0</v>
      </c>
      <c r="BG25" s="448">
        <v>0</v>
      </c>
      <c r="BH25" s="448">
        <v>0</v>
      </c>
      <c r="BI25" s="446" t="s">
        <v>1183</v>
      </c>
      <c r="BJ25" s="446" t="s">
        <v>1183</v>
      </c>
      <c r="BK25" s="446" t="s">
        <v>1183</v>
      </c>
      <c r="BL25" s="447">
        <v>0</v>
      </c>
      <c r="BM25" s="446" t="s">
        <v>1183</v>
      </c>
      <c r="BN25" s="447">
        <v>0</v>
      </c>
      <c r="BO25" s="447">
        <v>0</v>
      </c>
      <c r="BP25" s="447">
        <v>0</v>
      </c>
      <c r="BQ25" s="447">
        <v>0</v>
      </c>
      <c r="BR25" s="447">
        <v>0</v>
      </c>
      <c r="BS25" s="451">
        <v>0</v>
      </c>
      <c r="BT25" s="446" t="s">
        <v>1183</v>
      </c>
      <c r="BU25" s="446" t="s">
        <v>1183</v>
      </c>
      <c r="BV25" s="446" t="s">
        <v>1183</v>
      </c>
      <c r="BW25" s="447">
        <v>0</v>
      </c>
      <c r="BX25" s="447">
        <v>0</v>
      </c>
      <c r="BY25" s="447">
        <v>0</v>
      </c>
      <c r="BZ25" s="447">
        <v>0</v>
      </c>
      <c r="CA25" s="448">
        <v>0</v>
      </c>
      <c r="CB25" s="448">
        <v>0</v>
      </c>
      <c r="CC25" s="447">
        <v>0</v>
      </c>
      <c r="CD25" s="446" t="s">
        <v>1183</v>
      </c>
      <c r="CE25" s="446" t="s">
        <v>1183</v>
      </c>
      <c r="CF25" s="448">
        <v>0</v>
      </c>
      <c r="CG25" s="448">
        <v>0</v>
      </c>
      <c r="CH25" s="448">
        <v>0</v>
      </c>
      <c r="CI25" s="448">
        <v>0</v>
      </c>
      <c r="CJ25" s="446" t="s">
        <v>1183</v>
      </c>
      <c r="CK25" s="446" t="s">
        <v>1183</v>
      </c>
      <c r="CL25" s="446" t="s">
        <v>1183</v>
      </c>
      <c r="CM25" s="446" t="s">
        <v>1183</v>
      </c>
      <c r="CN25" s="446" t="s">
        <v>1183</v>
      </c>
      <c r="CO25" s="446" t="s">
        <v>1183</v>
      </c>
      <c r="CP25" s="448">
        <v>0</v>
      </c>
      <c r="CQ25" s="446" t="s">
        <v>1183</v>
      </c>
      <c r="CR25" s="448">
        <v>0</v>
      </c>
      <c r="CS25" s="446" t="s">
        <v>1183</v>
      </c>
      <c r="CT25" s="448">
        <v>0</v>
      </c>
      <c r="CU25" s="446" t="s">
        <v>1183</v>
      </c>
      <c r="CV25" s="446" t="s">
        <v>1183</v>
      </c>
      <c r="CW25" s="448">
        <v>0</v>
      </c>
      <c r="CX25" s="446" t="s">
        <v>1183</v>
      </c>
      <c r="CY25" s="448">
        <v>0</v>
      </c>
      <c r="CZ25" s="446" t="s">
        <v>1183</v>
      </c>
      <c r="DA25" s="448">
        <v>0</v>
      </c>
      <c r="DB25" s="446" t="s">
        <v>1183</v>
      </c>
      <c r="DC25" s="446" t="s">
        <v>1183</v>
      </c>
      <c r="DD25" s="446" t="s">
        <v>1183</v>
      </c>
      <c r="DE25" s="446" t="s">
        <v>1183</v>
      </c>
      <c r="DF25" s="446"/>
    </row>
    <row customHeight="true" ht="19.25925925925926" r="26">
      <c r="A26" s="452">
        <v>46016</v>
      </c>
      <c r="B26" s="446" t="s">
        <v>1179</v>
      </c>
      <c r="C26" s="446" t="s">
        <v>1180</v>
      </c>
      <c r="D26" s="446" t="s">
        <v>1180</v>
      </c>
      <c r="E26" s="446" t="s">
        <v>1181</v>
      </c>
      <c r="F26" s="446" t="s">
        <v>1182</v>
      </c>
      <c r="G26" s="447">
        <v>0</v>
      </c>
      <c r="H26" s="447">
        <v>69</v>
      </c>
      <c r="I26" s="448">
        <v>193</v>
      </c>
      <c r="J26" s="448">
        <v>0</v>
      </c>
      <c r="K26" s="448">
        <v>0</v>
      </c>
      <c r="L26" s="448">
        <v>0</v>
      </c>
      <c r="M26" s="448">
        <v>0</v>
      </c>
      <c r="N26" s="448">
        <v>0</v>
      </c>
      <c r="O26" s="448">
        <v>193</v>
      </c>
      <c r="P26" s="448">
        <v>0</v>
      </c>
      <c r="Q26" s="447">
        <v>0</v>
      </c>
      <c r="R26" s="448">
        <v>0</v>
      </c>
      <c r="S26" s="447">
        <v>0</v>
      </c>
      <c r="T26" s="446" t="s">
        <v>1183</v>
      </c>
      <c r="U26" s="446" t="s">
        <v>1183</v>
      </c>
      <c r="V26" s="446" t="s">
        <v>1183</v>
      </c>
      <c r="W26" s="446" t="s">
        <v>1183</v>
      </c>
      <c r="X26" s="446" t="s">
        <v>1183</v>
      </c>
      <c r="Y26" s="446" t="s">
        <v>1183</v>
      </c>
      <c r="Z26" s="448">
        <v>0</v>
      </c>
      <c r="AA26" s="447">
        <v>0</v>
      </c>
      <c r="AB26" s="448">
        <v>0</v>
      </c>
      <c r="AC26" s="447">
        <v>0</v>
      </c>
      <c r="AD26" s="448">
        <v>0</v>
      </c>
      <c r="AE26" s="447">
        <v>0</v>
      </c>
      <c r="AF26" s="448">
        <v>0</v>
      </c>
      <c r="AG26" s="447">
        <v>0</v>
      </c>
      <c r="AH26" s="449">
        <v>0</v>
      </c>
      <c r="AI26" s="447">
        <v>0</v>
      </c>
      <c r="AJ26" s="449">
        <v>0</v>
      </c>
      <c r="AK26" s="447">
        <v>0</v>
      </c>
      <c r="AL26" s="446"/>
      <c r="AM26" s="446"/>
      <c r="AN26" s="448">
        <v>0</v>
      </c>
      <c r="AO26" s="447">
        <v>0</v>
      </c>
      <c r="AP26" s="446" t="s">
        <v>1183</v>
      </c>
      <c r="AQ26" s="450">
        <v>0</v>
      </c>
      <c r="AR26" s="448">
        <v>0</v>
      </c>
      <c r="AS26" s="446" t="s">
        <v>1183</v>
      </c>
      <c r="AT26" s="446" t="s">
        <v>1184</v>
      </c>
      <c r="AU26" s="446" t="s">
        <v>1184</v>
      </c>
      <c r="AV26" s="446" t="s">
        <v>1184</v>
      </c>
      <c r="AW26" s="446" t="s">
        <v>1184</v>
      </c>
      <c r="AX26" s="446" t="s">
        <v>1184</v>
      </c>
      <c r="AY26" s="448">
        <v>0</v>
      </c>
      <c r="AZ26" s="446" t="s">
        <v>1183</v>
      </c>
      <c r="BA26" s="448">
        <v>0</v>
      </c>
      <c r="BB26" s="446" t="s">
        <v>1183</v>
      </c>
      <c r="BC26" s="448">
        <v>0</v>
      </c>
      <c r="BD26" s="446" t="s">
        <v>1183</v>
      </c>
      <c r="BE26" s="448">
        <v>0</v>
      </c>
      <c r="BF26" s="448">
        <v>0</v>
      </c>
      <c r="BG26" s="448">
        <v>0</v>
      </c>
      <c r="BH26" s="448">
        <v>0</v>
      </c>
      <c r="BI26" s="446" t="s">
        <v>1183</v>
      </c>
      <c r="BJ26" s="446" t="s">
        <v>1183</v>
      </c>
      <c r="BK26" s="446" t="s">
        <v>1183</v>
      </c>
      <c r="BL26" s="447">
        <v>0</v>
      </c>
      <c r="BM26" s="446" t="s">
        <v>1183</v>
      </c>
      <c r="BN26" s="447">
        <v>0</v>
      </c>
      <c r="BO26" s="447">
        <v>0</v>
      </c>
      <c r="BP26" s="447">
        <v>0</v>
      </c>
      <c r="BQ26" s="447">
        <v>0</v>
      </c>
      <c r="BR26" s="447">
        <v>0</v>
      </c>
      <c r="BS26" s="451">
        <v>0</v>
      </c>
      <c r="BT26" s="446" t="s">
        <v>1183</v>
      </c>
      <c r="BU26" s="446" t="s">
        <v>1183</v>
      </c>
      <c r="BV26" s="446" t="s">
        <v>1183</v>
      </c>
      <c r="BW26" s="447">
        <v>0</v>
      </c>
      <c r="BX26" s="447">
        <v>0</v>
      </c>
      <c r="BY26" s="447">
        <v>0</v>
      </c>
      <c r="BZ26" s="447">
        <v>0</v>
      </c>
      <c r="CA26" s="448">
        <v>0</v>
      </c>
      <c r="CB26" s="448">
        <v>0</v>
      </c>
      <c r="CC26" s="447">
        <v>0</v>
      </c>
      <c r="CD26" s="446" t="s">
        <v>1183</v>
      </c>
      <c r="CE26" s="446" t="s">
        <v>1183</v>
      </c>
      <c r="CF26" s="448">
        <v>0</v>
      </c>
      <c r="CG26" s="448">
        <v>0</v>
      </c>
      <c r="CH26" s="448">
        <v>0</v>
      </c>
      <c r="CI26" s="448">
        <v>0</v>
      </c>
      <c r="CJ26" s="446" t="s">
        <v>1183</v>
      </c>
      <c r="CK26" s="446" t="s">
        <v>1183</v>
      </c>
      <c r="CL26" s="446" t="s">
        <v>1183</v>
      </c>
      <c r="CM26" s="446" t="s">
        <v>1183</v>
      </c>
      <c r="CN26" s="446" t="s">
        <v>1183</v>
      </c>
      <c r="CO26" s="446" t="s">
        <v>1183</v>
      </c>
      <c r="CP26" s="448">
        <v>0</v>
      </c>
      <c r="CQ26" s="446" t="s">
        <v>1183</v>
      </c>
      <c r="CR26" s="448">
        <v>0</v>
      </c>
      <c r="CS26" s="446" t="s">
        <v>1183</v>
      </c>
      <c r="CT26" s="448">
        <v>0</v>
      </c>
      <c r="CU26" s="446" t="s">
        <v>1183</v>
      </c>
      <c r="CV26" s="446" t="s">
        <v>1183</v>
      </c>
      <c r="CW26" s="448">
        <v>0</v>
      </c>
      <c r="CX26" s="446" t="s">
        <v>1183</v>
      </c>
      <c r="CY26" s="448">
        <v>0</v>
      </c>
      <c r="CZ26" s="446" t="s">
        <v>1183</v>
      </c>
      <c r="DA26" s="448">
        <v>0</v>
      </c>
      <c r="DB26" s="446" t="s">
        <v>1183</v>
      </c>
      <c r="DC26" s="446" t="s">
        <v>1183</v>
      </c>
      <c r="DD26" s="446" t="s">
        <v>1183</v>
      </c>
      <c r="DE26" s="446" t="s">
        <v>1183</v>
      </c>
      <c r="DF26" s="446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>
      <pane state="frozen" topLeftCell="E3" xSplit="4" ySplit="2"/>
    </sheetView>
  </sheetViews>
  <sheetFormatPr defaultRowHeight="16"/>
  <cols>
    <col collapsed="false" customWidth="true" hidden="false" max="10" min="10" style="0" width="17.4"/>
    <col collapsed="false" customWidth="true" hidden="false" max="26" min="26" style="0" width="10.733333333333333"/>
    <col collapsed="false" customWidth="true" hidden="false" max="43" min="43" style="0" width="12.333333333333334"/>
    <col collapsed="false" customWidth="true" hidden="false" max="59" min="59" style="0" width="12.333333333333334"/>
    <col collapsed="false" customWidth="true" hidden="false" max="9" min="9" style="0" width="12.333333333333334"/>
    <col collapsed="false" customWidth="true" hidden="false" max="25" min="25" style="0" width="10.733333333333333"/>
    <col collapsed="false" customWidth="true" hidden="false" max="42" min="42" style="0" width="12.333333333333334"/>
    <col collapsed="false" customWidth="true" hidden="false" max="58" min="58" style="0" width="12.333333333333334"/>
    <col collapsed="false" customWidth="true" hidden="false" max="8" min="8" style="0" width="12.333333333333334"/>
    <col collapsed="false" customWidth="true" hidden="false" max="24" min="24" style="0" width="14.066666666666666"/>
    <col collapsed="false" customWidth="true" hidden="false" max="41" min="41" style="0" width="12.333333333333334"/>
    <col collapsed="false" customWidth="true" hidden="false" max="57" min="57" style="0" width="12.333333333333334"/>
    <col collapsed="false" customWidth="true" hidden="false" max="7" min="7" style="0" width="9"/>
    <col collapsed="false" customWidth="true" hidden="false" max="23" min="23" style="0" width="10.733333333333333"/>
    <col collapsed="false" customWidth="true" hidden="false" max="40" min="40" style="0" width="10.733333333333333"/>
    <col collapsed="false" customWidth="true" hidden="false" max="56" min="56" style="0" width="12.333333333333334"/>
    <col collapsed="false" customWidth="true" hidden="false" max="6" min="6" style="0" width="9"/>
    <col collapsed="false" customWidth="true" hidden="false" max="22" min="22" style="0" width="10.733333333333333"/>
    <col collapsed="false" customWidth="true" hidden="false" max="39" min="39" style="0" width="10.733333333333333"/>
    <col collapsed="false" customWidth="true" hidden="false" max="55" min="55" style="0" width="12.333333333333334"/>
    <col collapsed="false" customWidth="true" hidden="false" max="5" min="5" style="0" width="9"/>
    <col collapsed="false" customWidth="true" hidden="false" max="21" min="21" style="0" width="9"/>
    <col collapsed="false" customWidth="true" hidden="false" max="38" min="38" style="0" width="10.733333333333333"/>
    <col collapsed="false" customWidth="true" hidden="false" max="54" min="54" style="0" width="12.333333333333334"/>
    <col collapsed="false" customWidth="true" hidden="false" max="4" min="4" style="0" width="12.333333333333334"/>
    <col collapsed="false" customWidth="true" hidden="false" max="20" min="20" style="0" width="12.333333333333334"/>
    <col collapsed="false" customWidth="true" hidden="false" max="37" min="37" style="0" width="10.733333333333333"/>
    <col collapsed="false" customWidth="true" hidden="false" max="53" min="53" style="0" width="14.066666666666666"/>
    <col collapsed="false" customWidth="true" hidden="false" max="3" min="3" style="0" width="21.8"/>
    <col collapsed="false" customWidth="true" hidden="false" max="19" min="19" style="0" width="12.333333333333334"/>
    <col collapsed="false" customWidth="true" hidden="false" max="36" min="36" style="0" width="10.733333333333333"/>
    <col collapsed="false" customWidth="true" hidden="false" max="52" min="52" style="0" width="15.8"/>
    <col collapsed="false" customWidth="true" hidden="false" max="2" min="2" style="0" width="10.733333333333333"/>
    <col collapsed="false" customWidth="true" hidden="false" max="18" min="18" style="0" width="12.333333333333334"/>
    <col collapsed="false" customWidth="true" hidden="false" max="34" min="34" style="0" width="10.733333333333333"/>
    <col collapsed="false" customWidth="true" hidden="false" max="35" min="35" style="0" width="10.733333333333333"/>
    <col collapsed="false" customWidth="true" hidden="false" max="51" min="51" style="0" width="12.333333333333334"/>
    <col collapsed="false" customWidth="true" hidden="false" max="1" min="1" style="0" width="14.066666666666666"/>
    <col collapsed="false" customWidth="true" hidden="false" max="17" min="17" style="0" width="12.333333333333334"/>
    <col collapsed="false" customWidth="true" hidden="false" max="33" min="33" style="0" width="10.733333333333333"/>
    <col collapsed="false" customWidth="true" hidden="false" max="50" min="50" style="0" width="15.8"/>
    <col collapsed="false" customWidth="true" hidden="false" max="16" min="16" style="0" width="10.733333333333333"/>
    <col collapsed="false" customWidth="true" hidden="false" max="32" min="32" style="0" width="10.733333333333333"/>
    <col collapsed="false" customWidth="true" hidden="false" max="49" min="49" style="0" width="15.8"/>
    <col collapsed="false" customWidth="true" hidden="false" max="15" min="15" style="0" width="12.333333333333334"/>
    <col collapsed="false" customWidth="true" hidden="false" max="31" min="31" style="0" width="10.733333333333333"/>
    <col collapsed="false" customWidth="true" hidden="false" max="48" min="48" style="0" width="15.8"/>
    <col collapsed="false" customWidth="true" hidden="false" max="64" min="64" style="0" width="83.26666666666667"/>
    <col collapsed="false" customWidth="true" hidden="false" max="14" min="14" style="0" width="12.333333333333334"/>
    <col collapsed="false" customWidth="true" hidden="false" max="30" min="30" style="0" width="10.733333333333333"/>
    <col collapsed="false" customWidth="true" hidden="false" max="47" min="47" style="0" width="14.066666666666666"/>
    <col collapsed="false" customWidth="true" hidden="false" max="63" min="63" style="0" width="12.333333333333334"/>
    <col collapsed="false" customWidth="true" hidden="false" max="13" min="13" style="0" width="9"/>
    <col collapsed="false" customWidth="true" hidden="false" max="29" min="29" style="0" width="10.733333333333333"/>
    <col collapsed="false" customWidth="true" hidden="false" max="46" min="46" style="0" width="14.066666666666666"/>
    <col collapsed="false" customWidth="true" hidden="false" max="62" min="62" style="0" width="12.333333333333334"/>
    <col collapsed="false" customWidth="true" hidden="false" max="12" min="12" style="0" width="9"/>
    <col collapsed="false" customWidth="true" hidden="false" max="28" min="28" style="0" width="10.733333333333333"/>
    <col collapsed="false" customWidth="true" hidden="false" max="45" min="45" style="0" width="12.333333333333334"/>
    <col collapsed="false" customWidth="true" hidden="false" max="61" min="61" style="0" width="15.8"/>
    <col collapsed="false" customWidth="true" hidden="false" max="11" min="11" style="0" width="9"/>
    <col collapsed="false" customWidth="true" hidden="false" max="27" min="27" style="0" width="10.733333333333333"/>
    <col collapsed="false" customWidth="true" hidden="false" max="44" min="44" style="0" width="12.333333333333334"/>
    <col collapsed="false" customWidth="true" hidden="false" max="60" min="60" style="0" width="12.333333333333334"/>
  </cols>
  <sheetData>
    <row customHeight="true" ht="22.22222222222222" r="1">
      <c r="A1" s="453" t="s">
        <v>1216</v>
      </c>
      <c r="B1" s="454" t="s">
        <v>1217</v>
      </c>
      <c r="C1" s="455" t="s">
        <v>1218</v>
      </c>
      <c r="D1" s="456" t="s">
        <v>1219</v>
      </c>
      <c r="E1" s="457" t="s">
        <v>1220</v>
      </c>
      <c r="F1" s="457" t="s">
        <v>1221</v>
      </c>
      <c r="G1" s="456" t="s">
        <v>1222</v>
      </c>
      <c r="H1" s="456" t="s">
        <v>1223</v>
      </c>
      <c r="I1" s="458" t="s">
        <v>1224</v>
      </c>
      <c r="J1" s="459" t="s">
        <v>1225</v>
      </c>
      <c r="K1" s="456" t="s">
        <v>1226</v>
      </c>
      <c r="L1" s="456" t="s">
        <v>1227</v>
      </c>
      <c r="M1" s="460" t="s">
        <v>1228</v>
      </c>
      <c r="N1" s="461" t="s">
        <v>1229</v>
      </c>
      <c r="O1" s="462" t="s">
        <v>1230</v>
      </c>
      <c r="P1" s="462" t="s">
        <v>1231</v>
      </c>
      <c r="Q1" s="456" t="s">
        <v>1232</v>
      </c>
      <c r="R1" s="463" t="s">
        <v>1233</v>
      </c>
      <c r="S1" s="463" t="s">
        <v>1234</v>
      </c>
      <c r="T1" s="464" t="s">
        <v>1235</v>
      </c>
      <c r="U1" s="464" t="s">
        <v>1236</v>
      </c>
      <c r="V1" s="465" t="s">
        <v>1237</v>
      </c>
      <c r="W1" s="464" t="s">
        <v>1238</v>
      </c>
      <c r="X1" s="466" t="s">
        <v>1239</v>
      </c>
      <c r="Y1" s="456" t="s">
        <v>1240</v>
      </c>
      <c r="Z1" s="456"/>
      <c r="AA1" s="456"/>
      <c r="AB1" s="456"/>
      <c r="AC1" s="467" t="s">
        <v>1241</v>
      </c>
      <c r="AD1" s="468" t="s">
        <v>1242</v>
      </c>
      <c r="AE1" s="468" t="s">
        <v>1243</v>
      </c>
      <c r="AF1" s="468" t="s">
        <v>1244</v>
      </c>
      <c r="AG1" s="468" t="s">
        <v>1245</v>
      </c>
      <c r="AH1" s="469" t="s">
        <v>1246</v>
      </c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70"/>
      <c r="AU1" s="471" t="s">
        <v>1247</v>
      </c>
      <c r="AV1" s="471"/>
      <c r="AW1" s="471"/>
      <c r="AX1" s="471"/>
      <c r="AY1" s="471"/>
      <c r="AZ1" s="471"/>
      <c r="BA1" s="471"/>
      <c r="BB1" s="472" t="s">
        <v>1248</v>
      </c>
      <c r="BC1" s="472"/>
      <c r="BD1" s="472"/>
      <c r="BE1" s="472"/>
      <c r="BF1" s="472"/>
      <c r="BG1" s="473"/>
      <c r="BH1" s="474" t="s">
        <v>1249</v>
      </c>
      <c r="BI1" s="475"/>
      <c r="BJ1" s="474"/>
      <c r="BK1" s="474"/>
      <c r="BL1" s="475"/>
    </row>
    <row customHeight="true" ht="32.59259259259259" r="2">
      <c r="A2" s="453"/>
      <c r="B2" s="454"/>
      <c r="C2" s="455"/>
      <c r="D2" s="456"/>
      <c r="E2" s="457"/>
      <c r="F2" s="457"/>
      <c r="G2" s="456"/>
      <c r="H2" s="456"/>
      <c r="I2" s="458"/>
      <c r="J2" s="459"/>
      <c r="K2" s="456"/>
      <c r="L2" s="456"/>
      <c r="M2" s="460"/>
      <c r="N2" s="461"/>
      <c r="O2" s="462"/>
      <c r="P2" s="462"/>
      <c r="Q2" s="456"/>
      <c r="R2" s="476"/>
      <c r="S2" s="476"/>
      <c r="T2" s="464"/>
      <c r="U2" s="464"/>
      <c r="V2" s="465"/>
      <c r="W2" s="464"/>
      <c r="X2" s="466"/>
      <c r="Y2" s="456"/>
      <c r="Z2" s="456"/>
      <c r="AA2" s="456"/>
      <c r="AB2" s="456"/>
      <c r="AC2" s="467"/>
      <c r="AD2" s="468"/>
      <c r="AE2" s="468"/>
      <c r="AF2" s="468"/>
      <c r="AG2" s="468"/>
      <c r="AH2" s="477" t="s">
        <v>1250</v>
      </c>
      <c r="AI2" s="477" t="s">
        <v>1251</v>
      </c>
      <c r="AJ2" s="478" t="s">
        <v>1252</v>
      </c>
      <c r="AK2" s="477" t="s">
        <v>1253</v>
      </c>
      <c r="AL2" s="479" t="s">
        <v>1254</v>
      </c>
      <c r="AM2" s="478" t="s">
        <v>1255</v>
      </c>
      <c r="AN2" s="480" t="s">
        <v>1256</v>
      </c>
      <c r="AO2" s="480" t="s">
        <v>1257</v>
      </c>
      <c r="AP2" s="477" t="s">
        <v>1258</v>
      </c>
      <c r="AQ2" s="480" t="s">
        <v>1259</v>
      </c>
      <c r="AR2" s="481" t="s">
        <v>1260</v>
      </c>
      <c r="AS2" s="482" t="s">
        <v>1261</v>
      </c>
      <c r="AT2" s="483" t="s">
        <v>1262</v>
      </c>
      <c r="AU2" s="484" t="s">
        <v>1263</v>
      </c>
      <c r="AV2" s="485" t="s">
        <v>1264</v>
      </c>
      <c r="AW2" s="486" t="s">
        <v>1265</v>
      </c>
      <c r="AX2" s="487" t="s">
        <v>1266</v>
      </c>
      <c r="AY2" s="488" t="s">
        <v>1267</v>
      </c>
      <c r="AZ2" s="489" t="s">
        <v>1268</v>
      </c>
      <c r="BA2" s="490" t="s">
        <v>1269</v>
      </c>
      <c r="BB2" s="491" t="s">
        <v>1270</v>
      </c>
      <c r="BC2" s="492" t="s">
        <v>1271</v>
      </c>
      <c r="BD2" s="493" t="s">
        <v>1272</v>
      </c>
      <c r="BE2" s="494" t="s">
        <v>1273</v>
      </c>
      <c r="BF2" s="495" t="s">
        <v>1274</v>
      </c>
      <c r="BG2" s="496" t="s">
        <v>1275</v>
      </c>
      <c r="BH2" s="497" t="s">
        <v>1276</v>
      </c>
      <c r="BI2" s="498" t="s">
        <v>1277</v>
      </c>
      <c r="BJ2" s="499" t="s">
        <v>1278</v>
      </c>
      <c r="BK2" s="499" t="s">
        <v>1279</v>
      </c>
      <c r="BL2" s="498" t="s">
        <v>1280</v>
      </c>
    </row>
    <row customHeight="true" ht="13.333333333333332" r="3">
      <c r="A3" s="500">
        <v>45992</v>
      </c>
      <c r="B3" s="501" t="s">
        <v>1281</v>
      </c>
      <c r="C3" s="502"/>
      <c r="D3" s="501">
        <v>54.99</v>
      </c>
      <c r="E3" s="503">
        <v>0</v>
      </c>
      <c r="F3" s="503">
        <v>0</v>
      </c>
      <c r="G3" s="503">
        <v>0</v>
      </c>
      <c r="H3" s="504">
        <f t="shared" ref="H3:H47" si="11">D3*(1-F3)*(1-G3)</f>
      </c>
      <c r="I3" s="503" t="s">
        <v>1282</v>
      </c>
      <c r="J3" s="505" t="s">
        <v>1282</v>
      </c>
      <c r="K3" s="501">
        <f>'意大利ERP数据'!BC2</f>
      </c>
      <c r="L3" s="501">
        <f>'意大利ERP数据'!BA2</f>
      </c>
      <c r="M3" s="501">
        <f t="shared" ref="M3:M47" si="9">K3+L3</f>
      </c>
      <c r="N3" s="503">
        <f t="shared" ref="N3:N47" si="12">IFERROR(Q3/M3,0)</f>
      </c>
      <c r="O3" s="506">
        <f t="shared" ref="O3:O47" si="2">P3-AK3</f>
      </c>
      <c r="P3" s="506">
        <f t="shared" ref="P3:P47" si="5">Q3-U3-BC3</f>
      </c>
      <c r="Q3" s="501">
        <f>'意大利ERP数据'!R2</f>
      </c>
      <c r="R3" s="501"/>
      <c r="S3" s="501">
        <f>'意大利ERP数据'!Z2</f>
      </c>
      <c r="T3" s="501">
        <v>0</v>
      </c>
      <c r="U3" s="501">
        <v>0</v>
      </c>
      <c r="V3" s="503">
        <v>0</v>
      </c>
      <c r="W3" s="501">
        <v>0</v>
      </c>
      <c r="X3" s="505">
        <v>0</v>
      </c>
      <c r="Y3" s="501"/>
      <c r="Z3" s="501"/>
      <c r="AA3" s="501"/>
      <c r="AB3" s="501"/>
      <c r="AC3" s="501"/>
      <c r="AD3" s="507">
        <v>0</v>
      </c>
      <c r="AE3" s="501">
        <v>0</v>
      </c>
      <c r="AF3" s="501">
        <v>0</v>
      </c>
      <c r="AG3" s="501">
        <v>0</v>
      </c>
      <c r="AH3" s="508">
        <v>0</v>
      </c>
      <c r="AI3" s="501">
        <v>0</v>
      </c>
      <c r="AJ3" s="509">
        <f t="shared" ref="AJ3:AJ47" si="0">AI3/AH3</f>
      </c>
      <c r="AK3" s="501">
        <v>0</v>
      </c>
      <c r="AL3" s="510">
        <f t="shared" ref="AL3:AL47" si="3">AP3/AI3</f>
      </c>
      <c r="AM3" s="511">
        <f t="shared" ref="AM3:AM23" si="6">AP3/AS3</f>
      </c>
      <c r="AN3" s="503">
        <f t="shared" ref="AN3:AN47" si="10">AK3/AI3</f>
      </c>
      <c r="AO3" s="512">
        <f t="shared" ref="AO3:AO47" si="1">AK3/P3</f>
      </c>
      <c r="AP3" s="510">
        <v>0</v>
      </c>
      <c r="AQ3" s="503">
        <f t="shared" ref="AQ3:AQ47" si="4">AP3/W3</f>
      </c>
      <c r="AR3" s="506">
        <f t="shared" ref="AR3:AR47" si="8">AP3/AK3</f>
      </c>
      <c r="AS3" s="506">
        <v>0</v>
      </c>
      <c r="AT3" s="509"/>
      <c r="AU3" s="513"/>
      <c r="AV3" s="513"/>
      <c r="AW3" s="514"/>
      <c r="AX3" s="509"/>
      <c r="AY3" s="506"/>
      <c r="AZ3" s="506"/>
      <c r="BA3" s="506"/>
      <c r="BB3" s="505"/>
      <c r="BC3" s="515"/>
      <c r="BD3" s="501"/>
      <c r="BE3" s="509"/>
      <c r="BF3" s="501"/>
      <c r="BG3" s="512"/>
      <c r="BH3" s="501"/>
      <c r="BI3" s="502"/>
      <c r="BJ3" s="501"/>
      <c r="BK3" s="516"/>
      <c r="BL3" s="517"/>
    </row>
    <row customHeight="true" ht="13.333333333333332" r="4">
      <c r="A4" s="500">
        <v>45993</v>
      </c>
      <c r="B4" s="501" t="s">
        <v>1283</v>
      </c>
      <c r="C4" s="502"/>
      <c r="D4" s="501">
        <v>54.99</v>
      </c>
      <c r="E4" s="503">
        <v>0</v>
      </c>
      <c r="F4" s="503">
        <v>0</v>
      </c>
      <c r="G4" s="503">
        <v>0</v>
      </c>
      <c r="H4" s="504">
        <f t="shared" si="11"/>
      </c>
      <c r="I4" s="503" t="s">
        <v>1282</v>
      </c>
      <c r="J4" s="505" t="s">
        <v>1282</v>
      </c>
      <c r="K4" s="501">
        <f>'意大利ERP数据'!BC3</f>
      </c>
      <c r="L4" s="501">
        <f>'意大利ERP数据'!BA3</f>
      </c>
      <c r="M4" s="501">
        <f t="shared" si="9"/>
      </c>
      <c r="N4" s="503">
        <f t="shared" si="12"/>
      </c>
      <c r="O4" s="506">
        <f t="shared" si="2"/>
      </c>
      <c r="P4" s="506">
        <f t="shared" si="5"/>
      </c>
      <c r="Q4" s="501">
        <f>'意大利ERP数据'!R3</f>
      </c>
      <c r="R4" s="501"/>
      <c r="S4" s="501">
        <f>'意大利ERP数据'!Z3</f>
      </c>
      <c r="T4" s="501">
        <v>0</v>
      </c>
      <c r="U4" s="501">
        <v>0</v>
      </c>
      <c r="V4" s="503">
        <v>0</v>
      </c>
      <c r="W4" s="501">
        <v>0</v>
      </c>
      <c r="X4" s="505">
        <v>0</v>
      </c>
      <c r="Y4" s="501"/>
      <c r="Z4" s="501"/>
      <c r="AA4" s="501"/>
      <c r="AB4" s="501"/>
      <c r="AC4" s="501"/>
      <c r="AD4" s="507">
        <v>0</v>
      </c>
      <c r="AE4" s="501">
        <v>0</v>
      </c>
      <c r="AF4" s="501">
        <v>0</v>
      </c>
      <c r="AG4" s="501">
        <v>0</v>
      </c>
      <c r="AH4" s="508">
        <v>0</v>
      </c>
      <c r="AI4" s="501">
        <v>0</v>
      </c>
      <c r="AJ4" s="509">
        <f t="shared" si="0"/>
      </c>
      <c r="AK4" s="501">
        <v>0</v>
      </c>
      <c r="AL4" s="510">
        <f t="shared" si="3"/>
      </c>
      <c r="AM4" s="511">
        <f t="shared" si="6"/>
      </c>
      <c r="AN4" s="503">
        <f t="shared" si="10"/>
      </c>
      <c r="AO4" s="512">
        <f t="shared" si="1"/>
      </c>
      <c r="AP4" s="510">
        <v>0</v>
      </c>
      <c r="AQ4" s="503">
        <f t="shared" si="4"/>
      </c>
      <c r="AR4" s="506">
        <f t="shared" si="8"/>
      </c>
      <c r="AS4" s="506">
        <v>0</v>
      </c>
      <c r="AT4" s="509"/>
      <c r="AU4" s="513"/>
      <c r="AV4" s="513"/>
      <c r="AW4" s="514"/>
      <c r="AX4" s="509"/>
      <c r="AY4" s="506"/>
      <c r="AZ4" s="506"/>
      <c r="BA4" s="506"/>
      <c r="BB4" s="505"/>
      <c r="BC4" s="515"/>
      <c r="BD4" s="501"/>
      <c r="BE4" s="509"/>
      <c r="BF4" s="501"/>
      <c r="BG4" s="512"/>
      <c r="BH4" s="501"/>
      <c r="BI4" s="502"/>
      <c r="BJ4" s="501"/>
      <c r="BK4" s="516"/>
      <c r="BL4" s="517"/>
    </row>
    <row customHeight="true" ht="13.333333333333332" r="5">
      <c r="A5" s="500">
        <v>45994</v>
      </c>
      <c r="B5" s="501" t="s">
        <v>1284</v>
      </c>
      <c r="C5" s="502"/>
      <c r="D5" s="501">
        <v>54.99</v>
      </c>
      <c r="E5" s="503">
        <v>0</v>
      </c>
      <c r="F5" s="503">
        <v>0</v>
      </c>
      <c r="G5" s="503">
        <v>0</v>
      </c>
      <c r="H5" s="504">
        <f t="shared" si="11"/>
      </c>
      <c r="I5" s="503" t="s">
        <v>1282</v>
      </c>
      <c r="J5" s="505" t="s">
        <v>1282</v>
      </c>
      <c r="K5" s="501">
        <f>'意大利ERP数据'!BC4</f>
      </c>
      <c r="L5" s="501">
        <f>'意大利ERP数据'!BA4</f>
      </c>
      <c r="M5" s="501">
        <f t="shared" si="9"/>
      </c>
      <c r="N5" s="503">
        <f t="shared" si="12"/>
      </c>
      <c r="O5" s="506">
        <f t="shared" si="2"/>
      </c>
      <c r="P5" s="506">
        <f t="shared" si="5"/>
      </c>
      <c r="Q5" s="501">
        <f>'意大利ERP数据'!R4</f>
      </c>
      <c r="R5" s="501"/>
      <c r="S5" s="501">
        <f>'意大利ERP数据'!Z4</f>
      </c>
      <c r="T5" s="501">
        <v>0</v>
      </c>
      <c r="U5" s="501">
        <v>0</v>
      </c>
      <c r="V5" s="503">
        <v>0</v>
      </c>
      <c r="W5" s="501">
        <v>10</v>
      </c>
      <c r="X5" s="505">
        <v>0</v>
      </c>
      <c r="Y5" s="501"/>
      <c r="Z5" s="501"/>
      <c r="AA5" s="501"/>
      <c r="AB5" s="501"/>
      <c r="AC5" s="501"/>
      <c r="AD5" s="507">
        <v>0</v>
      </c>
      <c r="AE5" s="501">
        <v>0</v>
      </c>
      <c r="AF5" s="501">
        <v>0</v>
      </c>
      <c r="AG5" s="501">
        <v>0</v>
      </c>
      <c r="AH5" s="508">
        <v>0</v>
      </c>
      <c r="AI5" s="501">
        <v>0</v>
      </c>
      <c r="AJ5" s="509">
        <f t="shared" si="0"/>
      </c>
      <c r="AK5" s="501">
        <v>0</v>
      </c>
      <c r="AL5" s="510">
        <f t="shared" si="3"/>
      </c>
      <c r="AM5" s="511">
        <f t="shared" si="6"/>
      </c>
      <c r="AN5" s="503">
        <f t="shared" si="10"/>
      </c>
      <c r="AO5" s="512">
        <f t="shared" si="1"/>
      </c>
      <c r="AP5" s="510">
        <v>0</v>
      </c>
      <c r="AQ5" s="503">
        <f t="shared" si="4"/>
      </c>
      <c r="AR5" s="506">
        <f t="shared" si="8"/>
      </c>
      <c r="AS5" s="506">
        <v>0</v>
      </c>
      <c r="AT5" s="509"/>
      <c r="AU5" s="513"/>
      <c r="AV5" s="513"/>
      <c r="AW5" s="514"/>
      <c r="AX5" s="509"/>
      <c r="AY5" s="506"/>
      <c r="AZ5" s="506"/>
      <c r="BA5" s="506"/>
      <c r="BB5" s="505"/>
      <c r="BC5" s="515"/>
      <c r="BD5" s="501"/>
      <c r="BE5" s="509"/>
      <c r="BF5" s="501"/>
      <c r="BG5" s="512"/>
      <c r="BH5" s="501"/>
      <c r="BI5" s="502"/>
      <c r="BJ5" s="501"/>
      <c r="BK5" s="516"/>
      <c r="BL5" s="517"/>
    </row>
    <row customHeight="true" ht="13.333333333333332" r="6">
      <c r="A6" s="500">
        <v>45995</v>
      </c>
      <c r="B6" s="501" t="s">
        <v>1285</v>
      </c>
      <c r="C6" s="502"/>
      <c r="D6" s="501">
        <v>54.99</v>
      </c>
      <c r="E6" s="503">
        <v>0</v>
      </c>
      <c r="F6" s="503">
        <v>0</v>
      </c>
      <c r="G6" s="503">
        <v>0</v>
      </c>
      <c r="H6" s="504">
        <f t="shared" si="11"/>
      </c>
      <c r="I6" s="503" t="s">
        <v>1282</v>
      </c>
      <c r="J6" s="505" t="s">
        <v>1282</v>
      </c>
      <c r="K6" s="501">
        <f>'意大利ERP数据'!BC5</f>
      </c>
      <c r="L6" s="501">
        <f>'意大利ERP数据'!BA5</f>
      </c>
      <c r="M6" s="501">
        <f t="shared" si="9"/>
      </c>
      <c r="N6" s="503">
        <f t="shared" si="12"/>
      </c>
      <c r="O6" s="506">
        <f t="shared" si="2"/>
      </c>
      <c r="P6" s="506">
        <f t="shared" si="5"/>
      </c>
      <c r="Q6" s="501">
        <f>'意大利ERP数据'!R5</f>
      </c>
      <c r="R6" s="501"/>
      <c r="S6" s="501">
        <f>'意大利ERP数据'!Z5</f>
      </c>
      <c r="T6" s="501">
        <v>0</v>
      </c>
      <c r="U6" s="501">
        <v>0</v>
      </c>
      <c r="V6" s="503">
        <v>0</v>
      </c>
      <c r="W6" s="501">
        <v>0</v>
      </c>
      <c r="X6" s="505">
        <v>0</v>
      </c>
      <c r="Y6" s="501"/>
      <c r="Z6" s="501"/>
      <c r="AA6" s="501"/>
      <c r="AB6" s="501"/>
      <c r="AC6" s="501"/>
      <c r="AD6" s="507">
        <v>0</v>
      </c>
      <c r="AE6" s="501">
        <v>333</v>
      </c>
      <c r="AF6" s="501">
        <v>0</v>
      </c>
      <c r="AG6" s="501">
        <v>0</v>
      </c>
      <c r="AH6" s="508">
        <v>0</v>
      </c>
      <c r="AI6" s="501">
        <v>0</v>
      </c>
      <c r="AJ6" s="509">
        <f t="shared" si="0"/>
      </c>
      <c r="AK6" s="501">
        <v>0</v>
      </c>
      <c r="AL6" s="510">
        <f t="shared" si="3"/>
      </c>
      <c r="AM6" s="511">
        <f t="shared" si="6"/>
      </c>
      <c r="AN6" s="503">
        <f t="shared" si="10"/>
      </c>
      <c r="AO6" s="512">
        <f t="shared" si="1"/>
      </c>
      <c r="AP6" s="510">
        <v>0</v>
      </c>
      <c r="AQ6" s="503">
        <f t="shared" si="4"/>
      </c>
      <c r="AR6" s="506">
        <f t="shared" si="8"/>
      </c>
      <c r="AS6" s="506">
        <v>0</v>
      </c>
      <c r="AT6" s="509"/>
      <c r="AU6" s="513"/>
      <c r="AV6" s="513"/>
      <c r="AW6" s="514"/>
      <c r="AX6" s="509"/>
      <c r="AY6" s="506"/>
      <c r="AZ6" s="506"/>
      <c r="BA6" s="506"/>
      <c r="BB6" s="505"/>
      <c r="BC6" s="515"/>
      <c r="BD6" s="501"/>
      <c r="BE6" s="509"/>
      <c r="BF6" s="501"/>
      <c r="BG6" s="512"/>
      <c r="BH6" s="501"/>
      <c r="BI6" s="502"/>
      <c r="BJ6" s="501"/>
      <c r="BK6" s="516"/>
      <c r="BL6" s="517"/>
    </row>
    <row customHeight="true" ht="13.333333333333332" r="7">
      <c r="A7" s="500">
        <v>45996</v>
      </c>
      <c r="B7" s="501" t="s">
        <v>1286</v>
      </c>
      <c r="C7" s="502"/>
      <c r="D7" s="501">
        <v>54.99</v>
      </c>
      <c r="E7" s="503">
        <v>0</v>
      </c>
      <c r="F7" s="503">
        <v>0</v>
      </c>
      <c r="G7" s="503">
        <v>0</v>
      </c>
      <c r="H7" s="504">
        <f t="shared" si="11"/>
      </c>
      <c r="I7" s="503" t="s">
        <v>1282</v>
      </c>
      <c r="J7" s="505" t="s">
        <v>1282</v>
      </c>
      <c r="K7" s="501">
        <f>'意大利ERP数据'!BC6</f>
      </c>
      <c r="L7" s="501">
        <f>'意大利ERP数据'!BA6</f>
      </c>
      <c r="M7" s="501">
        <f t="shared" si="9"/>
      </c>
      <c r="N7" s="503">
        <f t="shared" si="12"/>
      </c>
      <c r="O7" s="506">
        <f t="shared" si="2"/>
      </c>
      <c r="P7" s="506">
        <f t="shared" si="5"/>
      </c>
      <c r="Q7" s="501">
        <f>'意大利ERP数据'!R6</f>
      </c>
      <c r="R7" s="501"/>
      <c r="S7" s="501">
        <f>'意大利ERP数据'!Z6</f>
      </c>
      <c r="T7" s="501">
        <v>0</v>
      </c>
      <c r="U7" s="501">
        <v>0</v>
      </c>
      <c r="V7" s="503">
        <v>0</v>
      </c>
      <c r="W7" s="501">
        <v>0</v>
      </c>
      <c r="X7" s="505">
        <v>0</v>
      </c>
      <c r="Y7" s="501"/>
      <c r="Z7" s="501"/>
      <c r="AA7" s="501"/>
      <c r="AB7" s="501"/>
      <c r="AC7" s="501"/>
      <c r="AD7" s="507">
        <v>33523</v>
      </c>
      <c r="AE7" s="501">
        <v>129</v>
      </c>
      <c r="AF7" s="501">
        <v>0</v>
      </c>
      <c r="AG7" s="501">
        <v>0</v>
      </c>
      <c r="AH7" s="508">
        <v>0</v>
      </c>
      <c r="AI7" s="501">
        <v>0</v>
      </c>
      <c r="AJ7" s="509">
        <f t="shared" si="0"/>
      </c>
      <c r="AK7" s="501">
        <v>0</v>
      </c>
      <c r="AL7" s="510">
        <f t="shared" si="3"/>
      </c>
      <c r="AM7" s="511">
        <f t="shared" si="6"/>
      </c>
      <c r="AN7" s="503">
        <f t="shared" si="10"/>
      </c>
      <c r="AO7" s="512">
        <f t="shared" si="1"/>
      </c>
      <c r="AP7" s="510">
        <v>0</v>
      </c>
      <c r="AQ7" s="503">
        <f t="shared" si="4"/>
      </c>
      <c r="AR7" s="506">
        <f t="shared" si="8"/>
      </c>
      <c r="AS7" s="506">
        <v>0</v>
      </c>
      <c r="AT7" s="509"/>
      <c r="AU7" s="513"/>
      <c r="AV7" s="513"/>
      <c r="AW7" s="514"/>
      <c r="AX7" s="509"/>
      <c r="AY7" s="506"/>
      <c r="AZ7" s="506"/>
      <c r="BA7" s="506"/>
      <c r="BB7" s="505"/>
      <c r="BC7" s="515"/>
      <c r="BD7" s="501"/>
      <c r="BE7" s="509"/>
      <c r="BF7" s="501"/>
      <c r="BG7" s="512"/>
      <c r="BH7" s="501"/>
      <c r="BI7" s="502"/>
      <c r="BJ7" s="501"/>
      <c r="BK7" s="516"/>
      <c r="BL7" s="517"/>
    </row>
    <row customHeight="true" ht="13.333333333333332" r="8">
      <c r="A8" s="500">
        <v>45997</v>
      </c>
      <c r="B8" s="501" t="s">
        <v>1287</v>
      </c>
      <c r="C8" s="502"/>
      <c r="D8" s="501">
        <v>54.99</v>
      </c>
      <c r="E8" s="503">
        <v>0</v>
      </c>
      <c r="F8" s="503">
        <v>0</v>
      </c>
      <c r="G8" s="503">
        <v>0</v>
      </c>
      <c r="H8" s="504">
        <f t="shared" si="11"/>
      </c>
      <c r="I8" s="503" t="s">
        <v>1282</v>
      </c>
      <c r="J8" s="505" t="s">
        <v>1282</v>
      </c>
      <c r="K8" s="501">
        <f>'意大利ERP数据'!BC7</f>
      </c>
      <c r="L8" s="501">
        <f>'意大利ERP数据'!BA7</f>
      </c>
      <c r="M8" s="501">
        <f t="shared" si="9"/>
      </c>
      <c r="N8" s="503">
        <f t="shared" si="12"/>
      </c>
      <c r="O8" s="506">
        <f t="shared" si="2"/>
      </c>
      <c r="P8" s="506">
        <f t="shared" si="5"/>
      </c>
      <c r="Q8" s="501">
        <f>'意大利ERP数据'!R7</f>
      </c>
      <c r="R8" s="501"/>
      <c r="S8" s="501">
        <f>'意大利ERP数据'!Z7</f>
      </c>
      <c r="T8" s="501">
        <v>0</v>
      </c>
      <c r="U8" s="501">
        <v>0</v>
      </c>
      <c r="V8" s="503">
        <v>0</v>
      </c>
      <c r="W8" s="501">
        <v>0</v>
      </c>
      <c r="X8" s="505">
        <v>0</v>
      </c>
      <c r="Y8" s="501"/>
      <c r="Z8" s="501"/>
      <c r="AA8" s="501"/>
      <c r="AB8" s="501"/>
      <c r="AC8" s="501"/>
      <c r="AD8" s="507">
        <v>63392</v>
      </c>
      <c r="AE8" s="501">
        <v>207</v>
      </c>
      <c r="AF8" s="501">
        <v>0</v>
      </c>
      <c r="AG8" s="501">
        <v>0</v>
      </c>
      <c r="AH8" s="508">
        <v>0</v>
      </c>
      <c r="AI8" s="501">
        <v>0</v>
      </c>
      <c r="AJ8" s="509">
        <f t="shared" si="0"/>
      </c>
      <c r="AK8" s="501">
        <v>0</v>
      </c>
      <c r="AL8" s="510">
        <f t="shared" si="3"/>
      </c>
      <c r="AM8" s="511">
        <f t="shared" si="6"/>
      </c>
      <c r="AN8" s="503">
        <f t="shared" si="10"/>
      </c>
      <c r="AO8" s="512">
        <f t="shared" si="1"/>
      </c>
      <c r="AP8" s="510">
        <v>0</v>
      </c>
      <c r="AQ8" s="503">
        <f t="shared" si="4"/>
      </c>
      <c r="AR8" s="506">
        <f t="shared" si="8"/>
      </c>
      <c r="AS8" s="506">
        <v>0</v>
      </c>
      <c r="AT8" s="509"/>
      <c r="AU8" s="513"/>
      <c r="AV8" s="513"/>
      <c r="AW8" s="514"/>
      <c r="AX8" s="509"/>
      <c r="AY8" s="506"/>
      <c r="AZ8" s="506"/>
      <c r="BA8" s="506"/>
      <c r="BB8" s="505"/>
      <c r="BC8" s="515"/>
      <c r="BD8" s="501"/>
      <c r="BE8" s="509"/>
      <c r="BF8" s="501"/>
      <c r="BG8" s="512"/>
      <c r="BH8" s="501"/>
      <c r="BI8" s="502"/>
      <c r="BJ8" s="501"/>
      <c r="BK8" s="516"/>
      <c r="BL8" s="517"/>
    </row>
    <row customHeight="true" ht="13.333333333333332" r="9">
      <c r="A9" s="500">
        <v>45998</v>
      </c>
      <c r="B9" s="501" t="s">
        <v>1288</v>
      </c>
      <c r="C9" s="502"/>
      <c r="D9" s="501">
        <v>54.99</v>
      </c>
      <c r="E9" s="503">
        <v>0</v>
      </c>
      <c r="F9" s="503">
        <v>0</v>
      </c>
      <c r="G9" s="503">
        <v>0</v>
      </c>
      <c r="H9" s="504">
        <f t="shared" si="11"/>
      </c>
      <c r="I9" s="503" t="s">
        <v>1282</v>
      </c>
      <c r="J9" s="505" t="s">
        <v>1282</v>
      </c>
      <c r="K9" s="501">
        <f>'意大利ERP数据'!BC8</f>
      </c>
      <c r="L9" s="501">
        <f>'意大利ERP数据'!BA8</f>
      </c>
      <c r="M9" s="501">
        <f t="shared" si="9"/>
      </c>
      <c r="N9" s="503">
        <f t="shared" si="12"/>
      </c>
      <c r="O9" s="506">
        <f t="shared" si="2"/>
      </c>
      <c r="P9" s="506">
        <f t="shared" si="5"/>
      </c>
      <c r="Q9" s="501">
        <f>'意大利ERP数据'!R8</f>
      </c>
      <c r="R9" s="501"/>
      <c r="S9" s="501">
        <f>'意大利ERP数据'!Z8</f>
      </c>
      <c r="T9" s="501">
        <v>0</v>
      </c>
      <c r="U9" s="501">
        <v>0</v>
      </c>
      <c r="V9" s="503">
        <v>1</v>
      </c>
      <c r="W9" s="501">
        <v>0</v>
      </c>
      <c r="X9" s="505">
        <v>0</v>
      </c>
      <c r="Y9" s="501"/>
      <c r="Z9" s="501"/>
      <c r="AA9" s="501"/>
      <c r="AB9" s="501"/>
      <c r="AC9" s="501"/>
      <c r="AD9" s="507">
        <v>108016</v>
      </c>
      <c r="AE9" s="501">
        <v>273</v>
      </c>
      <c r="AF9" s="501">
        <v>0</v>
      </c>
      <c r="AG9" s="501">
        <v>0</v>
      </c>
      <c r="AH9" s="508">
        <v>0</v>
      </c>
      <c r="AI9" s="501">
        <v>0</v>
      </c>
      <c r="AJ9" s="509">
        <f t="shared" si="0"/>
      </c>
      <c r="AK9" s="501">
        <v>0</v>
      </c>
      <c r="AL9" s="510">
        <f t="shared" si="3"/>
      </c>
      <c r="AM9" s="511">
        <f t="shared" si="6"/>
      </c>
      <c r="AN9" s="503">
        <f t="shared" si="10"/>
      </c>
      <c r="AO9" s="512">
        <f t="shared" si="1"/>
      </c>
      <c r="AP9" s="510">
        <v>0</v>
      </c>
      <c r="AQ9" s="503">
        <f t="shared" si="4"/>
      </c>
      <c r="AR9" s="506">
        <f t="shared" si="8"/>
      </c>
      <c r="AS9" s="506">
        <v>0</v>
      </c>
      <c r="AT9" s="509"/>
      <c r="AU9" s="513"/>
      <c r="AV9" s="513"/>
      <c r="AW9" s="514"/>
      <c r="AX9" s="509"/>
      <c r="AY9" s="506"/>
      <c r="AZ9" s="506"/>
      <c r="BA9" s="506"/>
      <c r="BB9" s="505"/>
      <c r="BC9" s="515"/>
      <c r="BD9" s="501"/>
      <c r="BE9" s="509"/>
      <c r="BF9" s="501"/>
      <c r="BG9" s="512"/>
      <c r="BH9" s="501"/>
      <c r="BI9" s="502"/>
      <c r="BJ9" s="501"/>
      <c r="BK9" s="516"/>
      <c r="BL9" s="517"/>
    </row>
    <row customHeight="true" ht="13.333333333333332" r="10">
      <c r="A10" s="500">
        <v>45999</v>
      </c>
      <c r="B10" s="501" t="s">
        <v>1281</v>
      </c>
      <c r="C10" s="502"/>
      <c r="D10" s="501">
        <v>54.99</v>
      </c>
      <c r="E10" s="503">
        <v>0</v>
      </c>
      <c r="F10" s="503">
        <v>0</v>
      </c>
      <c r="G10" s="503">
        <v>0</v>
      </c>
      <c r="H10" s="504">
        <f t="shared" si="11"/>
      </c>
      <c r="I10" s="503" t="s">
        <v>1282</v>
      </c>
      <c r="J10" s="505" t="s">
        <v>1282</v>
      </c>
      <c r="K10" s="501">
        <f>'意大利ERP数据'!BC9</f>
      </c>
      <c r="L10" s="501">
        <f>'意大利ERP数据'!BA9</f>
      </c>
      <c r="M10" s="501">
        <f t="shared" si="9"/>
      </c>
      <c r="N10" s="503">
        <f t="shared" si="12"/>
      </c>
      <c r="O10" s="506">
        <f t="shared" si="2"/>
      </c>
      <c r="P10" s="506">
        <f t="shared" si="5"/>
      </c>
      <c r="Q10" s="501">
        <f>'意大利ERP数据'!R9</f>
      </c>
      <c r="R10" s="501"/>
      <c r="S10" s="501">
        <f>'意大利ERP数据'!Z9</f>
      </c>
      <c r="T10" s="501">
        <v>0</v>
      </c>
      <c r="U10" s="501">
        <v>0</v>
      </c>
      <c r="V10" s="503">
        <v>0</v>
      </c>
      <c r="W10" s="501">
        <v>0</v>
      </c>
      <c r="X10" s="505">
        <v>0</v>
      </c>
      <c r="Y10" s="501"/>
      <c r="Z10" s="501"/>
      <c r="AA10" s="501"/>
      <c r="AB10" s="501"/>
      <c r="AC10" s="501"/>
      <c r="AD10" s="507">
        <v>108016</v>
      </c>
      <c r="AE10" s="501">
        <v>273</v>
      </c>
      <c r="AF10" s="501">
        <v>2</v>
      </c>
      <c r="AG10" s="501">
        <v>4.5</v>
      </c>
      <c r="AH10" s="508">
        <v>0</v>
      </c>
      <c r="AI10" s="501">
        <v>0</v>
      </c>
      <c r="AJ10" s="509">
        <f t="shared" si="0"/>
      </c>
      <c r="AK10" s="501">
        <v>0</v>
      </c>
      <c r="AL10" s="510">
        <f t="shared" si="3"/>
      </c>
      <c r="AM10" s="511">
        <f t="shared" si="6"/>
      </c>
      <c r="AN10" s="503">
        <f t="shared" si="10"/>
      </c>
      <c r="AO10" s="512">
        <f t="shared" si="1"/>
      </c>
      <c r="AP10" s="510">
        <v>0</v>
      </c>
      <c r="AQ10" s="503">
        <f t="shared" si="4"/>
      </c>
      <c r="AR10" s="506">
        <f t="shared" si="8"/>
      </c>
      <c r="AS10" s="506">
        <v>0</v>
      </c>
      <c r="AT10" s="509"/>
      <c r="AU10" s="513"/>
      <c r="AV10" s="513"/>
      <c r="AW10" s="514"/>
      <c r="AX10" s="509"/>
      <c r="AY10" s="506"/>
      <c r="AZ10" s="506"/>
      <c r="BA10" s="506"/>
      <c r="BB10" s="505"/>
      <c r="BC10" s="515"/>
      <c r="BD10" s="501"/>
      <c r="BE10" s="509"/>
      <c r="BF10" s="501"/>
      <c r="BG10" s="512"/>
      <c r="BH10" s="501"/>
      <c r="BI10" s="502"/>
      <c r="BJ10" s="501"/>
      <c r="BK10" s="516"/>
      <c r="BL10" s="517"/>
    </row>
    <row customHeight="true" ht="13.333333333333332" r="11">
      <c r="A11" s="500">
        <v>46000</v>
      </c>
      <c r="B11" s="501" t="s">
        <v>1283</v>
      </c>
      <c r="C11" s="502"/>
      <c r="D11" s="501">
        <v>54.99</v>
      </c>
      <c r="E11" s="503">
        <v>0</v>
      </c>
      <c r="F11" s="503">
        <v>0</v>
      </c>
      <c r="G11" s="503">
        <v>0</v>
      </c>
      <c r="H11" s="504">
        <f t="shared" si="11"/>
      </c>
      <c r="I11" s="503" t="s">
        <v>1282</v>
      </c>
      <c r="J11" s="505" t="s">
        <v>1282</v>
      </c>
      <c r="K11" s="501">
        <f>'意大利ERP数据'!BC10</f>
      </c>
      <c r="L11" s="501">
        <f>'意大利ERP数据'!BA10</f>
      </c>
      <c r="M11" s="501">
        <f t="shared" si="9"/>
      </c>
      <c r="N11" s="503">
        <f t="shared" si="12"/>
      </c>
      <c r="O11" s="506">
        <f t="shared" si="2"/>
      </c>
      <c r="P11" s="506">
        <f t="shared" si="5"/>
      </c>
      <c r="Q11" s="501">
        <f>'意大利ERP数据'!R10</f>
      </c>
      <c r="R11" s="501"/>
      <c r="S11" s="501">
        <f>'意大利ERP数据'!Z10</f>
      </c>
      <c r="T11" s="501">
        <v>0</v>
      </c>
      <c r="U11" s="501">
        <v>0</v>
      </c>
      <c r="V11" s="503">
        <v>0</v>
      </c>
      <c r="W11" s="501">
        <v>0</v>
      </c>
      <c r="X11" s="505">
        <v>0</v>
      </c>
      <c r="Y11" s="501"/>
      <c r="Z11" s="501"/>
      <c r="AA11" s="501"/>
      <c r="AB11" s="501"/>
      <c r="AC11" s="501"/>
      <c r="AD11" s="507">
        <v>0</v>
      </c>
      <c r="AE11" s="501">
        <v>0</v>
      </c>
      <c r="AF11" s="501">
        <v>0</v>
      </c>
      <c r="AG11" s="501">
        <v>0</v>
      </c>
      <c r="AH11" s="508">
        <v>0</v>
      </c>
      <c r="AI11" s="501">
        <v>0</v>
      </c>
      <c r="AJ11" s="509">
        <f t="shared" si="0"/>
      </c>
      <c r="AK11" s="501">
        <v>0</v>
      </c>
      <c r="AL11" s="510">
        <f t="shared" si="3"/>
      </c>
      <c r="AM11" s="511">
        <f t="shared" si="6"/>
      </c>
      <c r="AN11" s="503">
        <f t="shared" si="10"/>
      </c>
      <c r="AO11" s="512">
        <f t="shared" si="1"/>
      </c>
      <c r="AP11" s="510">
        <v>0</v>
      </c>
      <c r="AQ11" s="503">
        <f t="shared" si="4"/>
      </c>
      <c r="AR11" s="506">
        <f t="shared" si="8"/>
      </c>
      <c r="AS11" s="506">
        <v>0</v>
      </c>
      <c r="AT11" s="509"/>
      <c r="AU11" s="513"/>
      <c r="AV11" s="513"/>
      <c r="AW11" s="514"/>
      <c r="AX11" s="509"/>
      <c r="AY11" s="506"/>
      <c r="AZ11" s="506"/>
      <c r="BA11" s="506"/>
      <c r="BB11" s="505"/>
      <c r="BC11" s="515"/>
      <c r="BD11" s="501"/>
      <c r="BE11" s="509"/>
      <c r="BF11" s="501"/>
      <c r="BG11" s="512"/>
      <c r="BH11" s="501"/>
      <c r="BI11" s="502"/>
      <c r="BJ11" s="501"/>
      <c r="BK11" s="516"/>
      <c r="BL11" s="517"/>
    </row>
    <row customHeight="true" ht="13.333333333333332" r="12">
      <c r="A12" s="500">
        <v>46001</v>
      </c>
      <c r="B12" s="501" t="s">
        <v>1284</v>
      </c>
      <c r="C12" s="502"/>
      <c r="D12" s="501">
        <v>54.99</v>
      </c>
      <c r="E12" s="503">
        <v>0</v>
      </c>
      <c r="F12" s="503">
        <v>0</v>
      </c>
      <c r="G12" s="503">
        <v>0</v>
      </c>
      <c r="H12" s="504">
        <f t="shared" si="11"/>
      </c>
      <c r="I12" s="503" t="s">
        <v>1282</v>
      </c>
      <c r="J12" s="505" t="s">
        <v>1282</v>
      </c>
      <c r="K12" s="501">
        <f>'意大利ERP数据'!BC11</f>
      </c>
      <c r="L12" s="501">
        <f>'意大利ERP数据'!BA11</f>
      </c>
      <c r="M12" s="501">
        <f t="shared" si="9"/>
      </c>
      <c r="N12" s="503">
        <f t="shared" si="12"/>
      </c>
      <c r="O12" s="506">
        <f t="shared" si="2"/>
      </c>
      <c r="P12" s="506">
        <f t="shared" si="5"/>
      </c>
      <c r="Q12" s="501">
        <f>'意大利ERP数据'!R11</f>
      </c>
      <c r="R12" s="501"/>
      <c r="S12" s="501">
        <f>'意大利ERP数据'!Z11</f>
      </c>
      <c r="T12" s="501">
        <v>0</v>
      </c>
      <c r="U12" s="501">
        <v>0</v>
      </c>
      <c r="V12" s="503">
        <v>0</v>
      </c>
      <c r="W12" s="501">
        <v>0</v>
      </c>
      <c r="X12" s="505">
        <v>0</v>
      </c>
      <c r="Y12" s="501"/>
      <c r="Z12" s="501"/>
      <c r="AA12" s="501"/>
      <c r="AB12" s="501"/>
      <c r="AC12" s="501"/>
      <c r="AD12" s="507">
        <v>0</v>
      </c>
      <c r="AE12" s="501">
        <v>0</v>
      </c>
      <c r="AF12" s="501">
        <v>0</v>
      </c>
      <c r="AG12" s="501">
        <v>0</v>
      </c>
      <c r="AH12" s="508">
        <v>0</v>
      </c>
      <c r="AI12" s="501">
        <v>0</v>
      </c>
      <c r="AJ12" s="509">
        <f t="shared" si="0"/>
      </c>
      <c r="AK12" s="501">
        <v>0</v>
      </c>
      <c r="AL12" s="510">
        <f t="shared" si="3"/>
      </c>
      <c r="AM12" s="511">
        <f t="shared" si="6"/>
      </c>
      <c r="AN12" s="503">
        <f t="shared" si="10"/>
      </c>
      <c r="AO12" s="512">
        <f t="shared" si="1"/>
      </c>
      <c r="AP12" s="510">
        <v>0</v>
      </c>
      <c r="AQ12" s="503">
        <f t="shared" si="4"/>
      </c>
      <c r="AR12" s="506">
        <f t="shared" si="8"/>
      </c>
      <c r="AS12" s="506">
        <v>0</v>
      </c>
      <c r="AT12" s="509"/>
      <c r="AU12" s="513"/>
      <c r="AV12" s="513"/>
      <c r="AW12" s="514"/>
      <c r="AX12" s="509"/>
      <c r="AY12" s="506"/>
      <c r="AZ12" s="506"/>
      <c r="BA12" s="506"/>
      <c r="BB12" s="505"/>
      <c r="BC12" s="515"/>
      <c r="BD12" s="501"/>
      <c r="BE12" s="509"/>
      <c r="BF12" s="501"/>
      <c r="BG12" s="512"/>
      <c r="BH12" s="501"/>
      <c r="BI12" s="502"/>
      <c r="BJ12" s="501"/>
      <c r="BK12" s="516"/>
      <c r="BL12" s="517"/>
    </row>
    <row customHeight="true" ht="13.333333333333332" r="13">
      <c r="A13" s="500">
        <v>46002</v>
      </c>
      <c r="B13" s="501" t="s">
        <v>1285</v>
      </c>
      <c r="C13" s="502"/>
      <c r="D13" s="501">
        <v>54.99</v>
      </c>
      <c r="E13" s="503">
        <v>0</v>
      </c>
      <c r="F13" s="503">
        <v>0</v>
      </c>
      <c r="G13" s="503">
        <v>0</v>
      </c>
      <c r="H13" s="504">
        <f t="shared" si="11"/>
      </c>
      <c r="I13" s="503" t="s">
        <v>1282</v>
      </c>
      <c r="J13" s="505" t="s">
        <v>1282</v>
      </c>
      <c r="K13" s="501">
        <f>'意大利ERP数据'!BC12</f>
      </c>
      <c r="L13" s="501">
        <f>'意大利ERP数据'!BA12</f>
      </c>
      <c r="M13" s="501">
        <f t="shared" si="9"/>
      </c>
      <c r="N13" s="503">
        <f t="shared" si="12"/>
      </c>
      <c r="O13" s="506">
        <f t="shared" si="2"/>
      </c>
      <c r="P13" s="506">
        <f t="shared" si="5"/>
      </c>
      <c r="Q13" s="501">
        <f>'意大利ERP数据'!R12</f>
      </c>
      <c r="R13" s="501"/>
      <c r="S13" s="501">
        <f>'意大利ERP数据'!Z12</f>
      </c>
      <c r="T13" s="501">
        <v>0</v>
      </c>
      <c r="U13" s="501">
        <v>0</v>
      </c>
      <c r="V13" s="503">
        <v>1</v>
      </c>
      <c r="W13" s="501">
        <v>0</v>
      </c>
      <c r="X13" s="505">
        <v>0</v>
      </c>
      <c r="Y13" s="501"/>
      <c r="Z13" s="501"/>
      <c r="AA13" s="501"/>
      <c r="AB13" s="501"/>
      <c r="AC13" s="501"/>
      <c r="AD13" s="507">
        <v>0</v>
      </c>
      <c r="AE13" s="501">
        <v>0</v>
      </c>
      <c r="AF13" s="501">
        <v>0</v>
      </c>
      <c r="AG13" s="501">
        <v>0</v>
      </c>
      <c r="AH13" s="508">
        <v>0</v>
      </c>
      <c r="AI13" s="501">
        <v>0</v>
      </c>
      <c r="AJ13" s="509">
        <f t="shared" si="0"/>
      </c>
      <c r="AK13" s="501">
        <v>0</v>
      </c>
      <c r="AL13" s="510">
        <f t="shared" si="3"/>
      </c>
      <c r="AM13" s="511">
        <f t="shared" si="6"/>
      </c>
      <c r="AN13" s="503">
        <f t="shared" si="10"/>
      </c>
      <c r="AO13" s="512">
        <f t="shared" si="1"/>
      </c>
      <c r="AP13" s="510">
        <v>0</v>
      </c>
      <c r="AQ13" s="503">
        <f t="shared" si="4"/>
      </c>
      <c r="AR13" s="506">
        <f t="shared" si="8"/>
      </c>
      <c r="AS13" s="506">
        <v>0</v>
      </c>
      <c r="AT13" s="509"/>
      <c r="AU13" s="513"/>
      <c r="AV13" s="513"/>
      <c r="AW13" s="514"/>
      <c r="AX13" s="509"/>
      <c r="AY13" s="506"/>
      <c r="AZ13" s="506"/>
      <c r="BA13" s="506"/>
      <c r="BB13" s="505"/>
      <c r="BC13" s="515"/>
      <c r="BD13" s="501"/>
      <c r="BE13" s="509"/>
      <c r="BF13" s="501"/>
      <c r="BG13" s="512"/>
      <c r="BH13" s="501"/>
      <c r="BI13" s="502"/>
      <c r="BJ13" s="501"/>
      <c r="BK13" s="516"/>
      <c r="BL13" s="517"/>
    </row>
    <row customHeight="true" ht="13.333333333333332" r="14">
      <c r="A14" s="500">
        <v>46003</v>
      </c>
      <c r="B14" s="501" t="s">
        <v>1286</v>
      </c>
      <c r="C14" s="502"/>
      <c r="D14" s="501">
        <v>54.99</v>
      </c>
      <c r="E14" s="503">
        <v>0</v>
      </c>
      <c r="F14" s="503">
        <v>0</v>
      </c>
      <c r="G14" s="503">
        <v>0</v>
      </c>
      <c r="H14" s="504">
        <f t="shared" si="11"/>
      </c>
      <c r="I14" s="503" t="s">
        <v>1282</v>
      </c>
      <c r="J14" s="505" t="s">
        <v>1282</v>
      </c>
      <c r="K14" s="501">
        <f>'意大利ERP数据'!BC13</f>
      </c>
      <c r="L14" s="501">
        <f>'意大利ERP数据'!BA13</f>
      </c>
      <c r="M14" s="501">
        <f t="shared" si="9"/>
      </c>
      <c r="N14" s="503">
        <f t="shared" si="12"/>
      </c>
      <c r="O14" s="506">
        <f t="shared" si="2"/>
      </c>
      <c r="P14" s="506">
        <f t="shared" si="5"/>
      </c>
      <c r="Q14" s="501">
        <f>'意大利ERP数据'!R13</f>
      </c>
      <c r="R14" s="501"/>
      <c r="S14" s="501">
        <f>'意大利ERP数据'!Z13</f>
      </c>
      <c r="T14" s="501">
        <v>0</v>
      </c>
      <c r="U14" s="501">
        <v>0</v>
      </c>
      <c r="V14" s="503">
        <v>0</v>
      </c>
      <c r="W14" s="501">
        <v>0</v>
      </c>
      <c r="X14" s="505">
        <v>0</v>
      </c>
      <c r="Y14" s="501"/>
      <c r="Z14" s="501"/>
      <c r="AA14" s="501"/>
      <c r="AB14" s="501"/>
      <c r="AC14" s="501"/>
      <c r="AD14" s="507">
        <v>0</v>
      </c>
      <c r="AE14" s="501">
        <v>0</v>
      </c>
      <c r="AF14" s="501">
        <v>0</v>
      </c>
      <c r="AG14" s="501">
        <v>0</v>
      </c>
      <c r="AH14" s="508">
        <v>0</v>
      </c>
      <c r="AI14" s="501">
        <v>0</v>
      </c>
      <c r="AJ14" s="509">
        <f t="shared" si="0"/>
      </c>
      <c r="AK14" s="501">
        <v>0</v>
      </c>
      <c r="AL14" s="510">
        <f t="shared" si="3"/>
      </c>
      <c r="AM14" s="511">
        <f t="shared" si="6"/>
      </c>
      <c r="AN14" s="503">
        <f t="shared" si="10"/>
      </c>
      <c r="AO14" s="512">
        <f t="shared" si="1"/>
      </c>
      <c r="AP14" s="510">
        <v>0</v>
      </c>
      <c r="AQ14" s="503">
        <f t="shared" si="4"/>
      </c>
      <c r="AR14" s="506">
        <f t="shared" si="8"/>
      </c>
      <c r="AS14" s="506">
        <v>0</v>
      </c>
      <c r="AT14" s="509"/>
      <c r="AU14" s="513"/>
      <c r="AV14" s="513"/>
      <c r="AW14" s="514"/>
      <c r="AX14" s="509"/>
      <c r="AY14" s="506"/>
      <c r="AZ14" s="506"/>
      <c r="BA14" s="506"/>
      <c r="BB14" s="505"/>
      <c r="BC14" s="515"/>
      <c r="BD14" s="501"/>
      <c r="BE14" s="509"/>
      <c r="BF14" s="501"/>
      <c r="BG14" s="512"/>
      <c r="BH14" s="501"/>
      <c r="BI14" s="502"/>
      <c r="BJ14" s="501"/>
      <c r="BK14" s="516"/>
      <c r="BL14" s="517"/>
    </row>
    <row customHeight="true" ht="13.333333333333332" r="15">
      <c r="A15" s="500">
        <v>46004</v>
      </c>
      <c r="B15" s="501" t="s">
        <v>1287</v>
      </c>
      <c r="C15" s="502"/>
      <c r="D15" s="501">
        <v>54.99</v>
      </c>
      <c r="E15" s="503">
        <v>0</v>
      </c>
      <c r="F15" s="503">
        <v>0</v>
      </c>
      <c r="G15" s="503">
        <v>0</v>
      </c>
      <c r="H15" s="504">
        <f t="shared" si="11"/>
      </c>
      <c r="I15" s="503" t="s">
        <v>1282</v>
      </c>
      <c r="J15" s="505" t="s">
        <v>1282</v>
      </c>
      <c r="K15" s="501">
        <f>'意大利ERP数据'!BC14</f>
      </c>
      <c r="L15" s="501">
        <f>'意大利ERP数据'!BA14</f>
      </c>
      <c r="M15" s="501">
        <f t="shared" si="9"/>
      </c>
      <c r="N15" s="503">
        <f t="shared" si="12"/>
      </c>
      <c r="O15" s="506">
        <f t="shared" si="2"/>
      </c>
      <c r="P15" s="506">
        <f t="shared" si="5"/>
      </c>
      <c r="Q15" s="501">
        <f>'意大利ERP数据'!R14</f>
      </c>
      <c r="R15" s="501"/>
      <c r="S15" s="501">
        <f>'意大利ERP数据'!Z14</f>
      </c>
      <c r="T15" s="501">
        <v>0</v>
      </c>
      <c r="U15" s="501">
        <v>0</v>
      </c>
      <c r="V15" s="503">
        <v>0</v>
      </c>
      <c r="W15" s="501">
        <v>0</v>
      </c>
      <c r="X15" s="505">
        <v>0</v>
      </c>
      <c r="Y15" s="501"/>
      <c r="Z15" s="501"/>
      <c r="AA15" s="501"/>
      <c r="AB15" s="501"/>
      <c r="AC15" s="501"/>
      <c r="AD15" s="507">
        <v>0</v>
      </c>
      <c r="AE15" s="501">
        <v>0</v>
      </c>
      <c r="AF15" s="501">
        <v>0</v>
      </c>
      <c r="AG15" s="501">
        <v>0</v>
      </c>
      <c r="AH15" s="508">
        <v>0</v>
      </c>
      <c r="AI15" s="501">
        <v>0</v>
      </c>
      <c r="AJ15" s="509">
        <f t="shared" si="0"/>
      </c>
      <c r="AK15" s="501">
        <v>0</v>
      </c>
      <c r="AL15" s="510">
        <f t="shared" si="3"/>
      </c>
      <c r="AM15" s="511">
        <f t="shared" si="6"/>
      </c>
      <c r="AN15" s="503">
        <f t="shared" si="10"/>
      </c>
      <c r="AO15" s="512">
        <f t="shared" si="1"/>
      </c>
      <c r="AP15" s="510">
        <v>0</v>
      </c>
      <c r="AQ15" s="503">
        <f t="shared" si="4"/>
      </c>
      <c r="AR15" s="506">
        <f t="shared" si="8"/>
      </c>
      <c r="AS15" s="506">
        <v>0</v>
      </c>
      <c r="AT15" s="509"/>
      <c r="AU15" s="513"/>
      <c r="AV15" s="513"/>
      <c r="AW15" s="514"/>
      <c r="AX15" s="509"/>
      <c r="AY15" s="506"/>
      <c r="AZ15" s="506"/>
      <c r="BA15" s="506"/>
      <c r="BB15" s="505"/>
      <c r="BC15" s="515"/>
      <c r="BD15" s="501"/>
      <c r="BE15" s="509"/>
      <c r="BF15" s="501"/>
      <c r="BG15" s="512"/>
      <c r="BH15" s="501"/>
      <c r="BI15" s="502"/>
      <c r="BJ15" s="501"/>
      <c r="BK15" s="516"/>
      <c r="BL15" s="517"/>
    </row>
    <row customHeight="true" ht="13.333333333333332" r="16">
      <c r="A16" s="500">
        <v>46005</v>
      </c>
      <c r="B16" s="501" t="s">
        <v>1288</v>
      </c>
      <c r="C16" s="502"/>
      <c r="D16" s="501">
        <v>54.99</v>
      </c>
      <c r="E16" s="503">
        <v>0</v>
      </c>
      <c r="F16" s="503">
        <v>0</v>
      </c>
      <c r="G16" s="503">
        <v>0</v>
      </c>
      <c r="H16" s="504">
        <f t="shared" si="11"/>
      </c>
      <c r="I16" s="503" t="s">
        <v>1282</v>
      </c>
      <c r="J16" s="505" t="s">
        <v>1282</v>
      </c>
      <c r="K16" s="501">
        <f>'意大利ERP数据'!BC15</f>
      </c>
      <c r="L16" s="501">
        <f>'意大利ERP数据'!BA15</f>
      </c>
      <c r="M16" s="501">
        <f t="shared" si="9"/>
      </c>
      <c r="N16" s="503">
        <f t="shared" si="12"/>
      </c>
      <c r="O16" s="506">
        <f t="shared" si="2"/>
      </c>
      <c r="P16" s="506">
        <f t="shared" si="5"/>
      </c>
      <c r="Q16" s="501">
        <f>'意大利ERP数据'!R15</f>
      </c>
      <c r="R16" s="501"/>
      <c r="S16" s="501">
        <f>'意大利ERP数据'!Z15</f>
      </c>
      <c r="T16" s="501">
        <v>0</v>
      </c>
      <c r="U16" s="501">
        <v>0</v>
      </c>
      <c r="V16" s="503">
        <v>1</v>
      </c>
      <c r="W16" s="501">
        <v>0</v>
      </c>
      <c r="X16" s="505">
        <v>0</v>
      </c>
      <c r="Y16" s="501"/>
      <c r="Z16" s="501"/>
      <c r="AA16" s="501"/>
      <c r="AB16" s="501"/>
      <c r="AC16" s="501"/>
      <c r="AD16" s="507">
        <v>0</v>
      </c>
      <c r="AE16" s="501">
        <v>0</v>
      </c>
      <c r="AF16" s="501">
        <v>0</v>
      </c>
      <c r="AG16" s="501">
        <v>0</v>
      </c>
      <c r="AH16" s="508">
        <v>0</v>
      </c>
      <c r="AI16" s="501">
        <v>0</v>
      </c>
      <c r="AJ16" s="509">
        <f t="shared" si="0"/>
      </c>
      <c r="AK16" s="501">
        <v>0</v>
      </c>
      <c r="AL16" s="510">
        <f t="shared" si="3"/>
      </c>
      <c r="AM16" s="511">
        <f t="shared" si="6"/>
      </c>
      <c r="AN16" s="503">
        <f t="shared" si="10"/>
      </c>
      <c r="AO16" s="512">
        <f t="shared" si="1"/>
      </c>
      <c r="AP16" s="510">
        <v>0</v>
      </c>
      <c r="AQ16" s="503">
        <f t="shared" si="4"/>
      </c>
      <c r="AR16" s="506">
        <f t="shared" si="8"/>
      </c>
      <c r="AS16" s="506">
        <v>0</v>
      </c>
      <c r="AT16" s="509"/>
      <c r="AU16" s="513"/>
      <c r="AV16" s="513"/>
      <c r="AW16" s="514"/>
      <c r="AX16" s="509"/>
      <c r="AY16" s="506"/>
      <c r="AZ16" s="506"/>
      <c r="BA16" s="506"/>
      <c r="BB16" s="505"/>
      <c r="BC16" s="515"/>
      <c r="BD16" s="501"/>
      <c r="BE16" s="509"/>
      <c r="BF16" s="501"/>
      <c r="BG16" s="512"/>
      <c r="BH16" s="501"/>
      <c r="BI16" s="502"/>
      <c r="BJ16" s="501"/>
      <c r="BK16" s="516"/>
      <c r="BL16" s="517"/>
    </row>
    <row customHeight="true" ht="13.333333333333332" r="17">
      <c r="A17" s="500">
        <v>46006</v>
      </c>
      <c r="B17" s="501" t="s">
        <v>1281</v>
      </c>
      <c r="C17" s="502"/>
      <c r="D17" s="501">
        <v>54.99</v>
      </c>
      <c r="E17" s="503">
        <v>0</v>
      </c>
      <c r="F17" s="503">
        <v>0</v>
      </c>
      <c r="G17" s="503">
        <v>0</v>
      </c>
      <c r="H17" s="504">
        <f t="shared" si="11"/>
      </c>
      <c r="I17" s="503" t="s">
        <v>1282</v>
      </c>
      <c r="J17" s="505" t="s">
        <v>1282</v>
      </c>
      <c r="K17" s="501">
        <f>'意大利ERP数据'!BC16</f>
      </c>
      <c r="L17" s="501">
        <f>'意大利ERP数据'!BA16</f>
      </c>
      <c r="M17" s="501">
        <f t="shared" si="9"/>
      </c>
      <c r="N17" s="503">
        <f t="shared" si="12"/>
      </c>
      <c r="O17" s="506">
        <f t="shared" si="2"/>
      </c>
      <c r="P17" s="506">
        <f t="shared" si="5"/>
      </c>
      <c r="Q17" s="501">
        <f>'意大利ERP数据'!R16</f>
      </c>
      <c r="R17" s="501"/>
      <c r="S17" s="501">
        <f>'意大利ERP数据'!Z16</f>
      </c>
      <c r="T17" s="501">
        <v>0</v>
      </c>
      <c r="U17" s="501">
        <v>0</v>
      </c>
      <c r="V17" s="503">
        <v>0</v>
      </c>
      <c r="W17" s="501">
        <v>0</v>
      </c>
      <c r="X17" s="505">
        <v>0</v>
      </c>
      <c r="Y17" s="501"/>
      <c r="Z17" s="501"/>
      <c r="AA17" s="501"/>
      <c r="AB17" s="501"/>
      <c r="AC17" s="501"/>
      <c r="AD17" s="507">
        <v>0</v>
      </c>
      <c r="AE17" s="501">
        <v>0</v>
      </c>
      <c r="AF17" s="501">
        <v>0</v>
      </c>
      <c r="AG17" s="501">
        <v>0</v>
      </c>
      <c r="AH17" s="508">
        <v>0</v>
      </c>
      <c r="AI17" s="501">
        <v>0</v>
      </c>
      <c r="AJ17" s="509">
        <f t="shared" si="0"/>
      </c>
      <c r="AK17" s="501">
        <v>0</v>
      </c>
      <c r="AL17" s="510">
        <f t="shared" si="3"/>
      </c>
      <c r="AM17" s="511">
        <f t="shared" si="6"/>
      </c>
      <c r="AN17" s="503">
        <f t="shared" si="10"/>
      </c>
      <c r="AO17" s="512">
        <f t="shared" si="1"/>
      </c>
      <c r="AP17" s="510">
        <v>0</v>
      </c>
      <c r="AQ17" s="503">
        <f t="shared" si="4"/>
      </c>
      <c r="AR17" s="506">
        <f t="shared" si="8"/>
      </c>
      <c r="AS17" s="506">
        <v>0</v>
      </c>
      <c r="AT17" s="509"/>
      <c r="AU17" s="513"/>
      <c r="AV17" s="513"/>
      <c r="AW17" s="514"/>
      <c r="AX17" s="509"/>
      <c r="AY17" s="506"/>
      <c r="AZ17" s="506"/>
      <c r="BA17" s="506"/>
      <c r="BB17" s="505"/>
      <c r="BC17" s="515"/>
      <c r="BD17" s="501"/>
      <c r="BE17" s="509"/>
      <c r="BF17" s="501"/>
      <c r="BG17" s="512"/>
      <c r="BH17" s="501"/>
      <c r="BI17" s="502"/>
      <c r="BJ17" s="501"/>
      <c r="BK17" s="516"/>
      <c r="BL17" s="517"/>
    </row>
    <row customHeight="true" ht="13.333333333333332" r="18">
      <c r="A18" s="500">
        <v>46007</v>
      </c>
      <c r="B18" s="501" t="s">
        <v>1283</v>
      </c>
      <c r="C18" s="502"/>
      <c r="D18" s="501">
        <v>54.99</v>
      </c>
      <c r="E18" s="503">
        <v>0</v>
      </c>
      <c r="F18" s="503">
        <v>0</v>
      </c>
      <c r="G18" s="503">
        <v>0</v>
      </c>
      <c r="H18" s="504">
        <f t="shared" si="11"/>
      </c>
      <c r="I18" s="503" t="s">
        <v>1282</v>
      </c>
      <c r="J18" s="505" t="s">
        <v>1282</v>
      </c>
      <c r="K18" s="501">
        <f>'意大利ERP数据'!BC17</f>
      </c>
      <c r="L18" s="501">
        <f>'意大利ERP数据'!BA17</f>
      </c>
      <c r="M18" s="501">
        <f t="shared" si="9"/>
      </c>
      <c r="N18" s="503">
        <f t="shared" si="12"/>
      </c>
      <c r="O18" s="506">
        <f t="shared" si="2"/>
      </c>
      <c r="P18" s="506">
        <f t="shared" si="5"/>
      </c>
      <c r="Q18" s="501">
        <f>'意大利ERP数据'!R17</f>
      </c>
      <c r="R18" s="501"/>
      <c r="S18" s="501">
        <f>'意大利ERP数据'!Z17</f>
      </c>
      <c r="T18" s="501">
        <v>0</v>
      </c>
      <c r="U18" s="501">
        <v>0</v>
      </c>
      <c r="V18" s="503">
        <v>0</v>
      </c>
      <c r="W18" s="501">
        <v>0</v>
      </c>
      <c r="X18" s="505">
        <v>0</v>
      </c>
      <c r="Y18" s="501"/>
      <c r="Z18" s="501"/>
      <c r="AA18" s="501"/>
      <c r="AB18" s="501"/>
      <c r="AC18" s="501"/>
      <c r="AD18" s="507">
        <v>0</v>
      </c>
      <c r="AE18" s="501">
        <v>0</v>
      </c>
      <c r="AF18" s="501">
        <v>0</v>
      </c>
      <c r="AG18" s="501">
        <v>0</v>
      </c>
      <c r="AH18" s="508">
        <v>0</v>
      </c>
      <c r="AI18" s="501">
        <v>0</v>
      </c>
      <c r="AJ18" s="509">
        <f t="shared" si="0"/>
      </c>
      <c r="AK18" s="501">
        <v>0</v>
      </c>
      <c r="AL18" s="510">
        <f t="shared" si="3"/>
      </c>
      <c r="AM18" s="511">
        <f t="shared" si="6"/>
      </c>
      <c r="AN18" s="503">
        <f t="shared" si="10"/>
      </c>
      <c r="AO18" s="512">
        <f t="shared" si="1"/>
      </c>
      <c r="AP18" s="510">
        <v>0</v>
      </c>
      <c r="AQ18" s="503">
        <f t="shared" si="4"/>
      </c>
      <c r="AR18" s="506">
        <f t="shared" si="8"/>
      </c>
      <c r="AS18" s="506">
        <v>0</v>
      </c>
      <c r="AT18" s="509"/>
      <c r="AU18" s="513"/>
      <c r="AV18" s="513"/>
      <c r="AW18" s="514"/>
      <c r="AX18" s="509"/>
      <c r="AY18" s="506"/>
      <c r="AZ18" s="506"/>
      <c r="BA18" s="506"/>
      <c r="BB18" s="505"/>
      <c r="BC18" s="515"/>
      <c r="BD18" s="501"/>
      <c r="BE18" s="509"/>
      <c r="BF18" s="501"/>
      <c r="BG18" s="512"/>
      <c r="BH18" s="501"/>
      <c r="BI18" s="502"/>
      <c r="BJ18" s="501"/>
      <c r="BK18" s="516"/>
      <c r="BL18" s="517"/>
    </row>
    <row customHeight="true" ht="13.333333333333332" r="19">
      <c r="A19" s="500">
        <v>46008</v>
      </c>
      <c r="B19" s="501" t="s">
        <v>1284</v>
      </c>
      <c r="C19" s="502"/>
      <c r="D19" s="501">
        <v>54.99</v>
      </c>
      <c r="E19" s="503">
        <v>0</v>
      </c>
      <c r="F19" s="503">
        <v>0</v>
      </c>
      <c r="G19" s="503">
        <v>0</v>
      </c>
      <c r="H19" s="504">
        <f t="shared" si="11"/>
      </c>
      <c r="I19" s="503" t="s">
        <v>1282</v>
      </c>
      <c r="J19" s="505" t="s">
        <v>1282</v>
      </c>
      <c r="K19" s="501">
        <f>'意大利ERP数据'!BC18</f>
      </c>
      <c r="L19" s="501">
        <f>'意大利ERP数据'!BA18</f>
      </c>
      <c r="M19" s="501">
        <f t="shared" si="9"/>
      </c>
      <c r="N19" s="503">
        <f t="shared" si="12"/>
      </c>
      <c r="O19" s="506">
        <f t="shared" si="2"/>
      </c>
      <c r="P19" s="506">
        <f t="shared" si="5"/>
      </c>
      <c r="Q19" s="501">
        <f>'意大利ERP数据'!R18</f>
      </c>
      <c r="R19" s="501"/>
      <c r="S19" s="501">
        <f>'意大利ERP数据'!Z18</f>
      </c>
      <c r="T19" s="501">
        <v>0</v>
      </c>
      <c r="U19" s="501">
        <v>0</v>
      </c>
      <c r="V19" s="503">
        <v>1</v>
      </c>
      <c r="W19" s="501">
        <v>0</v>
      </c>
      <c r="X19" s="505">
        <v>0</v>
      </c>
      <c r="Y19" s="501"/>
      <c r="Z19" s="501"/>
      <c r="AA19" s="501"/>
      <c r="AB19" s="501"/>
      <c r="AC19" s="501"/>
      <c r="AD19" s="507">
        <v>0</v>
      </c>
      <c r="AE19" s="501">
        <v>0</v>
      </c>
      <c r="AF19" s="501">
        <v>0</v>
      </c>
      <c r="AG19" s="501">
        <v>0</v>
      </c>
      <c r="AH19" s="508">
        <v>0</v>
      </c>
      <c r="AI19" s="501">
        <v>0</v>
      </c>
      <c r="AJ19" s="509">
        <f t="shared" si="0"/>
      </c>
      <c r="AK19" s="501">
        <v>0</v>
      </c>
      <c r="AL19" s="510">
        <f t="shared" si="3"/>
      </c>
      <c r="AM19" s="511">
        <f t="shared" si="6"/>
      </c>
      <c r="AN19" s="503">
        <f t="shared" si="10"/>
      </c>
      <c r="AO19" s="512">
        <f t="shared" si="1"/>
      </c>
      <c r="AP19" s="510">
        <v>0</v>
      </c>
      <c r="AQ19" s="503">
        <f t="shared" si="4"/>
      </c>
      <c r="AR19" s="506">
        <f t="shared" si="8"/>
      </c>
      <c r="AS19" s="506">
        <v>0</v>
      </c>
      <c r="AT19" s="509"/>
      <c r="AU19" s="513"/>
      <c r="AV19" s="513"/>
      <c r="AW19" s="514"/>
      <c r="AX19" s="509"/>
      <c r="AY19" s="506"/>
      <c r="AZ19" s="506"/>
      <c r="BA19" s="506"/>
      <c r="BB19" s="505"/>
      <c r="BC19" s="515"/>
      <c r="BD19" s="501"/>
      <c r="BE19" s="509"/>
      <c r="BF19" s="501"/>
      <c r="BG19" s="512"/>
      <c r="BH19" s="501"/>
      <c r="BI19" s="502"/>
      <c r="BJ19" s="501"/>
      <c r="BK19" s="516"/>
      <c r="BL19" s="517"/>
    </row>
    <row customHeight="true" ht="13.333333333333332" r="20">
      <c r="A20" s="500">
        <v>46009</v>
      </c>
      <c r="B20" s="501" t="s">
        <v>1285</v>
      </c>
      <c r="C20" s="502"/>
      <c r="D20" s="501">
        <v>54.99</v>
      </c>
      <c r="E20" s="503">
        <v>0</v>
      </c>
      <c r="F20" s="503">
        <v>0</v>
      </c>
      <c r="G20" s="503">
        <v>0</v>
      </c>
      <c r="H20" s="504">
        <f t="shared" si="11"/>
      </c>
      <c r="I20" s="503" t="s">
        <v>1282</v>
      </c>
      <c r="J20" s="505" t="s">
        <v>1282</v>
      </c>
      <c r="K20" s="501">
        <f>'意大利ERP数据'!BC19</f>
      </c>
      <c r="L20" s="501">
        <f>'意大利ERP数据'!BA19</f>
      </c>
      <c r="M20" s="501">
        <f t="shared" si="9"/>
      </c>
      <c r="N20" s="503">
        <f t="shared" si="12"/>
      </c>
      <c r="O20" s="506">
        <f t="shared" si="2"/>
      </c>
      <c r="P20" s="506">
        <f t="shared" si="5"/>
      </c>
      <c r="Q20" s="501">
        <f>'意大利ERP数据'!R19</f>
      </c>
      <c r="R20" s="501"/>
      <c r="S20" s="501">
        <f>'意大利ERP数据'!Z19</f>
      </c>
      <c r="T20" s="501">
        <v>0</v>
      </c>
      <c r="U20" s="501">
        <v>0</v>
      </c>
      <c r="V20" s="503">
        <v>1</v>
      </c>
      <c r="W20" s="501">
        <v>0</v>
      </c>
      <c r="X20" s="505">
        <v>0</v>
      </c>
      <c r="Y20" s="501"/>
      <c r="Z20" s="501"/>
      <c r="AA20" s="501"/>
      <c r="AB20" s="501"/>
      <c r="AC20" s="501"/>
      <c r="AD20" s="507">
        <v>0</v>
      </c>
      <c r="AE20" s="501">
        <v>0</v>
      </c>
      <c r="AF20" s="501">
        <v>0</v>
      </c>
      <c r="AG20" s="501">
        <v>0</v>
      </c>
      <c r="AH20" s="508">
        <v>0</v>
      </c>
      <c r="AI20" s="501">
        <v>0</v>
      </c>
      <c r="AJ20" s="509">
        <f t="shared" si="0"/>
      </c>
      <c r="AK20" s="501">
        <v>0</v>
      </c>
      <c r="AL20" s="510">
        <f t="shared" si="3"/>
      </c>
      <c r="AM20" s="511">
        <f t="shared" si="6"/>
      </c>
      <c r="AN20" s="503">
        <f t="shared" si="10"/>
      </c>
      <c r="AO20" s="512">
        <f t="shared" si="1"/>
      </c>
      <c r="AP20" s="510">
        <v>0</v>
      </c>
      <c r="AQ20" s="503">
        <f t="shared" si="4"/>
      </c>
      <c r="AR20" s="506">
        <f t="shared" si="8"/>
      </c>
      <c r="AS20" s="506">
        <v>0</v>
      </c>
      <c r="AT20" s="509"/>
      <c r="AU20" s="513"/>
      <c r="AV20" s="513"/>
      <c r="AW20" s="514"/>
      <c r="AX20" s="509"/>
      <c r="AY20" s="506"/>
      <c r="AZ20" s="506"/>
      <c r="BA20" s="506"/>
      <c r="BB20" s="505"/>
      <c r="BC20" s="515"/>
      <c r="BD20" s="501"/>
      <c r="BE20" s="509"/>
      <c r="BF20" s="501"/>
      <c r="BG20" s="512"/>
      <c r="BH20" s="501"/>
      <c r="BI20" s="502"/>
      <c r="BJ20" s="501"/>
      <c r="BK20" s="516"/>
      <c r="BL20" s="517"/>
    </row>
    <row customHeight="true" ht="13.333333333333332" r="21">
      <c r="A21" s="500">
        <v>46010</v>
      </c>
      <c r="B21" s="501" t="s">
        <v>1286</v>
      </c>
      <c r="C21" s="502"/>
      <c r="D21" s="501">
        <v>54.99</v>
      </c>
      <c r="E21" s="503">
        <v>0</v>
      </c>
      <c r="F21" s="503">
        <v>0</v>
      </c>
      <c r="G21" s="503">
        <v>0</v>
      </c>
      <c r="H21" s="504">
        <f t="shared" si="11"/>
      </c>
      <c r="I21" s="503" t="s">
        <v>1282</v>
      </c>
      <c r="J21" s="505" t="s">
        <v>1282</v>
      </c>
      <c r="K21" s="501">
        <f>'意大利ERP数据'!BC20</f>
      </c>
      <c r="L21" s="501">
        <f>'意大利ERP数据'!BA20</f>
      </c>
      <c r="M21" s="501">
        <f t="shared" si="9"/>
      </c>
      <c r="N21" s="503">
        <f t="shared" si="12"/>
      </c>
      <c r="O21" s="506">
        <f t="shared" si="2"/>
      </c>
      <c r="P21" s="506">
        <f t="shared" si="5"/>
      </c>
      <c r="Q21" s="501">
        <f>'意大利ERP数据'!R20</f>
      </c>
      <c r="R21" s="501"/>
      <c r="S21" s="501">
        <f>'意大利ERP数据'!Z20</f>
      </c>
      <c r="T21" s="501">
        <v>0</v>
      </c>
      <c r="U21" s="501">
        <v>0</v>
      </c>
      <c r="V21" s="503">
        <v>1</v>
      </c>
      <c r="W21" s="501">
        <v>0</v>
      </c>
      <c r="X21" s="505">
        <v>0</v>
      </c>
      <c r="Y21" s="501"/>
      <c r="Z21" s="501"/>
      <c r="AA21" s="501"/>
      <c r="AB21" s="501"/>
      <c r="AC21" s="501"/>
      <c r="AD21" s="507">
        <v>0</v>
      </c>
      <c r="AE21" s="501">
        <v>0</v>
      </c>
      <c r="AF21" s="501">
        <v>0</v>
      </c>
      <c r="AG21" s="501">
        <v>0</v>
      </c>
      <c r="AH21" s="508">
        <v>0</v>
      </c>
      <c r="AI21" s="501">
        <v>0</v>
      </c>
      <c r="AJ21" s="509">
        <f t="shared" si="0"/>
      </c>
      <c r="AK21" s="501">
        <v>0</v>
      </c>
      <c r="AL21" s="510">
        <f t="shared" si="3"/>
      </c>
      <c r="AM21" s="511">
        <f t="shared" si="6"/>
      </c>
      <c r="AN21" s="503">
        <f t="shared" si="10"/>
      </c>
      <c r="AO21" s="512">
        <f t="shared" si="1"/>
      </c>
      <c r="AP21" s="510">
        <v>0</v>
      </c>
      <c r="AQ21" s="503">
        <f t="shared" si="4"/>
      </c>
      <c r="AR21" s="506">
        <f t="shared" si="8"/>
      </c>
      <c r="AS21" s="506">
        <v>0</v>
      </c>
      <c r="AT21" s="509"/>
      <c r="AU21" s="513"/>
      <c r="AV21" s="513"/>
      <c r="AW21" s="514"/>
      <c r="AX21" s="509"/>
      <c r="AY21" s="506"/>
      <c r="AZ21" s="506"/>
      <c r="BA21" s="506"/>
      <c r="BB21" s="505"/>
      <c r="BC21" s="515"/>
      <c r="BD21" s="501"/>
      <c r="BE21" s="509"/>
      <c r="BF21" s="501"/>
      <c r="BG21" s="512"/>
      <c r="BH21" s="501"/>
      <c r="BI21" s="502"/>
      <c r="BJ21" s="501"/>
      <c r="BK21" s="516"/>
      <c r="BL21" s="517"/>
    </row>
    <row customHeight="true" ht="13.333333333333332" r="22">
      <c r="A22" s="500">
        <v>46011</v>
      </c>
      <c r="B22" s="501" t="s">
        <v>1287</v>
      </c>
      <c r="C22" s="502"/>
      <c r="D22" s="501">
        <v>54.99</v>
      </c>
      <c r="E22" s="503">
        <v>0</v>
      </c>
      <c r="F22" s="503">
        <v>0</v>
      </c>
      <c r="G22" s="503">
        <v>0</v>
      </c>
      <c r="H22" s="504">
        <f t="shared" si="11"/>
      </c>
      <c r="I22" s="503" t="s">
        <v>1282</v>
      </c>
      <c r="J22" s="505" t="s">
        <v>1282</v>
      </c>
      <c r="K22" s="501">
        <f>'意大利ERP数据'!BC21</f>
      </c>
      <c r="L22" s="501">
        <f>'意大利ERP数据'!BA21</f>
      </c>
      <c r="M22" s="501">
        <f t="shared" si="9"/>
      </c>
      <c r="N22" s="503">
        <f t="shared" si="12"/>
      </c>
      <c r="O22" s="506">
        <f t="shared" si="2"/>
      </c>
      <c r="P22" s="506">
        <f t="shared" si="5"/>
      </c>
      <c r="Q22" s="501">
        <f>'意大利ERP数据'!R21</f>
      </c>
      <c r="R22" s="501"/>
      <c r="S22" s="501">
        <f>'意大利ERP数据'!Z21</f>
      </c>
      <c r="T22" s="501">
        <v>0</v>
      </c>
      <c r="U22" s="501">
        <v>0</v>
      </c>
      <c r="V22" s="503">
        <v>1</v>
      </c>
      <c r="W22" s="501">
        <v>0</v>
      </c>
      <c r="X22" s="505">
        <v>0</v>
      </c>
      <c r="Y22" s="501"/>
      <c r="Z22" s="501"/>
      <c r="AA22" s="501"/>
      <c r="AB22" s="501"/>
      <c r="AC22" s="501"/>
      <c r="AD22" s="507">
        <v>0</v>
      </c>
      <c r="AE22" s="501">
        <v>0</v>
      </c>
      <c r="AF22" s="501">
        <v>0</v>
      </c>
      <c r="AG22" s="501">
        <v>0</v>
      </c>
      <c r="AH22" s="508">
        <v>0</v>
      </c>
      <c r="AI22" s="501">
        <v>0</v>
      </c>
      <c r="AJ22" s="509">
        <f t="shared" si="0"/>
      </c>
      <c r="AK22" s="501">
        <v>0</v>
      </c>
      <c r="AL22" s="510">
        <f t="shared" si="3"/>
      </c>
      <c r="AM22" s="511">
        <f t="shared" si="6"/>
      </c>
      <c r="AN22" s="503">
        <f t="shared" si="10"/>
      </c>
      <c r="AO22" s="512">
        <f t="shared" si="1"/>
      </c>
      <c r="AP22" s="510">
        <v>0</v>
      </c>
      <c r="AQ22" s="503">
        <f t="shared" si="4"/>
      </c>
      <c r="AR22" s="506">
        <f t="shared" si="8"/>
      </c>
      <c r="AS22" s="506">
        <v>0</v>
      </c>
      <c r="AT22" s="509"/>
      <c r="AU22" s="513"/>
      <c r="AV22" s="513"/>
      <c r="AW22" s="514"/>
      <c r="AX22" s="509"/>
      <c r="AY22" s="506"/>
      <c r="AZ22" s="506"/>
      <c r="BA22" s="506"/>
      <c r="BB22" s="505"/>
      <c r="BC22" s="515"/>
      <c r="BD22" s="501"/>
      <c r="BE22" s="509"/>
      <c r="BF22" s="501"/>
      <c r="BG22" s="512"/>
      <c r="BH22" s="501"/>
      <c r="BI22" s="502"/>
      <c r="BJ22" s="501"/>
      <c r="BK22" s="516"/>
      <c r="BL22" s="517"/>
    </row>
    <row customHeight="true" ht="13.333333333333332" r="23">
      <c r="A23" s="500">
        <v>46012</v>
      </c>
      <c r="B23" s="501" t="s">
        <v>1288</v>
      </c>
      <c r="C23" s="502"/>
      <c r="D23" s="501">
        <v>54.99</v>
      </c>
      <c r="E23" s="503">
        <v>0</v>
      </c>
      <c r="F23" s="503">
        <v>0</v>
      </c>
      <c r="G23" s="503">
        <v>0</v>
      </c>
      <c r="H23" s="504">
        <f t="shared" si="11"/>
      </c>
      <c r="I23" s="503" t="s">
        <v>1282</v>
      </c>
      <c r="J23" s="505" t="s">
        <v>1282</v>
      </c>
      <c r="K23" s="501">
        <f>'意大利ERP数据'!BC22</f>
      </c>
      <c r="L23" s="501">
        <f>'意大利ERP数据'!BA22</f>
      </c>
      <c r="M23" s="501">
        <f t="shared" si="9"/>
      </c>
      <c r="N23" s="503">
        <f t="shared" si="12"/>
      </c>
      <c r="O23" s="506">
        <f t="shared" si="2"/>
      </c>
      <c r="P23" s="506">
        <f t="shared" si="5"/>
      </c>
      <c r="Q23" s="501">
        <f>'意大利ERP数据'!R22</f>
      </c>
      <c r="R23" s="501"/>
      <c r="S23" s="501">
        <f>'意大利ERP数据'!Z22</f>
      </c>
      <c r="T23" s="501">
        <v>0</v>
      </c>
      <c r="U23" s="501">
        <v>0</v>
      </c>
      <c r="V23" s="503">
        <v>1</v>
      </c>
      <c r="W23" s="501">
        <v>0</v>
      </c>
      <c r="X23" s="505">
        <v>0</v>
      </c>
      <c r="Y23" s="501"/>
      <c r="Z23" s="501"/>
      <c r="AA23" s="501"/>
      <c r="AB23" s="501"/>
      <c r="AC23" s="501"/>
      <c r="AD23" s="507">
        <v>0</v>
      </c>
      <c r="AE23" s="501">
        <v>0</v>
      </c>
      <c r="AF23" s="501">
        <v>0</v>
      </c>
      <c r="AG23" s="501">
        <v>0</v>
      </c>
      <c r="AH23" s="508">
        <v>4194</v>
      </c>
      <c r="AI23" s="501">
        <v>13</v>
      </c>
      <c r="AJ23" s="509">
        <f t="shared" si="0"/>
      </c>
      <c r="AK23" s="501">
        <v>1</v>
      </c>
      <c r="AL23" s="510">
        <f t="shared" si="3"/>
      </c>
      <c r="AM23" s="511">
        <f t="shared" si="6"/>
      </c>
      <c r="AN23" s="503">
        <f t="shared" si="10"/>
      </c>
      <c r="AO23" s="512">
        <f t="shared" si="1"/>
      </c>
      <c r="AP23" s="510">
        <v>12.63</v>
      </c>
      <c r="AQ23" s="503">
        <f t="shared" si="4"/>
      </c>
      <c r="AR23" s="506">
        <f t="shared" si="8"/>
      </c>
      <c r="AS23" s="506">
        <v>73.43</v>
      </c>
      <c r="AT23" s="509"/>
      <c r="AU23" s="513"/>
      <c r="AV23" s="513"/>
      <c r="AW23" s="514"/>
      <c r="AX23" s="509"/>
      <c r="AY23" s="506"/>
      <c r="AZ23" s="506"/>
      <c r="BA23" s="506"/>
      <c r="BB23" s="505"/>
      <c r="BC23" s="515"/>
      <c r="BD23" s="501"/>
      <c r="BE23" s="509"/>
      <c r="BF23" s="501"/>
      <c r="BG23" s="512"/>
      <c r="BH23" s="501"/>
      <c r="BI23" s="502"/>
      <c r="BJ23" s="501"/>
      <c r="BK23" s="516"/>
      <c r="BL23" s="517"/>
    </row>
    <row customHeight="true" ht="13.333333333333332" r="24">
      <c r="A24" s="500">
        <v>46013</v>
      </c>
      <c r="B24" s="501" t="s">
        <v>1281</v>
      </c>
      <c r="C24" s="502"/>
      <c r="D24" s="501">
        <v>54.99</v>
      </c>
      <c r="E24" s="503">
        <v>0</v>
      </c>
      <c r="F24" s="503">
        <v>0</v>
      </c>
      <c r="G24" s="503">
        <v>0</v>
      </c>
      <c r="H24" s="504">
        <f t="shared" si="11"/>
      </c>
      <c r="I24" s="503" t="s">
        <v>1282</v>
      </c>
      <c r="J24" s="505" t="s">
        <v>1282</v>
      </c>
      <c r="K24" s="501">
        <f>'意大利ERP数据'!BC23</f>
      </c>
      <c r="L24" s="501">
        <f>'意大利ERP数据'!BA23</f>
      </c>
      <c r="M24" s="501">
        <f t="shared" si="9"/>
      </c>
      <c r="N24" s="503">
        <f t="shared" si="12"/>
      </c>
      <c r="O24" s="506">
        <f t="shared" si="2"/>
      </c>
      <c r="P24" s="506">
        <f t="shared" si="5"/>
      </c>
      <c r="Q24" s="501">
        <f>'意大利ERP数据'!R23</f>
      </c>
      <c r="R24" s="501"/>
      <c r="S24" s="501">
        <f>'意大利ERP数据'!Z23</f>
      </c>
      <c r="T24" s="501">
        <v>0</v>
      </c>
      <c r="U24" s="501">
        <v>0</v>
      </c>
      <c r="V24" s="503">
        <v>1</v>
      </c>
      <c r="W24" s="501">
        <v>0</v>
      </c>
      <c r="X24" s="505">
        <v>0</v>
      </c>
      <c r="Y24" s="501"/>
      <c r="Z24" s="501"/>
      <c r="AA24" s="501"/>
      <c r="AB24" s="501"/>
      <c r="AC24" s="501"/>
      <c r="AD24" s="507">
        <v>0</v>
      </c>
      <c r="AE24" s="501">
        <v>0</v>
      </c>
      <c r="AF24" s="501">
        <v>0</v>
      </c>
      <c r="AG24" s="501">
        <v>0</v>
      </c>
      <c r="AH24" s="508">
        <v>3973</v>
      </c>
      <c r="AI24" s="501">
        <v>25</v>
      </c>
      <c r="AJ24" s="509">
        <f t="shared" si="0"/>
      </c>
      <c r="AK24" s="501">
        <v>0</v>
      </c>
      <c r="AL24" s="510">
        <f t="shared" si="3"/>
      </c>
      <c r="AM24" s="511">
        <f>0</f>
      </c>
      <c r="AN24" s="503">
        <f t="shared" si="10"/>
      </c>
      <c r="AO24" s="512">
        <f t="shared" si="1"/>
      </c>
      <c r="AP24" s="510">
        <v>27.01</v>
      </c>
      <c r="AQ24" s="503">
        <f t="shared" si="4"/>
      </c>
      <c r="AR24" s="506">
        <f t="shared" si="8"/>
      </c>
      <c r="AS24" s="506">
        <v>0</v>
      </c>
      <c r="AT24" s="509"/>
      <c r="AU24" s="513"/>
      <c r="AV24" s="513"/>
      <c r="AW24" s="514"/>
      <c r="AX24" s="509"/>
      <c r="AY24" s="506"/>
      <c r="AZ24" s="506"/>
      <c r="BA24" s="506"/>
      <c r="BB24" s="505"/>
      <c r="BC24" s="515"/>
      <c r="BD24" s="501"/>
      <c r="BE24" s="509"/>
      <c r="BF24" s="501"/>
      <c r="BG24" s="512"/>
      <c r="BH24" s="501"/>
      <c r="BI24" s="502"/>
      <c r="BJ24" s="501"/>
      <c r="BK24" s="516"/>
      <c r="BL24" s="517"/>
    </row>
    <row customHeight="true" ht="13.333333333333332" r="25">
      <c r="A25" s="500">
        <v>46014</v>
      </c>
      <c r="B25" s="501" t="s">
        <v>1283</v>
      </c>
      <c r="C25" s="502"/>
      <c r="D25" s="501">
        <v>54.99</v>
      </c>
      <c r="E25" s="503">
        <v>0</v>
      </c>
      <c r="F25" s="503">
        <v>0</v>
      </c>
      <c r="G25" s="503">
        <v>0</v>
      </c>
      <c r="H25" s="504">
        <f t="shared" si="11"/>
      </c>
      <c r="I25" s="503" t="s">
        <v>1282</v>
      </c>
      <c r="J25" s="505" t="s">
        <v>1282</v>
      </c>
      <c r="K25" s="501">
        <f>'意大利ERP数据'!BC24</f>
      </c>
      <c r="L25" s="501">
        <f>'意大利ERP数据'!BA24</f>
      </c>
      <c r="M25" s="501">
        <f t="shared" si="9"/>
      </c>
      <c r="N25" s="503">
        <f t="shared" si="12"/>
      </c>
      <c r="O25" s="506">
        <f t="shared" si="2"/>
      </c>
      <c r="P25" s="506">
        <f t="shared" si="5"/>
      </c>
      <c r="Q25" s="501">
        <f>'意大利ERP数据'!R24</f>
      </c>
      <c r="R25" s="501"/>
      <c r="S25" s="501">
        <f>'意大利ERP数据'!Z24</f>
      </c>
      <c r="T25" s="501">
        <v>0</v>
      </c>
      <c r="U25" s="501">
        <v>0</v>
      </c>
      <c r="V25" s="503">
        <v>1</v>
      </c>
      <c r="W25" s="501">
        <v>0</v>
      </c>
      <c r="X25" s="505">
        <v>0</v>
      </c>
      <c r="Y25" s="501"/>
      <c r="Z25" s="501"/>
      <c r="AA25" s="501"/>
      <c r="AB25" s="501"/>
      <c r="AC25" s="501"/>
      <c r="AD25" s="507">
        <v>0</v>
      </c>
      <c r="AE25" s="501">
        <v>0</v>
      </c>
      <c r="AF25" s="501">
        <v>0</v>
      </c>
      <c r="AG25" s="501">
        <v>0</v>
      </c>
      <c r="AH25" s="508">
        <v>3425</v>
      </c>
      <c r="AI25" s="501">
        <v>19</v>
      </c>
      <c r="AJ25" s="509">
        <f t="shared" si="0"/>
      </c>
      <c r="AK25" s="501">
        <v>2</v>
      </c>
      <c r="AL25" s="510">
        <f t="shared" si="3"/>
      </c>
      <c r="AM25" s="511">
        <f t="shared" ref="AM25:AM47" si="7">AP25/AS25</f>
      </c>
      <c r="AN25" s="503">
        <f t="shared" si="10"/>
      </c>
      <c r="AO25" s="512">
        <f t="shared" si="1"/>
      </c>
      <c r="AP25" s="510">
        <v>22.53</v>
      </c>
      <c r="AQ25" s="503">
        <f t="shared" si="4"/>
      </c>
      <c r="AR25" s="506">
        <f t="shared" si="8"/>
      </c>
      <c r="AS25" s="506">
        <v>146.86</v>
      </c>
      <c r="AT25" s="509"/>
      <c r="AU25" s="513"/>
      <c r="AV25" s="513"/>
      <c r="AW25" s="514"/>
      <c r="AX25" s="509"/>
      <c r="AY25" s="506"/>
      <c r="AZ25" s="506"/>
      <c r="BA25" s="506"/>
      <c r="BB25" s="505"/>
      <c r="BC25" s="515"/>
      <c r="BD25" s="501"/>
      <c r="BE25" s="509"/>
      <c r="BF25" s="501"/>
      <c r="BG25" s="512"/>
      <c r="BH25" s="501"/>
      <c r="BI25" s="502"/>
      <c r="BJ25" s="501"/>
      <c r="BK25" s="516"/>
      <c r="BL25" s="517"/>
    </row>
    <row customHeight="true" ht="13.333333333333332" r="26">
      <c r="A26" s="500">
        <v>46015</v>
      </c>
      <c r="B26" s="501" t="s">
        <v>1284</v>
      </c>
      <c r="C26" s="502"/>
      <c r="D26" s="501">
        <v>54.99</v>
      </c>
      <c r="E26" s="503">
        <v>0</v>
      </c>
      <c r="F26" s="503">
        <v>0</v>
      </c>
      <c r="G26" s="503">
        <v>0</v>
      </c>
      <c r="H26" s="504">
        <f t="shared" si="11"/>
      </c>
      <c r="I26" s="503" t="s">
        <v>1282</v>
      </c>
      <c r="J26" s="505" t="s">
        <v>1282</v>
      </c>
      <c r="K26" s="501">
        <f>'意大利ERP数据'!BC25</f>
      </c>
      <c r="L26" s="501">
        <f>'意大利ERP数据'!BA25</f>
      </c>
      <c r="M26" s="501">
        <f t="shared" si="9"/>
      </c>
      <c r="N26" s="503">
        <f t="shared" si="12"/>
      </c>
      <c r="O26" s="506">
        <f t="shared" si="2"/>
      </c>
      <c r="P26" s="506">
        <f t="shared" si="5"/>
      </c>
      <c r="Q26" s="501">
        <f>'意大利ERP数据'!R25</f>
      </c>
      <c r="R26" s="501"/>
      <c r="S26" s="501">
        <f>'意大利ERP数据'!Z25</f>
      </c>
      <c r="T26" s="501">
        <v>0</v>
      </c>
      <c r="U26" s="501">
        <v>0</v>
      </c>
      <c r="V26" s="503">
        <v>1</v>
      </c>
      <c r="W26" s="501">
        <v>0</v>
      </c>
      <c r="X26" s="505">
        <v>0</v>
      </c>
      <c r="Y26" s="501"/>
      <c r="Z26" s="501"/>
      <c r="AA26" s="501"/>
      <c r="AB26" s="501"/>
      <c r="AC26" s="501"/>
      <c r="AD26" s="507">
        <v>0</v>
      </c>
      <c r="AE26" s="501">
        <v>0</v>
      </c>
      <c r="AF26" s="501">
        <v>0</v>
      </c>
      <c r="AG26" s="501">
        <v>0</v>
      </c>
      <c r="AH26" s="508">
        <v>5162</v>
      </c>
      <c r="AI26" s="501">
        <v>26</v>
      </c>
      <c r="AJ26" s="509">
        <f t="shared" si="0"/>
      </c>
      <c r="AK26" s="501">
        <v>1</v>
      </c>
      <c r="AL26" s="510">
        <f t="shared" si="3"/>
      </c>
      <c r="AM26" s="511">
        <f t="shared" si="7"/>
      </c>
      <c r="AN26" s="503">
        <f t="shared" si="10"/>
      </c>
      <c r="AO26" s="512">
        <f t="shared" si="1"/>
      </c>
      <c r="AP26" s="510">
        <v>36.83</v>
      </c>
      <c r="AQ26" s="503">
        <f t="shared" si="4"/>
      </c>
      <c r="AR26" s="506">
        <f t="shared" si="8"/>
      </c>
      <c r="AS26" s="506">
        <v>73.43</v>
      </c>
      <c r="AT26" s="509"/>
      <c r="AU26" s="513"/>
      <c r="AV26" s="513"/>
      <c r="AW26" s="514"/>
      <c r="AX26" s="509"/>
      <c r="AY26" s="506"/>
      <c r="AZ26" s="506"/>
      <c r="BA26" s="506"/>
      <c r="BB26" s="505"/>
      <c r="BC26" s="515"/>
      <c r="BD26" s="501"/>
      <c r="BE26" s="509"/>
      <c r="BF26" s="501"/>
      <c r="BG26" s="512"/>
      <c r="BH26" s="501"/>
      <c r="BI26" s="502"/>
      <c r="BJ26" s="501"/>
      <c r="BK26" s="516"/>
      <c r="BL26" s="517"/>
    </row>
    <row customHeight="true" ht="13.333333333333332" r="27">
      <c r="A27" s="500">
        <v>46016</v>
      </c>
      <c r="B27" s="501" t="s">
        <v>1285</v>
      </c>
      <c r="C27" s="502"/>
      <c r="D27" s="501">
        <v>54.99</v>
      </c>
      <c r="E27" s="503">
        <v>0</v>
      </c>
      <c r="F27" s="503">
        <v>0</v>
      </c>
      <c r="G27" s="503">
        <v>0</v>
      </c>
      <c r="H27" s="504">
        <f t="shared" si="11"/>
      </c>
      <c r="I27" s="503" t="s">
        <v>1282</v>
      </c>
      <c r="J27" s="505" t="s">
        <v>1282</v>
      </c>
      <c r="K27" s="501">
        <f>'意大利ERP数据'!BC26</f>
      </c>
      <c r="L27" s="501">
        <f>'意大利ERP数据'!BA26</f>
      </c>
      <c r="M27" s="501">
        <f t="shared" si="9"/>
      </c>
      <c r="N27" s="503">
        <f t="shared" si="12"/>
      </c>
      <c r="O27" s="506">
        <f t="shared" si="2"/>
      </c>
      <c r="P27" s="506">
        <f t="shared" si="5"/>
      </c>
      <c r="Q27" s="501">
        <f>'意大利ERP数据'!R26</f>
      </c>
      <c r="R27" s="501"/>
      <c r="S27" s="501">
        <f>'意大利ERP数据'!Z26</f>
      </c>
      <c r="T27" s="501">
        <v>0</v>
      </c>
      <c r="U27" s="501">
        <v>0</v>
      </c>
      <c r="V27" s="503">
        <v>1</v>
      </c>
      <c r="W27" s="501">
        <v>0</v>
      </c>
      <c r="X27" s="505">
        <v>0</v>
      </c>
      <c r="Y27" s="501"/>
      <c r="Z27" s="501"/>
      <c r="AA27" s="501"/>
      <c r="AB27" s="501"/>
      <c r="AC27" s="501"/>
      <c r="AD27" s="507">
        <v>0</v>
      </c>
      <c r="AE27" s="501">
        <v>0</v>
      </c>
      <c r="AF27" s="501">
        <v>0</v>
      </c>
      <c r="AG27" s="501">
        <v>0</v>
      </c>
      <c r="AH27" s="508">
        <v>4557</v>
      </c>
      <c r="AI27" s="501">
        <v>44</v>
      </c>
      <c r="AJ27" s="509">
        <f t="shared" si="0"/>
      </c>
      <c r="AK27" s="501">
        <v>1</v>
      </c>
      <c r="AL27" s="510">
        <f t="shared" si="3"/>
      </c>
      <c r="AM27" s="511">
        <f t="shared" si="7"/>
      </c>
      <c r="AN27" s="503">
        <f t="shared" si="10"/>
      </c>
      <c r="AO27" s="512">
        <f t="shared" si="1"/>
      </c>
      <c r="AP27" s="510">
        <v>71.92</v>
      </c>
      <c r="AQ27" s="503">
        <f t="shared" si="4"/>
      </c>
      <c r="AR27" s="506">
        <f t="shared" si="8"/>
      </c>
      <c r="AS27" s="506">
        <v>73.43</v>
      </c>
      <c r="AT27" s="509"/>
      <c r="AU27" s="513"/>
      <c r="AV27" s="513"/>
      <c r="AW27" s="514"/>
      <c r="AX27" s="509"/>
      <c r="AY27" s="506"/>
      <c r="AZ27" s="506"/>
      <c r="BA27" s="506"/>
      <c r="BB27" s="505"/>
      <c r="BC27" s="515"/>
      <c r="BD27" s="501"/>
      <c r="BE27" s="509"/>
      <c r="BF27" s="501"/>
      <c r="BG27" s="512"/>
      <c r="BH27" s="501"/>
      <c r="BI27" s="502"/>
      <c r="BJ27" s="501"/>
      <c r="BK27" s="516"/>
      <c r="BL27" s="517"/>
    </row>
    <row customHeight="true" ht="13.333333333333332" r="28">
      <c r="A28" s="500">
        <v>46017</v>
      </c>
      <c r="B28" s="501" t="s">
        <v>1286</v>
      </c>
      <c r="C28" s="502"/>
      <c r="D28" s="501">
        <v>54.99</v>
      </c>
      <c r="E28" s="503">
        <v>0</v>
      </c>
      <c r="F28" s="503">
        <v>0</v>
      </c>
      <c r="G28" s="503">
        <v>0</v>
      </c>
      <c r="H28" s="504">
        <f t="shared" si="11"/>
      </c>
      <c r="I28" s="503" t="s">
        <v>1282</v>
      </c>
      <c r="J28" s="505" t="s">
        <v>1282</v>
      </c>
      <c r="K28" s="501">
        <f>'意大利ERP数据'!BC27</f>
      </c>
      <c r="L28" s="501">
        <f>'意大利ERP数据'!BA27</f>
      </c>
      <c r="M28" s="501">
        <f t="shared" si="9"/>
      </c>
      <c r="N28" s="503">
        <f t="shared" si="12"/>
      </c>
      <c r="O28" s="506">
        <f t="shared" si="2"/>
      </c>
      <c r="P28" s="506">
        <f t="shared" si="5"/>
      </c>
      <c r="Q28" s="501">
        <f>'意大利ERP数据'!R27</f>
      </c>
      <c r="R28" s="501"/>
      <c r="S28" s="501">
        <f>'意大利ERP数据'!Z27</f>
      </c>
      <c r="T28" s="501">
        <v>0</v>
      </c>
      <c r="U28" s="501">
        <v>0</v>
      </c>
      <c r="V28" s="503">
        <v>1</v>
      </c>
      <c r="W28" s="501">
        <v>0</v>
      </c>
      <c r="X28" s="505">
        <v>0</v>
      </c>
      <c r="Y28" s="501"/>
      <c r="Z28" s="501"/>
      <c r="AA28" s="501"/>
      <c r="AB28" s="501"/>
      <c r="AC28" s="501"/>
      <c r="AD28" s="507">
        <v>0</v>
      </c>
      <c r="AE28" s="501">
        <v>0</v>
      </c>
      <c r="AF28" s="501">
        <v>0</v>
      </c>
      <c r="AG28" s="501">
        <v>0</v>
      </c>
      <c r="AH28" s="508">
        <v>6389</v>
      </c>
      <c r="AI28" s="501">
        <v>59</v>
      </c>
      <c r="AJ28" s="509">
        <f t="shared" si="0"/>
      </c>
      <c r="AK28" s="501">
        <v>4</v>
      </c>
      <c r="AL28" s="510">
        <f t="shared" si="3"/>
      </c>
      <c r="AM28" s="511">
        <f t="shared" si="7"/>
      </c>
      <c r="AN28" s="503">
        <f t="shared" si="10"/>
      </c>
      <c r="AO28" s="512">
        <f t="shared" si="1"/>
      </c>
      <c r="AP28" s="510">
        <v>99.1</v>
      </c>
      <c r="AQ28" s="503">
        <f t="shared" si="4"/>
      </c>
      <c r="AR28" s="506">
        <f t="shared" si="8"/>
      </c>
      <c r="AS28" s="506">
        <v>293.72</v>
      </c>
      <c r="AT28" s="509"/>
      <c r="AU28" s="513"/>
      <c r="AV28" s="513"/>
      <c r="AW28" s="514"/>
      <c r="AX28" s="509"/>
      <c r="AY28" s="506"/>
      <c r="AZ28" s="506"/>
      <c r="BA28" s="506"/>
      <c r="BB28" s="505"/>
      <c r="BC28" s="515"/>
      <c r="BD28" s="501"/>
      <c r="BE28" s="509"/>
      <c r="BF28" s="501"/>
      <c r="BG28" s="512"/>
      <c r="BH28" s="501"/>
      <c r="BI28" s="502"/>
      <c r="BJ28" s="501"/>
      <c r="BK28" s="516"/>
      <c r="BL28" s="517"/>
    </row>
    <row customHeight="true" ht="13.333333333333332" r="29">
      <c r="A29" s="500">
        <v>46018</v>
      </c>
      <c r="B29" s="501" t="s">
        <v>1287</v>
      </c>
      <c r="C29" s="502"/>
      <c r="D29" s="501">
        <v>54.99</v>
      </c>
      <c r="E29" s="503">
        <v>0</v>
      </c>
      <c r="F29" s="503">
        <v>0</v>
      </c>
      <c r="G29" s="503">
        <v>0</v>
      </c>
      <c r="H29" s="504">
        <f t="shared" si="11"/>
      </c>
      <c r="I29" s="503" t="s">
        <v>1282</v>
      </c>
      <c r="J29" s="505" t="s">
        <v>1282</v>
      </c>
      <c r="K29" s="501">
        <f>'意大利ERP数据'!BC28</f>
      </c>
      <c r="L29" s="501">
        <f>'意大利ERP数据'!BA28</f>
      </c>
      <c r="M29" s="501">
        <f t="shared" si="9"/>
      </c>
      <c r="N29" s="503">
        <f t="shared" si="12"/>
      </c>
      <c r="O29" s="506">
        <f t="shared" si="2"/>
      </c>
      <c r="P29" s="506">
        <f t="shared" si="5"/>
      </c>
      <c r="Q29" s="501">
        <f>'意大利ERP数据'!R28</f>
      </c>
      <c r="R29" s="501"/>
      <c r="S29" s="501">
        <f>'意大利ERP数据'!Z28</f>
      </c>
      <c r="T29" s="501">
        <v>0</v>
      </c>
      <c r="U29" s="501">
        <v>0</v>
      </c>
      <c r="V29" s="503">
        <v>1</v>
      </c>
      <c r="W29" s="501">
        <v>0</v>
      </c>
      <c r="X29" s="505">
        <v>0</v>
      </c>
      <c r="Y29" s="501"/>
      <c r="Z29" s="501"/>
      <c r="AA29" s="501"/>
      <c r="AB29" s="501"/>
      <c r="AC29" s="501"/>
      <c r="AD29" s="507">
        <v>0</v>
      </c>
      <c r="AE29" s="501">
        <v>0</v>
      </c>
      <c r="AF29" s="501">
        <v>0</v>
      </c>
      <c r="AG29" s="501">
        <v>0</v>
      </c>
      <c r="AH29" s="508">
        <v>12558</v>
      </c>
      <c r="AI29" s="501">
        <v>110</v>
      </c>
      <c r="AJ29" s="509">
        <f t="shared" si="0"/>
      </c>
      <c r="AK29" s="501">
        <v>7</v>
      </c>
      <c r="AL29" s="510">
        <f t="shared" si="3"/>
      </c>
      <c r="AM29" s="511">
        <f t="shared" si="7"/>
      </c>
      <c r="AN29" s="503">
        <f t="shared" si="10"/>
      </c>
      <c r="AO29" s="512">
        <f t="shared" si="1"/>
      </c>
      <c r="AP29" s="510">
        <v>182.22</v>
      </c>
      <c r="AQ29" s="503">
        <f t="shared" si="4"/>
      </c>
      <c r="AR29" s="506">
        <f t="shared" si="8"/>
      </c>
      <c r="AS29" s="506">
        <v>514.01</v>
      </c>
      <c r="AT29" s="509"/>
      <c r="AU29" s="513"/>
      <c r="AV29" s="513"/>
      <c r="AW29" s="514"/>
      <c r="AX29" s="509"/>
      <c r="AY29" s="506"/>
      <c r="AZ29" s="506"/>
      <c r="BA29" s="506"/>
      <c r="BB29" s="505"/>
      <c r="BC29" s="515"/>
      <c r="BD29" s="501"/>
      <c r="BE29" s="509"/>
      <c r="BF29" s="501"/>
      <c r="BG29" s="512"/>
      <c r="BH29" s="501"/>
      <c r="BI29" s="502"/>
      <c r="BJ29" s="501"/>
      <c r="BK29" s="516"/>
      <c r="BL29" s="517"/>
    </row>
    <row customHeight="true" ht="13.333333333333332" r="30">
      <c r="A30" s="500">
        <v>46019</v>
      </c>
      <c r="B30" s="501" t="s">
        <v>1288</v>
      </c>
      <c r="C30" s="502"/>
      <c r="D30" s="501">
        <v>54.99</v>
      </c>
      <c r="E30" s="503">
        <v>0</v>
      </c>
      <c r="F30" s="503">
        <v>0</v>
      </c>
      <c r="G30" s="503">
        <v>0</v>
      </c>
      <c r="H30" s="504">
        <f t="shared" si="11"/>
      </c>
      <c r="I30" s="503" t="s">
        <v>1282</v>
      </c>
      <c r="J30" s="505" t="s">
        <v>1282</v>
      </c>
      <c r="K30" s="501">
        <f>'意大利ERP数据'!BC29</f>
      </c>
      <c r="L30" s="501">
        <f>'意大利ERP数据'!BA29</f>
      </c>
      <c r="M30" s="501">
        <f t="shared" si="9"/>
      </c>
      <c r="N30" s="503">
        <f t="shared" si="12"/>
      </c>
      <c r="O30" s="506">
        <f t="shared" si="2"/>
      </c>
      <c r="P30" s="506">
        <f t="shared" si="5"/>
      </c>
      <c r="Q30" s="501">
        <f>'意大利ERP数据'!R29</f>
      </c>
      <c r="R30" s="501"/>
      <c r="S30" s="501">
        <f>'意大利ERP数据'!Z29</f>
      </c>
      <c r="T30" s="501">
        <v>0</v>
      </c>
      <c r="U30" s="501">
        <v>0</v>
      </c>
      <c r="V30" s="503">
        <v>1</v>
      </c>
      <c r="W30" s="501">
        <v>0</v>
      </c>
      <c r="X30" s="505">
        <v>0</v>
      </c>
      <c r="Y30" s="501"/>
      <c r="Z30" s="501"/>
      <c r="AA30" s="501"/>
      <c r="AB30" s="501"/>
      <c r="AC30" s="501"/>
      <c r="AD30" s="507">
        <v>0</v>
      </c>
      <c r="AE30" s="501">
        <v>0</v>
      </c>
      <c r="AF30" s="501">
        <v>0</v>
      </c>
      <c r="AG30" s="501">
        <v>0</v>
      </c>
      <c r="AH30" s="508">
        <v>12478</v>
      </c>
      <c r="AI30" s="501">
        <v>144</v>
      </c>
      <c r="AJ30" s="509">
        <f t="shared" si="0"/>
      </c>
      <c r="AK30" s="501">
        <v>5</v>
      </c>
      <c r="AL30" s="510">
        <f t="shared" si="3"/>
      </c>
      <c r="AM30" s="511">
        <f t="shared" si="7"/>
      </c>
      <c r="AN30" s="503">
        <f t="shared" si="10"/>
      </c>
      <c r="AO30" s="512">
        <f t="shared" si="1"/>
      </c>
      <c r="AP30" s="510">
        <v>222.8</v>
      </c>
      <c r="AQ30" s="503">
        <f t="shared" si="4"/>
      </c>
      <c r="AR30" s="506">
        <f t="shared" si="8"/>
      </c>
      <c r="AS30" s="506">
        <v>367.15</v>
      </c>
      <c r="AT30" s="509"/>
      <c r="AU30" s="513"/>
      <c r="AV30" s="513"/>
      <c r="AW30" s="514"/>
      <c r="AX30" s="509"/>
      <c r="AY30" s="506"/>
      <c r="AZ30" s="506"/>
      <c r="BA30" s="506"/>
      <c r="BB30" s="505"/>
      <c r="BC30" s="515"/>
      <c r="BD30" s="501"/>
      <c r="BE30" s="509"/>
      <c r="BF30" s="501"/>
      <c r="BG30" s="512"/>
      <c r="BH30" s="501"/>
      <c r="BI30" s="502"/>
      <c r="BJ30" s="501"/>
      <c r="BK30" s="516"/>
      <c r="BL30" s="517"/>
    </row>
    <row customHeight="true" ht="13.333333333333332" r="31">
      <c r="A31" s="500">
        <v>46020</v>
      </c>
      <c r="B31" s="501" t="s">
        <v>1281</v>
      </c>
      <c r="C31" s="502"/>
      <c r="D31" s="501">
        <v>54.99</v>
      </c>
      <c r="E31" s="503">
        <v>0</v>
      </c>
      <c r="F31" s="503">
        <v>0</v>
      </c>
      <c r="G31" s="503">
        <v>0</v>
      </c>
      <c r="H31" s="504">
        <f t="shared" si="11"/>
      </c>
      <c r="I31" s="503" t="s">
        <v>1282</v>
      </c>
      <c r="J31" s="505" t="s">
        <v>1282</v>
      </c>
      <c r="K31" s="501">
        <f>'意大利ERP数据'!BC30</f>
      </c>
      <c r="L31" s="501">
        <f>'意大利ERP数据'!BA30</f>
      </c>
      <c r="M31" s="501">
        <f t="shared" si="9"/>
      </c>
      <c r="N31" s="503">
        <f t="shared" si="12"/>
      </c>
      <c r="O31" s="506">
        <f t="shared" si="2"/>
      </c>
      <c r="P31" s="506">
        <f t="shared" si="5"/>
      </c>
      <c r="Q31" s="501">
        <f>'意大利ERP数据'!R30</f>
      </c>
      <c r="R31" s="501"/>
      <c r="S31" s="501">
        <f>'意大利ERP数据'!Z30</f>
      </c>
      <c r="T31" s="501">
        <v>0</v>
      </c>
      <c r="U31" s="501">
        <v>0</v>
      </c>
      <c r="V31" s="503">
        <v>1</v>
      </c>
      <c r="W31" s="501">
        <v>0</v>
      </c>
      <c r="X31" s="505">
        <v>0</v>
      </c>
      <c r="Y31" s="501"/>
      <c r="Z31" s="501"/>
      <c r="AA31" s="501"/>
      <c r="AB31" s="501"/>
      <c r="AC31" s="501"/>
      <c r="AD31" s="507">
        <v>0</v>
      </c>
      <c r="AE31" s="501">
        <v>0</v>
      </c>
      <c r="AF31" s="501">
        <v>0</v>
      </c>
      <c r="AG31" s="501">
        <v>0</v>
      </c>
      <c r="AH31" s="508">
        <v>8754</v>
      </c>
      <c r="AI31" s="501">
        <v>109</v>
      </c>
      <c r="AJ31" s="509">
        <f t="shared" si="0"/>
      </c>
      <c r="AK31" s="501">
        <v>8</v>
      </c>
      <c r="AL31" s="510">
        <f t="shared" si="3"/>
      </c>
      <c r="AM31" s="511">
        <f t="shared" si="7"/>
      </c>
      <c r="AN31" s="503">
        <f t="shared" si="10"/>
      </c>
      <c r="AO31" s="512">
        <f t="shared" si="1"/>
      </c>
      <c r="AP31" s="510">
        <v>158.61</v>
      </c>
      <c r="AQ31" s="503">
        <f t="shared" si="4"/>
      </c>
      <c r="AR31" s="506">
        <f t="shared" si="8"/>
      </c>
      <c r="AS31" s="506">
        <v>587.44</v>
      </c>
      <c r="AT31" s="509"/>
      <c r="AU31" s="513"/>
      <c r="AV31" s="513"/>
      <c r="AW31" s="514"/>
      <c r="AX31" s="509"/>
      <c r="AY31" s="506"/>
      <c r="AZ31" s="506"/>
      <c r="BA31" s="506"/>
      <c r="BB31" s="505"/>
      <c r="BC31" s="515"/>
      <c r="BD31" s="501"/>
      <c r="BE31" s="509"/>
      <c r="BF31" s="501"/>
      <c r="BG31" s="512"/>
      <c r="BH31" s="501"/>
      <c r="BI31" s="502"/>
      <c r="BJ31" s="501"/>
      <c r="BK31" s="516"/>
      <c r="BL31" s="517"/>
    </row>
    <row customHeight="true" ht="13.333333333333332" r="32">
      <c r="A32" s="500">
        <v>46021</v>
      </c>
      <c r="B32" s="501" t="s">
        <v>1283</v>
      </c>
      <c r="C32" s="502"/>
      <c r="D32" s="501">
        <v>54.99</v>
      </c>
      <c r="E32" s="503">
        <v>0</v>
      </c>
      <c r="F32" s="503">
        <v>0</v>
      </c>
      <c r="G32" s="503">
        <v>0</v>
      </c>
      <c r="H32" s="504">
        <f t="shared" si="11"/>
      </c>
      <c r="I32" s="503" t="s">
        <v>1282</v>
      </c>
      <c r="J32" s="505" t="s">
        <v>1282</v>
      </c>
      <c r="K32" s="501">
        <f>'意大利ERP数据'!BC31</f>
      </c>
      <c r="L32" s="501">
        <f>'意大利ERP数据'!BA31</f>
      </c>
      <c r="M32" s="501">
        <f t="shared" si="9"/>
      </c>
      <c r="N32" s="503">
        <f t="shared" si="12"/>
      </c>
      <c r="O32" s="506">
        <f t="shared" si="2"/>
      </c>
      <c r="P32" s="506">
        <f t="shared" si="5"/>
      </c>
      <c r="Q32" s="501">
        <f>'意大利ERP数据'!R31</f>
      </c>
      <c r="R32" s="501"/>
      <c r="S32" s="501">
        <f>'意大利ERP数据'!Z31</f>
      </c>
      <c r="T32" s="501">
        <v>0</v>
      </c>
      <c r="U32" s="501">
        <v>0</v>
      </c>
      <c r="V32" s="503">
        <v>1</v>
      </c>
      <c r="W32" s="501">
        <v>0</v>
      </c>
      <c r="X32" s="505">
        <v>0</v>
      </c>
      <c r="Y32" s="501"/>
      <c r="Z32" s="501"/>
      <c r="AA32" s="501"/>
      <c r="AB32" s="501"/>
      <c r="AC32" s="501"/>
      <c r="AD32" s="507">
        <v>0</v>
      </c>
      <c r="AE32" s="501">
        <v>0</v>
      </c>
      <c r="AF32" s="501">
        <v>0</v>
      </c>
      <c r="AG32" s="501">
        <v>0</v>
      </c>
      <c r="AH32" s="508">
        <v>7937</v>
      </c>
      <c r="AI32" s="501">
        <v>62</v>
      </c>
      <c r="AJ32" s="509">
        <f t="shared" si="0"/>
      </c>
      <c r="AK32" s="501">
        <v>4</v>
      </c>
      <c r="AL32" s="510">
        <f t="shared" si="3"/>
      </c>
      <c r="AM32" s="511">
        <f t="shared" si="7"/>
      </c>
      <c r="AN32" s="503">
        <f t="shared" si="10"/>
      </c>
      <c r="AO32" s="512">
        <f t="shared" si="1"/>
      </c>
      <c r="AP32" s="510">
        <v>94.26</v>
      </c>
      <c r="AQ32" s="503">
        <f t="shared" si="4"/>
      </c>
      <c r="AR32" s="506">
        <f t="shared" si="8"/>
      </c>
      <c r="AS32" s="506">
        <v>293.78</v>
      </c>
      <c r="AT32" s="509"/>
      <c r="AU32" s="513"/>
      <c r="AV32" s="513"/>
      <c r="AW32" s="514"/>
      <c r="AX32" s="509"/>
      <c r="AY32" s="506"/>
      <c r="AZ32" s="506"/>
      <c r="BA32" s="506"/>
      <c r="BB32" s="505"/>
      <c r="BC32" s="515"/>
      <c r="BD32" s="501"/>
      <c r="BE32" s="509"/>
      <c r="BF32" s="501"/>
      <c r="BG32" s="512"/>
      <c r="BH32" s="501"/>
      <c r="BI32" s="502"/>
      <c r="BJ32" s="501"/>
      <c r="BK32" s="516"/>
      <c r="BL32" s="517"/>
    </row>
    <row customHeight="true" ht="13.333333333333332" r="33">
      <c r="A33" s="500">
        <v>46022</v>
      </c>
      <c r="B33" s="501" t="s">
        <v>1284</v>
      </c>
      <c r="C33" s="502"/>
      <c r="D33" s="501">
        <v>54.99</v>
      </c>
      <c r="E33" s="503">
        <v>0</v>
      </c>
      <c r="F33" s="503">
        <v>0</v>
      </c>
      <c r="G33" s="503">
        <v>0</v>
      </c>
      <c r="H33" s="504">
        <f t="shared" si="11"/>
      </c>
      <c r="I33" s="503" t="s">
        <v>1282</v>
      </c>
      <c r="J33" s="505" t="s">
        <v>1282</v>
      </c>
      <c r="K33" s="501">
        <f>'意大利ERP数据'!BC32</f>
      </c>
      <c r="L33" s="501">
        <f>'意大利ERP数据'!BA32</f>
      </c>
      <c r="M33" s="501">
        <f t="shared" si="9"/>
      </c>
      <c r="N33" s="503">
        <f t="shared" si="12"/>
      </c>
      <c r="O33" s="506">
        <f t="shared" si="2"/>
      </c>
      <c r="P33" s="506">
        <f t="shared" si="5"/>
      </c>
      <c r="Q33" s="501">
        <f>'意大利ERP数据'!R32</f>
      </c>
      <c r="R33" s="501"/>
      <c r="S33" s="501">
        <f>'意大利ERP数据'!Z32</f>
      </c>
      <c r="T33" s="501">
        <v>0</v>
      </c>
      <c r="U33" s="501">
        <v>0</v>
      </c>
      <c r="V33" s="503">
        <v>1</v>
      </c>
      <c r="W33" s="501">
        <v>0</v>
      </c>
      <c r="X33" s="505">
        <v>0</v>
      </c>
      <c r="Y33" s="501"/>
      <c r="Z33" s="501"/>
      <c r="AA33" s="501"/>
      <c r="AB33" s="501"/>
      <c r="AC33" s="501"/>
      <c r="AD33" s="507">
        <v>0</v>
      </c>
      <c r="AE33" s="501">
        <v>0</v>
      </c>
      <c r="AF33" s="501">
        <v>0</v>
      </c>
      <c r="AG33" s="501">
        <v>0</v>
      </c>
      <c r="AH33" s="508">
        <v>8988</v>
      </c>
      <c r="AI33" s="501">
        <v>44</v>
      </c>
      <c r="AJ33" s="509">
        <f t="shared" si="0"/>
      </c>
      <c r="AK33" s="501">
        <v>0</v>
      </c>
      <c r="AL33" s="510">
        <f t="shared" si="3"/>
      </c>
      <c r="AM33" s="511">
        <f t="shared" si="7"/>
      </c>
      <c r="AN33" s="503">
        <f t="shared" si="10"/>
      </c>
      <c r="AO33" s="512">
        <f t="shared" si="1"/>
      </c>
      <c r="AP33" s="510">
        <v>0</v>
      </c>
      <c r="AQ33" s="503">
        <f t="shared" si="4"/>
      </c>
      <c r="AR33" s="506">
        <f t="shared" si="8"/>
      </c>
      <c r="AS33" s="506">
        <v>0</v>
      </c>
      <c r="AT33" s="509"/>
      <c r="AU33" s="513"/>
      <c r="AV33" s="513"/>
      <c r="AW33" s="514"/>
      <c r="AX33" s="509"/>
      <c r="AY33" s="506"/>
      <c r="AZ33" s="506"/>
      <c r="BA33" s="506"/>
      <c r="BB33" s="505"/>
      <c r="BC33" s="515"/>
      <c r="BD33" s="501"/>
      <c r="BE33" s="509"/>
      <c r="BF33" s="501"/>
      <c r="BG33" s="512"/>
      <c r="BH33" s="501"/>
      <c r="BI33" s="502"/>
      <c r="BJ33" s="501"/>
      <c r="BK33" s="516"/>
      <c r="BL33" s="517"/>
    </row>
    <row customHeight="true" ht="13.333333333333332" r="34">
      <c r="A34" s="500">
        <v>46023</v>
      </c>
      <c r="B34" s="501" t="s">
        <v>1285</v>
      </c>
      <c r="C34" s="502"/>
      <c r="D34" s="501">
        <v>54.99</v>
      </c>
      <c r="E34" s="503">
        <v>0</v>
      </c>
      <c r="F34" s="503">
        <v>0</v>
      </c>
      <c r="G34" s="503">
        <v>0</v>
      </c>
      <c r="H34" s="504">
        <f t="shared" si="11"/>
      </c>
      <c r="I34" s="503" t="s">
        <v>1282</v>
      </c>
      <c r="J34" s="505" t="s">
        <v>1282</v>
      </c>
      <c r="K34" s="501">
        <f>'意大利ERP数据'!BC33</f>
      </c>
      <c r="L34" s="501">
        <f>'意大利ERP数据'!BA33</f>
      </c>
      <c r="M34" s="501">
        <f t="shared" si="9"/>
      </c>
      <c r="N34" s="503">
        <f t="shared" si="12"/>
      </c>
      <c r="O34" s="506">
        <f t="shared" si="2"/>
      </c>
      <c r="P34" s="506">
        <f t="shared" si="5"/>
      </c>
      <c r="Q34" s="501">
        <f>'意大利ERP数据'!R33</f>
      </c>
      <c r="R34" s="501"/>
      <c r="S34" s="501">
        <f>'意大利ERP数据'!Z33</f>
      </c>
      <c r="T34" s="501">
        <v>0</v>
      </c>
      <c r="U34" s="501">
        <v>0</v>
      </c>
      <c r="V34" s="503">
        <v>1</v>
      </c>
      <c r="W34" s="501">
        <v>0</v>
      </c>
      <c r="X34" s="505">
        <v>0</v>
      </c>
      <c r="Y34" s="501"/>
      <c r="Z34" s="501"/>
      <c r="AA34" s="501"/>
      <c r="AB34" s="501"/>
      <c r="AC34" s="501"/>
      <c r="AD34" s="507">
        <v>0</v>
      </c>
      <c r="AE34" s="501">
        <v>0</v>
      </c>
      <c r="AF34" s="501">
        <v>0</v>
      </c>
      <c r="AG34" s="501">
        <v>0</v>
      </c>
      <c r="AH34" s="508">
        <v>8700</v>
      </c>
      <c r="AI34" s="501">
        <v>38</v>
      </c>
      <c r="AJ34" s="509">
        <f t="shared" si="0"/>
      </c>
      <c r="AK34" s="501">
        <v>0</v>
      </c>
      <c r="AL34" s="510">
        <f t="shared" si="3"/>
      </c>
      <c r="AM34" s="511">
        <f t="shared" si="7"/>
      </c>
      <c r="AN34" s="503">
        <f t="shared" si="10"/>
      </c>
      <c r="AO34" s="512">
        <f t="shared" si="1"/>
      </c>
      <c r="AP34" s="510">
        <v>0</v>
      </c>
      <c r="AQ34" s="503">
        <f t="shared" si="4"/>
      </c>
      <c r="AR34" s="506">
        <f t="shared" si="8"/>
      </c>
      <c r="AS34" s="506">
        <v>0</v>
      </c>
      <c r="AT34" s="509"/>
      <c r="AU34" s="513"/>
      <c r="AV34" s="513"/>
      <c r="AW34" s="514"/>
      <c r="AX34" s="509"/>
      <c r="AY34" s="506"/>
      <c r="AZ34" s="506"/>
      <c r="BA34" s="506"/>
      <c r="BB34" s="505"/>
      <c r="BC34" s="515"/>
      <c r="BD34" s="501"/>
      <c r="BE34" s="509"/>
      <c r="BF34" s="501"/>
      <c r="BG34" s="512"/>
      <c r="BH34" s="501"/>
      <c r="BI34" s="502"/>
      <c r="BJ34" s="501"/>
      <c r="BK34" s="516"/>
      <c r="BL34" s="517"/>
    </row>
    <row customHeight="true" ht="13.333333333333332" r="35">
      <c r="A35" s="500">
        <v>46024</v>
      </c>
      <c r="B35" s="501" t="s">
        <v>1286</v>
      </c>
      <c r="C35" s="502"/>
      <c r="D35" s="501">
        <v>54.99</v>
      </c>
      <c r="E35" s="503">
        <v>0</v>
      </c>
      <c r="F35" s="503">
        <v>0</v>
      </c>
      <c r="G35" s="503">
        <v>0</v>
      </c>
      <c r="H35" s="504">
        <f t="shared" si="11"/>
      </c>
      <c r="I35" s="503" t="s">
        <v>1282</v>
      </c>
      <c r="J35" s="505" t="s">
        <v>1282</v>
      </c>
      <c r="K35" s="501">
        <f>'意大利ERP数据'!BC34</f>
      </c>
      <c r="L35" s="501">
        <f>'意大利ERP数据'!BA34</f>
      </c>
      <c r="M35" s="501">
        <f t="shared" si="9"/>
      </c>
      <c r="N35" s="503">
        <f t="shared" si="12"/>
      </c>
      <c r="O35" s="506">
        <f t="shared" si="2"/>
      </c>
      <c r="P35" s="506">
        <f t="shared" si="5"/>
      </c>
      <c r="Q35" s="501">
        <f>'意大利ERP数据'!R34</f>
      </c>
      <c r="R35" s="501"/>
      <c r="S35" s="501">
        <f>'意大利ERP数据'!Z34</f>
      </c>
      <c r="T35" s="501">
        <v>0</v>
      </c>
      <c r="U35" s="501">
        <v>0</v>
      </c>
      <c r="V35" s="503">
        <v>1</v>
      </c>
      <c r="W35" s="501">
        <v>0</v>
      </c>
      <c r="X35" s="505">
        <v>0</v>
      </c>
      <c r="Y35" s="501"/>
      <c r="Z35" s="501"/>
      <c r="AA35" s="501"/>
      <c r="AB35" s="501"/>
      <c r="AC35" s="501"/>
      <c r="AD35" s="507">
        <v>0</v>
      </c>
      <c r="AE35" s="501">
        <v>0</v>
      </c>
      <c r="AF35" s="501">
        <v>0</v>
      </c>
      <c r="AG35" s="501">
        <v>0</v>
      </c>
      <c r="AH35" s="508">
        <v>0</v>
      </c>
      <c r="AI35" s="501">
        <v>0</v>
      </c>
      <c r="AJ35" s="509">
        <f t="shared" si="0"/>
      </c>
      <c r="AK35" s="501">
        <v>0</v>
      </c>
      <c r="AL35" s="510">
        <f t="shared" si="3"/>
      </c>
      <c r="AM35" s="511">
        <f t="shared" si="7"/>
      </c>
      <c r="AN35" s="503">
        <f t="shared" si="10"/>
      </c>
      <c r="AO35" s="512">
        <f t="shared" si="1"/>
      </c>
      <c r="AP35" s="510">
        <v>0</v>
      </c>
      <c r="AQ35" s="503">
        <f t="shared" si="4"/>
      </c>
      <c r="AR35" s="506">
        <f t="shared" si="8"/>
      </c>
      <c r="AS35" s="506">
        <v>0</v>
      </c>
      <c r="AT35" s="509"/>
      <c r="AU35" s="513"/>
      <c r="AV35" s="513"/>
      <c r="AW35" s="514"/>
      <c r="AX35" s="509"/>
      <c r="AY35" s="506"/>
      <c r="AZ35" s="506"/>
      <c r="BA35" s="506"/>
      <c r="BB35" s="505"/>
      <c r="BC35" s="515"/>
      <c r="BD35" s="501"/>
      <c r="BE35" s="509"/>
      <c r="BF35" s="501"/>
      <c r="BG35" s="512"/>
      <c r="BH35" s="501"/>
      <c r="BI35" s="502"/>
      <c r="BJ35" s="501"/>
      <c r="BK35" s="516"/>
      <c r="BL35" s="517"/>
    </row>
    <row customHeight="true" ht="13.333333333333332" r="36">
      <c r="A36" s="500">
        <v>46025</v>
      </c>
      <c r="B36" s="501" t="s">
        <v>1287</v>
      </c>
      <c r="C36" s="502"/>
      <c r="D36" s="501">
        <v>54.99</v>
      </c>
      <c r="E36" s="503">
        <v>0</v>
      </c>
      <c r="F36" s="503">
        <v>0</v>
      </c>
      <c r="G36" s="503">
        <v>0</v>
      </c>
      <c r="H36" s="504">
        <f t="shared" si="11"/>
      </c>
      <c r="I36" s="503" t="s">
        <v>1282</v>
      </c>
      <c r="J36" s="505" t="s">
        <v>1282</v>
      </c>
      <c r="K36" s="501">
        <f>'意大利ERP数据'!BC35</f>
      </c>
      <c r="L36" s="501">
        <f>'意大利ERP数据'!BA35</f>
      </c>
      <c r="M36" s="501">
        <f t="shared" si="9"/>
      </c>
      <c r="N36" s="503">
        <f t="shared" si="12"/>
      </c>
      <c r="O36" s="506">
        <f t="shared" si="2"/>
      </c>
      <c r="P36" s="506">
        <f t="shared" si="5"/>
      </c>
      <c r="Q36" s="501">
        <f>'意大利ERP数据'!R35</f>
      </c>
      <c r="R36" s="501"/>
      <c r="S36" s="501">
        <f>'意大利ERP数据'!Z35</f>
      </c>
      <c r="T36" s="501">
        <v>0</v>
      </c>
      <c r="U36" s="501">
        <v>0</v>
      </c>
      <c r="V36" s="503">
        <v>1</v>
      </c>
      <c r="W36" s="501">
        <v>0</v>
      </c>
      <c r="X36" s="505">
        <v>0</v>
      </c>
      <c r="Y36" s="501"/>
      <c r="Z36" s="501"/>
      <c r="AA36" s="501"/>
      <c r="AB36" s="501"/>
      <c r="AC36" s="501"/>
      <c r="AD36" s="507">
        <v>0</v>
      </c>
      <c r="AE36" s="501">
        <v>0</v>
      </c>
      <c r="AF36" s="501">
        <v>0</v>
      </c>
      <c r="AG36" s="501">
        <v>0</v>
      </c>
      <c r="AH36" s="508">
        <v>0</v>
      </c>
      <c r="AI36" s="501">
        <v>0</v>
      </c>
      <c r="AJ36" s="509">
        <f t="shared" si="0"/>
      </c>
      <c r="AK36" s="501">
        <v>0</v>
      </c>
      <c r="AL36" s="510">
        <f t="shared" si="3"/>
      </c>
      <c r="AM36" s="511">
        <f t="shared" si="7"/>
      </c>
      <c r="AN36" s="503">
        <f t="shared" si="10"/>
      </c>
      <c r="AO36" s="512">
        <f t="shared" si="1"/>
      </c>
      <c r="AP36" s="510">
        <v>0</v>
      </c>
      <c r="AQ36" s="503">
        <f t="shared" si="4"/>
      </c>
      <c r="AR36" s="506">
        <f t="shared" si="8"/>
      </c>
      <c r="AS36" s="506">
        <v>0</v>
      </c>
      <c r="AT36" s="509"/>
      <c r="AU36" s="513"/>
      <c r="AV36" s="513"/>
      <c r="AW36" s="514"/>
      <c r="AX36" s="509"/>
      <c r="AY36" s="506"/>
      <c r="AZ36" s="506"/>
      <c r="BA36" s="506"/>
      <c r="BB36" s="505"/>
      <c r="BC36" s="515"/>
      <c r="BD36" s="501"/>
      <c r="BE36" s="509"/>
      <c r="BF36" s="501"/>
      <c r="BG36" s="512"/>
      <c r="BH36" s="501"/>
      <c r="BI36" s="502"/>
      <c r="BJ36" s="501"/>
      <c r="BK36" s="516"/>
      <c r="BL36" s="517"/>
    </row>
    <row customHeight="true" ht="13.333333333333332" r="37">
      <c r="A37" s="500">
        <v>46026</v>
      </c>
      <c r="B37" s="501" t="s">
        <v>1288</v>
      </c>
      <c r="C37" s="502"/>
      <c r="D37" s="501">
        <v>54.99</v>
      </c>
      <c r="E37" s="503">
        <v>0</v>
      </c>
      <c r="F37" s="503">
        <v>0</v>
      </c>
      <c r="G37" s="503">
        <v>0</v>
      </c>
      <c r="H37" s="504">
        <f t="shared" si="11"/>
      </c>
      <c r="I37" s="503" t="s">
        <v>1282</v>
      </c>
      <c r="J37" s="505" t="s">
        <v>1282</v>
      </c>
      <c r="K37" s="501">
        <f>'意大利ERP数据'!BC36</f>
      </c>
      <c r="L37" s="501">
        <f>'意大利ERP数据'!BA36</f>
      </c>
      <c r="M37" s="501">
        <f t="shared" si="9"/>
      </c>
      <c r="N37" s="503">
        <f t="shared" si="12"/>
      </c>
      <c r="O37" s="506">
        <f t="shared" si="2"/>
      </c>
      <c r="P37" s="506">
        <f t="shared" si="5"/>
      </c>
      <c r="Q37" s="501">
        <f>'意大利ERP数据'!R36</f>
      </c>
      <c r="R37" s="501"/>
      <c r="S37" s="501">
        <f>'意大利ERP数据'!Z36</f>
      </c>
      <c r="T37" s="501">
        <v>0</v>
      </c>
      <c r="U37" s="501">
        <v>0</v>
      </c>
      <c r="V37" s="503">
        <v>1</v>
      </c>
      <c r="W37" s="501">
        <v>0</v>
      </c>
      <c r="X37" s="505">
        <v>0</v>
      </c>
      <c r="Y37" s="501"/>
      <c r="Z37" s="501"/>
      <c r="AA37" s="501"/>
      <c r="AB37" s="501"/>
      <c r="AC37" s="501"/>
      <c r="AD37" s="507">
        <v>0</v>
      </c>
      <c r="AE37" s="501">
        <v>0</v>
      </c>
      <c r="AF37" s="501">
        <v>0</v>
      </c>
      <c r="AG37" s="501">
        <v>0</v>
      </c>
      <c r="AH37" s="508">
        <v>0</v>
      </c>
      <c r="AI37" s="501">
        <v>0</v>
      </c>
      <c r="AJ37" s="509">
        <f t="shared" si="0"/>
      </c>
      <c r="AK37" s="501">
        <v>0</v>
      </c>
      <c r="AL37" s="510">
        <f t="shared" si="3"/>
      </c>
      <c r="AM37" s="511">
        <f t="shared" si="7"/>
      </c>
      <c r="AN37" s="503">
        <f t="shared" si="10"/>
      </c>
      <c r="AO37" s="512">
        <f t="shared" si="1"/>
      </c>
      <c r="AP37" s="510">
        <v>0</v>
      </c>
      <c r="AQ37" s="503">
        <f t="shared" si="4"/>
      </c>
      <c r="AR37" s="506">
        <f t="shared" si="8"/>
      </c>
      <c r="AS37" s="506">
        <v>0</v>
      </c>
      <c r="AT37" s="509"/>
      <c r="AU37" s="513"/>
      <c r="AV37" s="513"/>
      <c r="AW37" s="514"/>
      <c r="AX37" s="509"/>
      <c r="AY37" s="506"/>
      <c r="AZ37" s="506"/>
      <c r="BA37" s="506"/>
      <c r="BB37" s="505"/>
      <c r="BC37" s="515"/>
      <c r="BD37" s="501"/>
      <c r="BE37" s="509"/>
      <c r="BF37" s="501"/>
      <c r="BG37" s="512"/>
      <c r="BH37" s="501"/>
      <c r="BI37" s="502"/>
      <c r="BJ37" s="501"/>
      <c r="BK37" s="516"/>
      <c r="BL37" s="517"/>
    </row>
    <row customHeight="true" ht="13.333333333333332" r="38">
      <c r="A38" s="500">
        <v>46027</v>
      </c>
      <c r="B38" s="501" t="s">
        <v>1281</v>
      </c>
      <c r="C38" s="502"/>
      <c r="D38" s="501">
        <v>54.99</v>
      </c>
      <c r="E38" s="503">
        <v>0</v>
      </c>
      <c r="F38" s="503">
        <v>0</v>
      </c>
      <c r="G38" s="503">
        <v>0</v>
      </c>
      <c r="H38" s="504">
        <f t="shared" si="11"/>
      </c>
      <c r="I38" s="503" t="s">
        <v>1282</v>
      </c>
      <c r="J38" s="505" t="s">
        <v>1282</v>
      </c>
      <c r="K38" s="501">
        <f>'意大利ERP数据'!BC37</f>
      </c>
      <c r="L38" s="501">
        <f>'意大利ERP数据'!BA37</f>
      </c>
      <c r="M38" s="501">
        <f t="shared" si="9"/>
      </c>
      <c r="N38" s="503">
        <f t="shared" si="12"/>
      </c>
      <c r="O38" s="506">
        <f t="shared" si="2"/>
      </c>
      <c r="P38" s="506">
        <f t="shared" si="5"/>
      </c>
      <c r="Q38" s="501">
        <f>'意大利ERP数据'!R37</f>
      </c>
      <c r="R38" s="501"/>
      <c r="S38" s="501">
        <f>'意大利ERP数据'!Z37</f>
      </c>
      <c r="T38" s="501">
        <v>0</v>
      </c>
      <c r="U38" s="501">
        <v>0</v>
      </c>
      <c r="V38" s="503">
        <v>1</v>
      </c>
      <c r="W38" s="501">
        <v>0</v>
      </c>
      <c r="X38" s="505">
        <v>0</v>
      </c>
      <c r="Y38" s="501"/>
      <c r="Z38" s="501"/>
      <c r="AA38" s="501"/>
      <c r="AB38" s="501"/>
      <c r="AC38" s="501"/>
      <c r="AD38" s="507">
        <v>0</v>
      </c>
      <c r="AE38" s="501">
        <v>0</v>
      </c>
      <c r="AF38" s="501">
        <v>0</v>
      </c>
      <c r="AG38" s="501">
        <v>0</v>
      </c>
      <c r="AH38" s="508">
        <v>0</v>
      </c>
      <c r="AI38" s="501">
        <v>0</v>
      </c>
      <c r="AJ38" s="509">
        <f t="shared" si="0"/>
      </c>
      <c r="AK38" s="501">
        <v>0</v>
      </c>
      <c r="AL38" s="510">
        <f t="shared" si="3"/>
      </c>
      <c r="AM38" s="511">
        <f t="shared" si="7"/>
      </c>
      <c r="AN38" s="503">
        <f t="shared" si="10"/>
      </c>
      <c r="AO38" s="512">
        <f t="shared" si="1"/>
      </c>
      <c r="AP38" s="510">
        <v>0</v>
      </c>
      <c r="AQ38" s="503">
        <f t="shared" si="4"/>
      </c>
      <c r="AR38" s="506">
        <f t="shared" si="8"/>
      </c>
      <c r="AS38" s="506">
        <v>0</v>
      </c>
      <c r="AT38" s="509"/>
      <c r="AU38" s="513"/>
      <c r="AV38" s="513"/>
      <c r="AW38" s="514"/>
      <c r="AX38" s="509"/>
      <c r="AY38" s="506"/>
      <c r="AZ38" s="506"/>
      <c r="BA38" s="506"/>
      <c r="BB38" s="505"/>
      <c r="BC38" s="515"/>
      <c r="BD38" s="501"/>
      <c r="BE38" s="509"/>
      <c r="BF38" s="501"/>
      <c r="BG38" s="512"/>
      <c r="BH38" s="501"/>
      <c r="BI38" s="502"/>
      <c r="BJ38" s="501"/>
      <c r="BK38" s="516"/>
      <c r="BL38" s="517"/>
    </row>
    <row customHeight="true" ht="13.333333333333332" r="39">
      <c r="A39" s="500">
        <v>46028</v>
      </c>
      <c r="B39" s="501" t="s">
        <v>1283</v>
      </c>
      <c r="C39" s="502"/>
      <c r="D39" s="501">
        <v>54.99</v>
      </c>
      <c r="E39" s="503">
        <v>0</v>
      </c>
      <c r="F39" s="503">
        <v>0</v>
      </c>
      <c r="G39" s="503">
        <v>0</v>
      </c>
      <c r="H39" s="504">
        <f t="shared" si="11"/>
      </c>
      <c r="I39" s="503" t="s">
        <v>1282</v>
      </c>
      <c r="J39" s="505" t="s">
        <v>1282</v>
      </c>
      <c r="K39" s="501">
        <f>'意大利ERP数据'!BC38</f>
      </c>
      <c r="L39" s="501">
        <f>'意大利ERP数据'!BA38</f>
      </c>
      <c r="M39" s="501">
        <f t="shared" si="9"/>
      </c>
      <c r="N39" s="503">
        <f t="shared" si="12"/>
      </c>
      <c r="O39" s="506">
        <f t="shared" si="2"/>
      </c>
      <c r="P39" s="506">
        <f t="shared" si="5"/>
      </c>
      <c r="Q39" s="501">
        <f>'意大利ERP数据'!R38</f>
      </c>
      <c r="R39" s="501"/>
      <c r="S39" s="501">
        <f>'意大利ERP数据'!Z38</f>
      </c>
      <c r="T39" s="501">
        <v>0</v>
      </c>
      <c r="U39" s="501">
        <v>0</v>
      </c>
      <c r="V39" s="503">
        <v>1</v>
      </c>
      <c r="W39" s="501">
        <v>0</v>
      </c>
      <c r="X39" s="505">
        <v>0</v>
      </c>
      <c r="Y39" s="501"/>
      <c r="Z39" s="501"/>
      <c r="AA39" s="501"/>
      <c r="AB39" s="501"/>
      <c r="AC39" s="501"/>
      <c r="AD39" s="507">
        <v>0</v>
      </c>
      <c r="AE39" s="501">
        <v>0</v>
      </c>
      <c r="AF39" s="501">
        <v>0</v>
      </c>
      <c r="AG39" s="501">
        <v>0</v>
      </c>
      <c r="AH39" s="508">
        <v>0</v>
      </c>
      <c r="AI39" s="501">
        <v>0</v>
      </c>
      <c r="AJ39" s="509">
        <f t="shared" si="0"/>
      </c>
      <c r="AK39" s="501">
        <v>0</v>
      </c>
      <c r="AL39" s="510">
        <f t="shared" si="3"/>
      </c>
      <c r="AM39" s="511">
        <f t="shared" si="7"/>
      </c>
      <c r="AN39" s="503">
        <f t="shared" si="10"/>
      </c>
      <c r="AO39" s="512">
        <f t="shared" si="1"/>
      </c>
      <c r="AP39" s="510">
        <v>0</v>
      </c>
      <c r="AQ39" s="503">
        <f t="shared" si="4"/>
      </c>
      <c r="AR39" s="506">
        <f t="shared" si="8"/>
      </c>
      <c r="AS39" s="506">
        <v>0</v>
      </c>
      <c r="AT39" s="509"/>
      <c r="AU39" s="513"/>
      <c r="AV39" s="513"/>
      <c r="AW39" s="514"/>
      <c r="AX39" s="509"/>
      <c r="AY39" s="506"/>
      <c r="AZ39" s="506"/>
      <c r="BA39" s="506"/>
      <c r="BB39" s="505"/>
      <c r="BC39" s="515"/>
      <c r="BD39" s="501"/>
      <c r="BE39" s="509"/>
      <c r="BF39" s="501"/>
      <c r="BG39" s="512"/>
      <c r="BH39" s="501"/>
      <c r="BI39" s="502"/>
      <c r="BJ39" s="501"/>
      <c r="BK39" s="516"/>
      <c r="BL39" s="517"/>
    </row>
    <row customHeight="true" ht="13.333333333333332" r="40">
      <c r="A40" s="500">
        <v>46029</v>
      </c>
      <c r="B40" s="501" t="s">
        <v>1284</v>
      </c>
      <c r="C40" s="502"/>
      <c r="D40" s="501">
        <v>54.99</v>
      </c>
      <c r="E40" s="503">
        <v>0</v>
      </c>
      <c r="F40" s="503">
        <v>0</v>
      </c>
      <c r="G40" s="503">
        <v>0</v>
      </c>
      <c r="H40" s="504">
        <f t="shared" si="11"/>
      </c>
      <c r="I40" s="503" t="s">
        <v>1282</v>
      </c>
      <c r="J40" s="505" t="s">
        <v>1282</v>
      </c>
      <c r="K40" s="501">
        <f>'意大利ERP数据'!BC39</f>
      </c>
      <c r="L40" s="501">
        <f>'意大利ERP数据'!BA39</f>
      </c>
      <c r="M40" s="501">
        <f t="shared" si="9"/>
      </c>
      <c r="N40" s="503">
        <f t="shared" si="12"/>
      </c>
      <c r="O40" s="506">
        <f t="shared" si="2"/>
      </c>
      <c r="P40" s="506">
        <f t="shared" si="5"/>
      </c>
      <c r="Q40" s="501">
        <f>'意大利ERP数据'!R39</f>
      </c>
      <c r="R40" s="501"/>
      <c r="S40" s="501">
        <f>'意大利ERP数据'!Z39</f>
      </c>
      <c r="T40" s="501">
        <v>0</v>
      </c>
      <c r="U40" s="501">
        <v>0</v>
      </c>
      <c r="V40" s="503">
        <v>1</v>
      </c>
      <c r="W40" s="501">
        <v>0</v>
      </c>
      <c r="X40" s="505">
        <v>0</v>
      </c>
      <c r="Y40" s="501"/>
      <c r="Z40" s="501"/>
      <c r="AA40" s="501"/>
      <c r="AB40" s="501"/>
      <c r="AC40" s="501"/>
      <c r="AD40" s="507">
        <v>0</v>
      </c>
      <c r="AE40" s="501">
        <v>0</v>
      </c>
      <c r="AF40" s="501">
        <v>0</v>
      </c>
      <c r="AG40" s="501">
        <v>0</v>
      </c>
      <c r="AH40" s="508">
        <v>0</v>
      </c>
      <c r="AI40" s="501">
        <v>0</v>
      </c>
      <c r="AJ40" s="509">
        <f t="shared" si="0"/>
      </c>
      <c r="AK40" s="501">
        <v>0</v>
      </c>
      <c r="AL40" s="510">
        <f t="shared" si="3"/>
      </c>
      <c r="AM40" s="511">
        <f t="shared" si="7"/>
      </c>
      <c r="AN40" s="503">
        <f t="shared" si="10"/>
      </c>
      <c r="AO40" s="512">
        <f t="shared" si="1"/>
      </c>
      <c r="AP40" s="510">
        <v>0</v>
      </c>
      <c r="AQ40" s="503">
        <f t="shared" si="4"/>
      </c>
      <c r="AR40" s="506">
        <f t="shared" si="8"/>
      </c>
      <c r="AS40" s="506">
        <v>0</v>
      </c>
      <c r="AT40" s="509"/>
      <c r="AU40" s="513"/>
      <c r="AV40" s="513"/>
      <c r="AW40" s="514"/>
      <c r="AX40" s="509"/>
      <c r="AY40" s="506"/>
      <c r="AZ40" s="506"/>
      <c r="BA40" s="506"/>
      <c r="BB40" s="505"/>
      <c r="BC40" s="515"/>
      <c r="BD40" s="501"/>
      <c r="BE40" s="509"/>
      <c r="BF40" s="501"/>
      <c r="BG40" s="512"/>
      <c r="BH40" s="501"/>
      <c r="BI40" s="502"/>
      <c r="BJ40" s="501"/>
      <c r="BK40" s="516"/>
      <c r="BL40" s="517"/>
    </row>
    <row customHeight="true" ht="13.333333333333332" r="41">
      <c r="A41" s="500">
        <v>46030</v>
      </c>
      <c r="B41" s="501" t="s">
        <v>1285</v>
      </c>
      <c r="C41" s="502"/>
      <c r="D41" s="501">
        <v>54.99</v>
      </c>
      <c r="E41" s="503">
        <v>0</v>
      </c>
      <c r="F41" s="503">
        <v>0</v>
      </c>
      <c r="G41" s="503">
        <v>0</v>
      </c>
      <c r="H41" s="504">
        <f t="shared" si="11"/>
      </c>
      <c r="I41" s="503" t="s">
        <v>1282</v>
      </c>
      <c r="J41" s="505" t="s">
        <v>1282</v>
      </c>
      <c r="K41" s="501">
        <f>'意大利ERP数据'!BC40</f>
      </c>
      <c r="L41" s="501">
        <f>'意大利ERP数据'!BA40</f>
      </c>
      <c r="M41" s="501">
        <f t="shared" si="9"/>
      </c>
      <c r="N41" s="503">
        <f t="shared" si="12"/>
      </c>
      <c r="O41" s="506">
        <f t="shared" si="2"/>
      </c>
      <c r="P41" s="506">
        <f t="shared" si="5"/>
      </c>
      <c r="Q41" s="501">
        <f>'意大利ERP数据'!R40</f>
      </c>
      <c r="R41" s="501"/>
      <c r="S41" s="501">
        <f>'意大利ERP数据'!Z40</f>
      </c>
      <c r="T41" s="501">
        <v>0</v>
      </c>
      <c r="U41" s="501">
        <v>0</v>
      </c>
      <c r="V41" s="503">
        <v>1</v>
      </c>
      <c r="W41" s="501">
        <v>0</v>
      </c>
      <c r="X41" s="505">
        <v>0</v>
      </c>
      <c r="Y41" s="501"/>
      <c r="Z41" s="501"/>
      <c r="AA41" s="501"/>
      <c r="AB41" s="501"/>
      <c r="AC41" s="501"/>
      <c r="AD41" s="507">
        <v>0</v>
      </c>
      <c r="AE41" s="501">
        <v>0</v>
      </c>
      <c r="AF41" s="501">
        <v>0</v>
      </c>
      <c r="AG41" s="501">
        <v>0</v>
      </c>
      <c r="AH41" s="508">
        <v>0</v>
      </c>
      <c r="AI41" s="501">
        <v>0</v>
      </c>
      <c r="AJ41" s="509">
        <f t="shared" si="0"/>
      </c>
      <c r="AK41" s="501">
        <v>0</v>
      </c>
      <c r="AL41" s="510">
        <f t="shared" si="3"/>
      </c>
      <c r="AM41" s="511">
        <f t="shared" si="7"/>
      </c>
      <c r="AN41" s="503">
        <f t="shared" si="10"/>
      </c>
      <c r="AO41" s="512">
        <f t="shared" si="1"/>
      </c>
      <c r="AP41" s="510">
        <v>0</v>
      </c>
      <c r="AQ41" s="503">
        <f t="shared" si="4"/>
      </c>
      <c r="AR41" s="506">
        <f t="shared" si="8"/>
      </c>
      <c r="AS41" s="506">
        <v>0</v>
      </c>
      <c r="AT41" s="509"/>
      <c r="AU41" s="513"/>
      <c r="AV41" s="513"/>
      <c r="AW41" s="514"/>
      <c r="AX41" s="509"/>
      <c r="AY41" s="506"/>
      <c r="AZ41" s="506"/>
      <c r="BA41" s="506"/>
      <c r="BB41" s="505"/>
      <c r="BC41" s="515"/>
      <c r="BD41" s="501"/>
      <c r="BE41" s="509"/>
      <c r="BF41" s="501"/>
      <c r="BG41" s="512"/>
      <c r="BH41" s="501"/>
      <c r="BI41" s="502"/>
      <c r="BJ41" s="501"/>
      <c r="BK41" s="516"/>
      <c r="BL41" s="517"/>
    </row>
    <row customHeight="true" ht="13.333333333333332" r="42">
      <c r="A42" s="500">
        <v>46031</v>
      </c>
      <c r="B42" s="501" t="s">
        <v>1286</v>
      </c>
      <c r="C42" s="502"/>
      <c r="D42" s="501">
        <v>54.99</v>
      </c>
      <c r="E42" s="503">
        <v>0</v>
      </c>
      <c r="F42" s="503">
        <v>0</v>
      </c>
      <c r="G42" s="503">
        <v>0</v>
      </c>
      <c r="H42" s="504">
        <f t="shared" si="11"/>
      </c>
      <c r="I42" s="503" t="s">
        <v>1282</v>
      </c>
      <c r="J42" s="505" t="s">
        <v>1282</v>
      </c>
      <c r="K42" s="501">
        <f>'意大利ERP数据'!BC41</f>
      </c>
      <c r="L42" s="501">
        <f>'意大利ERP数据'!BA41</f>
      </c>
      <c r="M42" s="501">
        <f t="shared" si="9"/>
      </c>
      <c r="N42" s="503">
        <f t="shared" si="12"/>
      </c>
      <c r="O42" s="506">
        <f t="shared" si="2"/>
      </c>
      <c r="P42" s="506">
        <f t="shared" si="5"/>
      </c>
      <c r="Q42" s="501">
        <f>'意大利ERP数据'!R41</f>
      </c>
      <c r="R42" s="501"/>
      <c r="S42" s="501">
        <f>'意大利ERP数据'!Z41</f>
      </c>
      <c r="T42" s="501">
        <v>0</v>
      </c>
      <c r="U42" s="501">
        <v>0</v>
      </c>
      <c r="V42" s="503">
        <v>1</v>
      </c>
      <c r="W42" s="501">
        <v>0</v>
      </c>
      <c r="X42" s="505">
        <v>0</v>
      </c>
      <c r="Y42" s="501"/>
      <c r="Z42" s="501"/>
      <c r="AA42" s="501"/>
      <c r="AB42" s="501"/>
      <c r="AC42" s="501"/>
      <c r="AD42" s="507">
        <v>0</v>
      </c>
      <c r="AE42" s="501">
        <v>0</v>
      </c>
      <c r="AF42" s="501">
        <v>0</v>
      </c>
      <c r="AG42" s="501">
        <v>0</v>
      </c>
      <c r="AH42" s="508">
        <v>0</v>
      </c>
      <c r="AI42" s="501">
        <v>0</v>
      </c>
      <c r="AJ42" s="509">
        <f t="shared" si="0"/>
      </c>
      <c r="AK42" s="501">
        <v>0</v>
      </c>
      <c r="AL42" s="510">
        <f t="shared" si="3"/>
      </c>
      <c r="AM42" s="511">
        <f t="shared" si="7"/>
      </c>
      <c r="AN42" s="503">
        <f t="shared" si="10"/>
      </c>
      <c r="AO42" s="512">
        <f t="shared" si="1"/>
      </c>
      <c r="AP42" s="510">
        <v>0</v>
      </c>
      <c r="AQ42" s="503">
        <f t="shared" si="4"/>
      </c>
      <c r="AR42" s="506">
        <f t="shared" si="8"/>
      </c>
      <c r="AS42" s="506">
        <v>0</v>
      </c>
      <c r="AT42" s="509"/>
      <c r="AU42" s="513"/>
      <c r="AV42" s="513"/>
      <c r="AW42" s="514"/>
      <c r="AX42" s="509"/>
      <c r="AY42" s="506"/>
      <c r="AZ42" s="506"/>
      <c r="BA42" s="506"/>
      <c r="BB42" s="505"/>
      <c r="BC42" s="515"/>
      <c r="BD42" s="501"/>
      <c r="BE42" s="509"/>
      <c r="BF42" s="501"/>
      <c r="BG42" s="512"/>
      <c r="BH42" s="501"/>
      <c r="BI42" s="502"/>
      <c r="BJ42" s="501"/>
      <c r="BK42" s="516"/>
      <c r="BL42" s="517"/>
    </row>
    <row customHeight="true" ht="13.333333333333332" r="43">
      <c r="A43" s="500">
        <v>46032</v>
      </c>
      <c r="B43" s="501" t="s">
        <v>1287</v>
      </c>
      <c r="C43" s="502"/>
      <c r="D43" s="501">
        <v>54.99</v>
      </c>
      <c r="E43" s="503">
        <v>0</v>
      </c>
      <c r="F43" s="503">
        <v>0</v>
      </c>
      <c r="G43" s="503">
        <v>0</v>
      </c>
      <c r="H43" s="504">
        <f t="shared" si="11"/>
      </c>
      <c r="I43" s="503" t="s">
        <v>1282</v>
      </c>
      <c r="J43" s="505" t="s">
        <v>1282</v>
      </c>
      <c r="K43" s="501">
        <f>'意大利ERP数据'!BC42</f>
      </c>
      <c r="L43" s="501">
        <f>'意大利ERP数据'!BA42</f>
      </c>
      <c r="M43" s="501">
        <f t="shared" si="9"/>
      </c>
      <c r="N43" s="503">
        <f t="shared" si="12"/>
      </c>
      <c r="O43" s="506">
        <f t="shared" si="2"/>
      </c>
      <c r="P43" s="506">
        <f t="shared" si="5"/>
      </c>
      <c r="Q43" s="501">
        <f>'意大利ERP数据'!R42</f>
      </c>
      <c r="R43" s="501"/>
      <c r="S43" s="501">
        <f>'意大利ERP数据'!Z42</f>
      </c>
      <c r="T43" s="501">
        <v>0</v>
      </c>
      <c r="U43" s="501">
        <v>0</v>
      </c>
      <c r="V43" s="503">
        <v>1</v>
      </c>
      <c r="W43" s="501">
        <v>0</v>
      </c>
      <c r="X43" s="505">
        <v>0</v>
      </c>
      <c r="Y43" s="501"/>
      <c r="Z43" s="501"/>
      <c r="AA43" s="501"/>
      <c r="AB43" s="501"/>
      <c r="AC43" s="501"/>
      <c r="AD43" s="507">
        <v>0</v>
      </c>
      <c r="AE43" s="501">
        <v>0</v>
      </c>
      <c r="AF43" s="501">
        <v>0</v>
      </c>
      <c r="AG43" s="501">
        <v>0</v>
      </c>
      <c r="AH43" s="508">
        <v>0</v>
      </c>
      <c r="AI43" s="501">
        <v>0</v>
      </c>
      <c r="AJ43" s="509">
        <f t="shared" si="0"/>
      </c>
      <c r="AK43" s="501">
        <v>0</v>
      </c>
      <c r="AL43" s="510">
        <f t="shared" si="3"/>
      </c>
      <c r="AM43" s="511">
        <f t="shared" si="7"/>
      </c>
      <c r="AN43" s="503">
        <f t="shared" si="10"/>
      </c>
      <c r="AO43" s="512">
        <f t="shared" si="1"/>
      </c>
      <c r="AP43" s="510">
        <v>0</v>
      </c>
      <c r="AQ43" s="503">
        <f t="shared" si="4"/>
      </c>
      <c r="AR43" s="506">
        <f t="shared" si="8"/>
      </c>
      <c r="AS43" s="506">
        <v>0</v>
      </c>
      <c r="AT43" s="509"/>
      <c r="AU43" s="513"/>
      <c r="AV43" s="513"/>
      <c r="AW43" s="514"/>
      <c r="AX43" s="509"/>
      <c r="AY43" s="506"/>
      <c r="AZ43" s="506"/>
      <c r="BA43" s="506"/>
      <c r="BB43" s="505"/>
      <c r="BC43" s="515"/>
      <c r="BD43" s="501"/>
      <c r="BE43" s="509"/>
      <c r="BF43" s="501"/>
      <c r="BG43" s="512"/>
      <c r="BH43" s="501"/>
      <c r="BI43" s="502"/>
      <c r="BJ43" s="501"/>
      <c r="BK43" s="516"/>
      <c r="BL43" s="517"/>
    </row>
    <row customHeight="true" ht="13.333333333333332" r="44">
      <c r="A44" s="500">
        <v>46033</v>
      </c>
      <c r="B44" s="501" t="s">
        <v>1288</v>
      </c>
      <c r="C44" s="502"/>
      <c r="D44" s="501">
        <v>54.99</v>
      </c>
      <c r="E44" s="503">
        <v>0</v>
      </c>
      <c r="F44" s="503">
        <v>0</v>
      </c>
      <c r="G44" s="503">
        <v>0</v>
      </c>
      <c r="H44" s="504">
        <f t="shared" si="11"/>
      </c>
      <c r="I44" s="503" t="s">
        <v>1282</v>
      </c>
      <c r="J44" s="505" t="s">
        <v>1282</v>
      </c>
      <c r="K44" s="501">
        <f>'意大利ERP数据'!BC43</f>
      </c>
      <c r="L44" s="501">
        <f>'意大利ERP数据'!BA43</f>
      </c>
      <c r="M44" s="501">
        <f t="shared" si="9"/>
      </c>
      <c r="N44" s="503">
        <f t="shared" si="12"/>
      </c>
      <c r="O44" s="506">
        <f t="shared" si="2"/>
      </c>
      <c r="P44" s="506">
        <f t="shared" si="5"/>
      </c>
      <c r="Q44" s="501">
        <f>'意大利ERP数据'!R43</f>
      </c>
      <c r="R44" s="501"/>
      <c r="S44" s="501">
        <f>'意大利ERP数据'!Z43</f>
      </c>
      <c r="T44" s="501">
        <v>0</v>
      </c>
      <c r="U44" s="501">
        <v>0</v>
      </c>
      <c r="V44" s="503">
        <v>1</v>
      </c>
      <c r="W44" s="501">
        <v>0</v>
      </c>
      <c r="X44" s="505">
        <v>0</v>
      </c>
      <c r="Y44" s="501"/>
      <c r="Z44" s="501"/>
      <c r="AA44" s="501"/>
      <c r="AB44" s="501"/>
      <c r="AC44" s="501"/>
      <c r="AD44" s="507">
        <v>0</v>
      </c>
      <c r="AE44" s="501">
        <v>0</v>
      </c>
      <c r="AF44" s="501">
        <v>0</v>
      </c>
      <c r="AG44" s="501">
        <v>0</v>
      </c>
      <c r="AH44" s="508">
        <v>0</v>
      </c>
      <c r="AI44" s="501">
        <v>0</v>
      </c>
      <c r="AJ44" s="509">
        <f t="shared" si="0"/>
      </c>
      <c r="AK44" s="501">
        <v>0</v>
      </c>
      <c r="AL44" s="510">
        <f t="shared" si="3"/>
      </c>
      <c r="AM44" s="511">
        <f t="shared" si="7"/>
      </c>
      <c r="AN44" s="503">
        <f t="shared" si="10"/>
      </c>
      <c r="AO44" s="512">
        <f t="shared" si="1"/>
      </c>
      <c r="AP44" s="510">
        <v>0</v>
      </c>
      <c r="AQ44" s="503">
        <f t="shared" si="4"/>
      </c>
      <c r="AR44" s="506">
        <f t="shared" si="8"/>
      </c>
      <c r="AS44" s="506">
        <v>0</v>
      </c>
      <c r="AT44" s="509"/>
      <c r="AU44" s="513"/>
      <c r="AV44" s="513"/>
      <c r="AW44" s="514"/>
      <c r="AX44" s="509"/>
      <c r="AY44" s="506"/>
      <c r="AZ44" s="506"/>
      <c r="BA44" s="506"/>
      <c r="BB44" s="505"/>
      <c r="BC44" s="515"/>
      <c r="BD44" s="501"/>
      <c r="BE44" s="509"/>
      <c r="BF44" s="501"/>
      <c r="BG44" s="512"/>
      <c r="BH44" s="501"/>
      <c r="BI44" s="502"/>
      <c r="BJ44" s="501"/>
      <c r="BK44" s="516"/>
      <c r="BL44" s="517"/>
    </row>
    <row customHeight="true" ht="13.333333333333332" r="45">
      <c r="A45" s="500">
        <v>46034</v>
      </c>
      <c r="B45" s="501" t="s">
        <v>1281</v>
      </c>
      <c r="C45" s="502"/>
      <c r="D45" s="501">
        <v>54.99</v>
      </c>
      <c r="E45" s="503">
        <v>0</v>
      </c>
      <c r="F45" s="503">
        <v>0</v>
      </c>
      <c r="G45" s="503">
        <v>0</v>
      </c>
      <c r="H45" s="504">
        <f t="shared" si="11"/>
      </c>
      <c r="I45" s="503" t="s">
        <v>1282</v>
      </c>
      <c r="J45" s="505" t="s">
        <v>1282</v>
      </c>
      <c r="K45" s="501">
        <f>'意大利ERP数据'!BC44</f>
      </c>
      <c r="L45" s="501">
        <f>'意大利ERP数据'!BA44</f>
      </c>
      <c r="M45" s="501">
        <f t="shared" si="9"/>
      </c>
      <c r="N45" s="503">
        <f t="shared" si="12"/>
      </c>
      <c r="O45" s="506">
        <f t="shared" si="2"/>
      </c>
      <c r="P45" s="506">
        <f t="shared" si="5"/>
      </c>
      <c r="Q45" s="501">
        <f>'意大利ERP数据'!R44</f>
      </c>
      <c r="R45" s="501"/>
      <c r="S45" s="501">
        <f>'意大利ERP数据'!Z44</f>
      </c>
      <c r="T45" s="501">
        <v>0</v>
      </c>
      <c r="U45" s="501">
        <v>0</v>
      </c>
      <c r="V45" s="503">
        <v>1</v>
      </c>
      <c r="W45" s="501">
        <v>0</v>
      </c>
      <c r="X45" s="505">
        <v>0</v>
      </c>
      <c r="Y45" s="501"/>
      <c r="Z45" s="501"/>
      <c r="AA45" s="501"/>
      <c r="AB45" s="501"/>
      <c r="AC45" s="501"/>
      <c r="AD45" s="507">
        <v>0</v>
      </c>
      <c r="AE45" s="501">
        <v>0</v>
      </c>
      <c r="AF45" s="501">
        <v>0</v>
      </c>
      <c r="AG45" s="501">
        <v>0</v>
      </c>
      <c r="AH45" s="508">
        <v>0</v>
      </c>
      <c r="AI45" s="501">
        <v>0</v>
      </c>
      <c r="AJ45" s="509">
        <f t="shared" si="0"/>
      </c>
      <c r="AK45" s="501">
        <v>0</v>
      </c>
      <c r="AL45" s="510">
        <f t="shared" si="3"/>
      </c>
      <c r="AM45" s="511">
        <f t="shared" si="7"/>
      </c>
      <c r="AN45" s="503">
        <f t="shared" si="10"/>
      </c>
      <c r="AO45" s="512">
        <f t="shared" si="1"/>
      </c>
      <c r="AP45" s="510">
        <v>0</v>
      </c>
      <c r="AQ45" s="503">
        <f t="shared" si="4"/>
      </c>
      <c r="AR45" s="506">
        <f t="shared" si="8"/>
      </c>
      <c r="AS45" s="506">
        <v>0</v>
      </c>
      <c r="AT45" s="509"/>
      <c r="AU45" s="513"/>
      <c r="AV45" s="513"/>
      <c r="AW45" s="514"/>
      <c r="AX45" s="509"/>
      <c r="AY45" s="506"/>
      <c r="AZ45" s="506"/>
      <c r="BA45" s="506"/>
      <c r="BB45" s="505"/>
      <c r="BC45" s="515"/>
      <c r="BD45" s="501"/>
      <c r="BE45" s="509"/>
      <c r="BF45" s="501"/>
      <c r="BG45" s="512"/>
      <c r="BH45" s="501"/>
      <c r="BI45" s="502"/>
      <c r="BJ45" s="501"/>
      <c r="BK45" s="516"/>
      <c r="BL45" s="517"/>
    </row>
    <row customHeight="true" ht="13.333333333333332" r="46">
      <c r="A46" s="500">
        <v>46035</v>
      </c>
      <c r="B46" s="501" t="s">
        <v>1283</v>
      </c>
      <c r="C46" s="502"/>
      <c r="D46" s="501">
        <v>54.99</v>
      </c>
      <c r="E46" s="503">
        <v>0</v>
      </c>
      <c r="F46" s="503">
        <v>0</v>
      </c>
      <c r="G46" s="503">
        <v>0</v>
      </c>
      <c r="H46" s="504">
        <f t="shared" si="11"/>
      </c>
      <c r="I46" s="503" t="s">
        <v>1282</v>
      </c>
      <c r="J46" s="505" t="s">
        <v>1282</v>
      </c>
      <c r="K46" s="501">
        <f>'意大利ERP数据'!BC45</f>
      </c>
      <c r="L46" s="501">
        <f>'意大利ERP数据'!BA45</f>
      </c>
      <c r="M46" s="501">
        <f t="shared" si="9"/>
      </c>
      <c r="N46" s="503">
        <f t="shared" si="12"/>
      </c>
      <c r="O46" s="506">
        <f t="shared" si="2"/>
      </c>
      <c r="P46" s="506">
        <f t="shared" si="5"/>
      </c>
      <c r="Q46" s="501">
        <f>'意大利ERP数据'!R45</f>
      </c>
      <c r="R46" s="501"/>
      <c r="S46" s="501">
        <f>'意大利ERP数据'!Z45</f>
      </c>
      <c r="T46" s="501">
        <v>0</v>
      </c>
      <c r="U46" s="501">
        <v>0</v>
      </c>
      <c r="V46" s="503">
        <v>1</v>
      </c>
      <c r="W46" s="501">
        <v>0</v>
      </c>
      <c r="X46" s="505">
        <v>0</v>
      </c>
      <c r="Y46" s="501"/>
      <c r="Z46" s="501"/>
      <c r="AA46" s="501"/>
      <c r="AB46" s="501"/>
      <c r="AC46" s="501"/>
      <c r="AD46" s="507">
        <v>0</v>
      </c>
      <c r="AE46" s="501">
        <v>0</v>
      </c>
      <c r="AF46" s="501">
        <v>0</v>
      </c>
      <c r="AG46" s="501">
        <v>0</v>
      </c>
      <c r="AH46" s="508">
        <v>0</v>
      </c>
      <c r="AI46" s="501">
        <v>0</v>
      </c>
      <c r="AJ46" s="509">
        <f t="shared" si="0"/>
      </c>
      <c r="AK46" s="501">
        <v>0</v>
      </c>
      <c r="AL46" s="510">
        <f t="shared" si="3"/>
      </c>
      <c r="AM46" s="511">
        <f t="shared" si="7"/>
      </c>
      <c r="AN46" s="503">
        <f t="shared" si="10"/>
      </c>
      <c r="AO46" s="512">
        <f t="shared" si="1"/>
      </c>
      <c r="AP46" s="510">
        <v>0</v>
      </c>
      <c r="AQ46" s="503">
        <f t="shared" si="4"/>
      </c>
      <c r="AR46" s="506">
        <f t="shared" si="8"/>
      </c>
      <c r="AS46" s="506">
        <v>0</v>
      </c>
      <c r="AT46" s="509"/>
      <c r="AU46" s="513"/>
      <c r="AV46" s="513"/>
      <c r="AW46" s="514"/>
      <c r="AX46" s="509"/>
      <c r="AY46" s="506"/>
      <c r="AZ46" s="506"/>
      <c r="BA46" s="506"/>
      <c r="BB46" s="505"/>
      <c r="BC46" s="515"/>
      <c r="BD46" s="501"/>
      <c r="BE46" s="509"/>
      <c r="BF46" s="501"/>
      <c r="BG46" s="512"/>
      <c r="BH46" s="501"/>
      <c r="BI46" s="502"/>
      <c r="BJ46" s="501"/>
      <c r="BK46" s="516"/>
      <c r="BL46" s="517"/>
    </row>
    <row customHeight="true" ht="13.333333333333332" r="47">
      <c r="A47" s="500">
        <v>46036</v>
      </c>
      <c r="B47" s="501" t="s">
        <v>1284</v>
      </c>
      <c r="C47" s="502"/>
      <c r="D47" s="501">
        <v>54.99</v>
      </c>
      <c r="E47" s="503">
        <v>0</v>
      </c>
      <c r="F47" s="503">
        <v>0</v>
      </c>
      <c r="G47" s="503">
        <v>0</v>
      </c>
      <c r="H47" s="504">
        <f t="shared" si="11"/>
      </c>
      <c r="I47" s="503" t="s">
        <v>1282</v>
      </c>
      <c r="J47" s="505" t="s">
        <v>1282</v>
      </c>
      <c r="K47" s="501">
        <f>'意大利ERP数据'!BC46</f>
      </c>
      <c r="L47" s="501">
        <f>'意大利ERP数据'!BA46</f>
      </c>
      <c r="M47" s="501">
        <f t="shared" si="9"/>
      </c>
      <c r="N47" s="503">
        <f t="shared" si="12"/>
      </c>
      <c r="O47" s="506">
        <f t="shared" si="2"/>
      </c>
      <c r="P47" s="506">
        <f t="shared" si="5"/>
      </c>
      <c r="Q47" s="501">
        <f>'意大利ERP数据'!R46</f>
      </c>
      <c r="R47" s="501"/>
      <c r="S47" s="501">
        <f>'意大利ERP数据'!Z46</f>
      </c>
      <c r="T47" s="501">
        <v>0</v>
      </c>
      <c r="U47" s="501">
        <v>0</v>
      </c>
      <c r="V47" s="503">
        <v>1</v>
      </c>
      <c r="W47" s="501">
        <v>0</v>
      </c>
      <c r="X47" s="505">
        <v>0</v>
      </c>
      <c r="Y47" s="501"/>
      <c r="Z47" s="501"/>
      <c r="AA47" s="501"/>
      <c r="AB47" s="501"/>
      <c r="AC47" s="501"/>
      <c r="AD47" s="507">
        <v>0</v>
      </c>
      <c r="AE47" s="501">
        <v>0</v>
      </c>
      <c r="AF47" s="501">
        <v>0</v>
      </c>
      <c r="AG47" s="501">
        <v>0</v>
      </c>
      <c r="AH47" s="508">
        <v>0</v>
      </c>
      <c r="AI47" s="501">
        <v>0</v>
      </c>
      <c r="AJ47" s="509">
        <f t="shared" si="0"/>
      </c>
      <c r="AK47" s="501">
        <v>0</v>
      </c>
      <c r="AL47" s="510">
        <f t="shared" si="3"/>
      </c>
      <c r="AM47" s="511">
        <f t="shared" si="7"/>
      </c>
      <c r="AN47" s="503">
        <f t="shared" si="10"/>
      </c>
      <c r="AO47" s="512">
        <f t="shared" si="1"/>
      </c>
      <c r="AP47" s="510">
        <v>0</v>
      </c>
      <c r="AQ47" s="503">
        <f t="shared" si="4"/>
      </c>
      <c r="AR47" s="506">
        <f t="shared" si="8"/>
      </c>
      <c r="AS47" s="506">
        <v>0</v>
      </c>
      <c r="AT47" s="509"/>
      <c r="AU47" s="513"/>
      <c r="AV47" s="513"/>
      <c r="AW47" s="514"/>
      <c r="AX47" s="509"/>
      <c r="AY47" s="506"/>
      <c r="AZ47" s="506"/>
      <c r="BA47" s="506"/>
      <c r="BB47" s="505"/>
      <c r="BC47" s="515"/>
      <c r="BD47" s="501"/>
      <c r="BE47" s="509"/>
      <c r="BF47" s="501"/>
      <c r="BG47" s="512"/>
      <c r="BH47" s="501"/>
      <c r="BI47" s="502"/>
      <c r="BJ47" s="501"/>
      <c r="BK47" s="516"/>
      <c r="BL47" s="517"/>
    </row>
    <row customHeight="true" ht="13.333333333333332" r="48">
      <c r="A48" s="500">
        <v>46037</v>
      </c>
      <c r="B48" s="501" t="s">
        <v>1285</v>
      </c>
      <c r="C48" s="502"/>
      <c r="D48" s="501">
        <v>54.99</v>
      </c>
      <c r="E48" s="503">
        <v>0</v>
      </c>
      <c r="F48" s="503">
        <v>0</v>
      </c>
      <c r="G48" s="503">
        <v>0</v>
      </c>
      <c r="H48" s="501"/>
      <c r="I48" s="503"/>
      <c r="J48" s="505"/>
      <c r="K48" s="501"/>
      <c r="L48" s="501"/>
      <c r="M48" s="501"/>
      <c r="N48" s="503"/>
      <c r="O48" s="506"/>
      <c r="P48" s="506"/>
      <c r="Q48" s="501"/>
      <c r="R48" s="501"/>
      <c r="S48" s="501">
        <f>'意大利ERP数据'!Z47</f>
      </c>
      <c r="T48" s="501"/>
      <c r="U48" s="501"/>
      <c r="V48" s="503"/>
      <c r="W48" s="501"/>
      <c r="X48" s="505"/>
      <c r="Y48" s="501"/>
      <c r="Z48" s="501"/>
      <c r="AA48" s="501"/>
      <c r="AB48" s="501"/>
      <c r="AC48" s="501"/>
      <c r="AD48" s="507"/>
      <c r="AE48" s="501"/>
      <c r="AF48" s="501"/>
      <c r="AG48" s="501"/>
      <c r="AH48" s="508"/>
      <c r="AI48" s="501"/>
      <c r="AJ48" s="509"/>
      <c r="AK48" s="501"/>
      <c r="AL48" s="510"/>
      <c r="AM48" s="511"/>
      <c r="AN48" s="503"/>
      <c r="AO48" s="509"/>
      <c r="AP48" s="510"/>
      <c r="AQ48" s="503"/>
      <c r="AR48" s="506"/>
      <c r="AS48" s="506"/>
      <c r="AT48" s="509"/>
      <c r="AU48" s="513"/>
      <c r="AV48" s="513"/>
      <c r="AW48" s="514"/>
      <c r="AX48" s="509"/>
      <c r="AY48" s="506"/>
      <c r="AZ48" s="506"/>
      <c r="BA48" s="506"/>
      <c r="BB48" s="505"/>
      <c r="BC48" s="505"/>
      <c r="BD48" s="501"/>
      <c r="BE48" s="509"/>
      <c r="BF48" s="501"/>
      <c r="BG48" s="512"/>
      <c r="BH48" s="501"/>
      <c r="BI48" s="502"/>
      <c r="BJ48" s="501"/>
      <c r="BK48" s="516"/>
      <c r="BL48" s="517"/>
    </row>
    <row customHeight="true" ht="13.333333333333332" r="49">
      <c r="A49" s="500">
        <v>46038</v>
      </c>
      <c r="B49" s="501" t="s">
        <v>1286</v>
      </c>
      <c r="C49" s="502"/>
      <c r="D49" s="501">
        <v>54.99</v>
      </c>
      <c r="E49" s="503">
        <v>0</v>
      </c>
      <c r="F49" s="503">
        <v>0</v>
      </c>
      <c r="G49" s="503">
        <v>0</v>
      </c>
      <c r="H49" s="501"/>
      <c r="I49" s="503"/>
      <c r="J49" s="505"/>
      <c r="K49" s="501"/>
      <c r="L49" s="501"/>
      <c r="M49" s="501"/>
      <c r="N49" s="503"/>
      <c r="O49" s="506"/>
      <c r="P49" s="506"/>
      <c r="Q49" s="501"/>
      <c r="R49" s="501"/>
      <c r="S49" s="501">
        <f>'意大利ERP数据'!Z48</f>
      </c>
      <c r="T49" s="501"/>
      <c r="U49" s="501"/>
      <c r="V49" s="503"/>
      <c r="W49" s="501"/>
      <c r="X49" s="505"/>
      <c r="Y49" s="501"/>
      <c r="Z49" s="501"/>
      <c r="AA49" s="501"/>
      <c r="AB49" s="501"/>
      <c r="AC49" s="501"/>
      <c r="AD49" s="507"/>
      <c r="AE49" s="501"/>
      <c r="AF49" s="501"/>
      <c r="AG49" s="501"/>
      <c r="AH49" s="508"/>
      <c r="AI49" s="501"/>
      <c r="AJ49" s="509"/>
      <c r="AK49" s="501"/>
      <c r="AL49" s="510"/>
      <c r="AM49" s="511"/>
      <c r="AN49" s="503"/>
      <c r="AO49" s="509"/>
      <c r="AP49" s="510"/>
      <c r="AQ49" s="503"/>
      <c r="AR49" s="506"/>
      <c r="AS49" s="506"/>
      <c r="AT49" s="509"/>
      <c r="AU49" s="513"/>
      <c r="AV49" s="513"/>
      <c r="AW49" s="514"/>
      <c r="AX49" s="509"/>
      <c r="AY49" s="506"/>
      <c r="AZ49" s="506"/>
      <c r="BA49" s="506"/>
      <c r="BB49" s="505"/>
      <c r="BC49" s="505"/>
      <c r="BD49" s="501"/>
      <c r="BE49" s="509"/>
      <c r="BF49" s="501"/>
      <c r="BG49" s="512"/>
      <c r="BH49" s="501"/>
      <c r="BI49" s="502"/>
      <c r="BJ49" s="501"/>
      <c r="BK49" s="516"/>
      <c r="BL49" s="517"/>
    </row>
    <row customHeight="true" ht="13.333333333333332" r="50">
      <c r="A50" s="500">
        <v>46039</v>
      </c>
      <c r="B50" s="501" t="s">
        <v>1287</v>
      </c>
      <c r="C50" s="502"/>
      <c r="D50" s="501">
        <v>54.99</v>
      </c>
      <c r="E50" s="503">
        <v>0</v>
      </c>
      <c r="F50" s="503">
        <v>0</v>
      </c>
      <c r="G50" s="503">
        <v>0</v>
      </c>
      <c r="H50" s="501"/>
      <c r="I50" s="503"/>
      <c r="J50" s="505"/>
      <c r="K50" s="501"/>
      <c r="L50" s="501"/>
      <c r="M50" s="501"/>
      <c r="N50" s="503"/>
      <c r="O50" s="506"/>
      <c r="P50" s="506"/>
      <c r="Q50" s="501"/>
      <c r="R50" s="501"/>
      <c r="S50" s="501">
        <f>'意大利ERP数据'!Z49</f>
      </c>
      <c r="T50" s="501"/>
      <c r="U50" s="501"/>
      <c r="V50" s="503"/>
      <c r="W50" s="501"/>
      <c r="X50" s="505"/>
      <c r="Y50" s="501"/>
      <c r="Z50" s="501"/>
      <c r="AA50" s="501"/>
      <c r="AB50" s="501"/>
      <c r="AC50" s="501"/>
      <c r="AD50" s="507"/>
      <c r="AE50" s="501"/>
      <c r="AF50" s="501"/>
      <c r="AG50" s="501"/>
      <c r="AH50" s="508"/>
      <c r="AI50" s="501"/>
      <c r="AJ50" s="509"/>
      <c r="AK50" s="501"/>
      <c r="AL50" s="510"/>
      <c r="AM50" s="511"/>
      <c r="AN50" s="503"/>
      <c r="AO50" s="509"/>
      <c r="AP50" s="510"/>
      <c r="AQ50" s="503"/>
      <c r="AR50" s="506"/>
      <c r="AS50" s="506"/>
      <c r="AT50" s="509"/>
      <c r="AU50" s="513"/>
      <c r="AV50" s="513"/>
      <c r="AW50" s="514"/>
      <c r="AX50" s="509"/>
      <c r="AY50" s="506"/>
      <c r="AZ50" s="506"/>
      <c r="BA50" s="506"/>
      <c r="BB50" s="505"/>
      <c r="BC50" s="505"/>
      <c r="BD50" s="501"/>
      <c r="BE50" s="509"/>
      <c r="BF50" s="501"/>
      <c r="BG50" s="512"/>
      <c r="BH50" s="501"/>
      <c r="BI50" s="502"/>
      <c r="BJ50" s="501"/>
      <c r="BK50" s="516"/>
      <c r="BL50" s="517"/>
    </row>
    <row customHeight="true" ht="13.333333333333332" r="51">
      <c r="A51" s="500">
        <v>46040</v>
      </c>
      <c r="B51" s="501" t="s">
        <v>1288</v>
      </c>
      <c r="C51" s="502"/>
      <c r="D51" s="501">
        <v>54.99</v>
      </c>
      <c r="E51" s="503">
        <v>0</v>
      </c>
      <c r="F51" s="503">
        <v>0</v>
      </c>
      <c r="G51" s="503">
        <v>0</v>
      </c>
      <c r="H51" s="501"/>
      <c r="I51" s="503"/>
      <c r="J51" s="505"/>
      <c r="K51" s="501"/>
      <c r="L51" s="501"/>
      <c r="M51" s="501"/>
      <c r="N51" s="503"/>
      <c r="O51" s="506"/>
      <c r="P51" s="506"/>
      <c r="Q51" s="501"/>
      <c r="R51" s="501"/>
      <c r="S51" s="501">
        <f>'意大利ERP数据'!Z50</f>
      </c>
      <c r="T51" s="501"/>
      <c r="U51" s="501"/>
      <c r="V51" s="503"/>
      <c r="W51" s="501"/>
      <c r="X51" s="505"/>
      <c r="Y51" s="501"/>
      <c r="Z51" s="501"/>
      <c r="AA51" s="501"/>
      <c r="AB51" s="501"/>
      <c r="AC51" s="501"/>
      <c r="AD51" s="507"/>
      <c r="AE51" s="501"/>
      <c r="AF51" s="501"/>
      <c r="AG51" s="501"/>
      <c r="AH51" s="508"/>
      <c r="AI51" s="501"/>
      <c r="AJ51" s="509"/>
      <c r="AK51" s="501"/>
      <c r="AL51" s="510"/>
      <c r="AM51" s="511"/>
      <c r="AN51" s="503"/>
      <c r="AO51" s="509"/>
      <c r="AP51" s="510"/>
      <c r="AQ51" s="503"/>
      <c r="AR51" s="506"/>
      <c r="AS51" s="506"/>
      <c r="AT51" s="509"/>
      <c r="AU51" s="513"/>
      <c r="AV51" s="513"/>
      <c r="AW51" s="514"/>
      <c r="AX51" s="509"/>
      <c r="AY51" s="506"/>
      <c r="AZ51" s="506"/>
      <c r="BA51" s="506"/>
      <c r="BB51" s="505"/>
      <c r="BC51" s="505"/>
      <c r="BD51" s="501"/>
      <c r="BE51" s="509"/>
      <c r="BF51" s="501"/>
      <c r="BG51" s="512"/>
      <c r="BH51" s="501"/>
      <c r="BI51" s="502"/>
      <c r="BJ51" s="501"/>
      <c r="BK51" s="516"/>
      <c r="BL51" s="517"/>
    </row>
    <row customHeight="true" ht="13.333333333333332" r="52">
      <c r="A52" s="500">
        <v>46041</v>
      </c>
      <c r="B52" s="501" t="s">
        <v>1281</v>
      </c>
      <c r="C52" s="502"/>
      <c r="D52" s="501">
        <v>54.99</v>
      </c>
      <c r="E52" s="503">
        <v>0</v>
      </c>
      <c r="F52" s="503">
        <v>0</v>
      </c>
      <c r="G52" s="503">
        <v>0</v>
      </c>
      <c r="H52" s="501"/>
      <c r="I52" s="503"/>
      <c r="J52" s="505"/>
      <c r="K52" s="501"/>
      <c r="L52" s="501"/>
      <c r="M52" s="501"/>
      <c r="N52" s="503"/>
      <c r="O52" s="506"/>
      <c r="P52" s="506"/>
      <c r="Q52" s="501"/>
      <c r="R52" s="501"/>
      <c r="S52" s="501">
        <f>'意大利ERP数据'!Z51</f>
      </c>
      <c r="T52" s="501"/>
      <c r="U52" s="501"/>
      <c r="V52" s="503"/>
      <c r="W52" s="501"/>
      <c r="X52" s="505"/>
      <c r="Y52" s="501"/>
      <c r="Z52" s="501"/>
      <c r="AA52" s="501"/>
      <c r="AB52" s="501"/>
      <c r="AC52" s="501"/>
      <c r="AD52" s="507"/>
      <c r="AE52" s="501"/>
      <c r="AF52" s="501"/>
      <c r="AG52" s="501"/>
      <c r="AH52" s="508"/>
      <c r="AI52" s="501"/>
      <c r="AJ52" s="509"/>
      <c r="AK52" s="501"/>
      <c r="AL52" s="510"/>
      <c r="AM52" s="511"/>
      <c r="AN52" s="503"/>
      <c r="AO52" s="509"/>
      <c r="AP52" s="510"/>
      <c r="AQ52" s="503"/>
      <c r="AR52" s="506"/>
      <c r="AS52" s="506"/>
      <c r="AT52" s="509"/>
      <c r="AU52" s="513"/>
      <c r="AV52" s="513"/>
      <c r="AW52" s="514"/>
      <c r="AX52" s="509"/>
      <c r="AY52" s="506"/>
      <c r="AZ52" s="506"/>
      <c r="BA52" s="506"/>
      <c r="BB52" s="505"/>
      <c r="BC52" s="505"/>
      <c r="BD52" s="501"/>
      <c r="BE52" s="509"/>
      <c r="BF52" s="501"/>
      <c r="BG52" s="512"/>
      <c r="BH52" s="501"/>
      <c r="BI52" s="502"/>
      <c r="BJ52" s="501"/>
      <c r="BK52" s="516"/>
      <c r="BL52" s="517"/>
    </row>
    <row customHeight="true" ht="13.333333333333332" r="53">
      <c r="A53" s="500">
        <v>46042</v>
      </c>
      <c r="B53" s="501" t="s">
        <v>1283</v>
      </c>
      <c r="C53" s="502"/>
      <c r="D53" s="501">
        <v>54.99</v>
      </c>
      <c r="E53" s="503">
        <v>0</v>
      </c>
      <c r="F53" s="503">
        <v>0</v>
      </c>
      <c r="G53" s="503">
        <v>0</v>
      </c>
      <c r="H53" s="501"/>
      <c r="I53" s="503"/>
      <c r="J53" s="505"/>
      <c r="K53" s="501"/>
      <c r="L53" s="501"/>
      <c r="M53" s="501"/>
      <c r="N53" s="503"/>
      <c r="O53" s="506"/>
      <c r="P53" s="506"/>
      <c r="Q53" s="501"/>
      <c r="R53" s="501"/>
      <c r="S53" s="501">
        <f>'意大利ERP数据'!Z52</f>
      </c>
      <c r="T53" s="501"/>
      <c r="U53" s="501"/>
      <c r="V53" s="503"/>
      <c r="W53" s="501"/>
      <c r="X53" s="505"/>
      <c r="Y53" s="501"/>
      <c r="Z53" s="501"/>
      <c r="AA53" s="501"/>
      <c r="AB53" s="501"/>
      <c r="AC53" s="501"/>
      <c r="AD53" s="507"/>
      <c r="AE53" s="501"/>
      <c r="AF53" s="501"/>
      <c r="AG53" s="501"/>
      <c r="AH53" s="508"/>
      <c r="AI53" s="501"/>
      <c r="AJ53" s="509"/>
      <c r="AK53" s="501"/>
      <c r="AL53" s="510"/>
      <c r="AM53" s="511"/>
      <c r="AN53" s="503"/>
      <c r="AO53" s="509"/>
      <c r="AP53" s="510"/>
      <c r="AQ53" s="503"/>
      <c r="AR53" s="506"/>
      <c r="AS53" s="506"/>
      <c r="AT53" s="509"/>
      <c r="AU53" s="513"/>
      <c r="AV53" s="513"/>
      <c r="AW53" s="514"/>
      <c r="AX53" s="509"/>
      <c r="AY53" s="506"/>
      <c r="AZ53" s="506"/>
      <c r="BA53" s="506"/>
      <c r="BB53" s="505"/>
      <c r="BC53" s="505"/>
      <c r="BD53" s="501"/>
      <c r="BE53" s="509"/>
      <c r="BF53" s="501"/>
      <c r="BG53" s="512"/>
      <c r="BH53" s="501"/>
      <c r="BI53" s="502"/>
      <c r="BJ53" s="501"/>
      <c r="BK53" s="516"/>
      <c r="BL53" s="517"/>
    </row>
    <row customHeight="true" ht="13.333333333333332" r="54">
      <c r="A54" s="500">
        <v>46043</v>
      </c>
      <c r="B54" s="501" t="s">
        <v>1284</v>
      </c>
      <c r="C54" s="502"/>
      <c r="D54" s="501">
        <v>54.99</v>
      </c>
      <c r="E54" s="503">
        <v>0</v>
      </c>
      <c r="F54" s="503">
        <v>0</v>
      </c>
      <c r="G54" s="503">
        <v>0</v>
      </c>
      <c r="H54" s="501"/>
      <c r="I54" s="503"/>
      <c r="J54" s="505"/>
      <c r="K54" s="501"/>
      <c r="L54" s="501"/>
      <c r="M54" s="501"/>
      <c r="N54" s="503"/>
      <c r="O54" s="506"/>
      <c r="P54" s="506"/>
      <c r="Q54" s="501"/>
      <c r="R54" s="501"/>
      <c r="S54" s="501">
        <f>'意大利ERP数据'!Z53</f>
      </c>
      <c r="T54" s="501"/>
      <c r="U54" s="501"/>
      <c r="V54" s="503"/>
      <c r="W54" s="501"/>
      <c r="X54" s="505"/>
      <c r="Y54" s="501"/>
      <c r="Z54" s="501"/>
      <c r="AA54" s="501"/>
      <c r="AB54" s="501"/>
      <c r="AC54" s="501"/>
      <c r="AD54" s="507"/>
      <c r="AE54" s="501"/>
      <c r="AF54" s="501"/>
      <c r="AG54" s="501"/>
      <c r="AH54" s="508"/>
      <c r="AI54" s="501"/>
      <c r="AJ54" s="509"/>
      <c r="AK54" s="501"/>
      <c r="AL54" s="510"/>
      <c r="AM54" s="511"/>
      <c r="AN54" s="503"/>
      <c r="AO54" s="509"/>
      <c r="AP54" s="510"/>
      <c r="AQ54" s="503"/>
      <c r="AR54" s="506"/>
      <c r="AS54" s="506"/>
      <c r="AT54" s="509"/>
      <c r="AU54" s="513"/>
      <c r="AV54" s="513"/>
      <c r="AW54" s="514"/>
      <c r="AX54" s="509"/>
      <c r="AY54" s="506"/>
      <c r="AZ54" s="506"/>
      <c r="BA54" s="506"/>
      <c r="BB54" s="505"/>
      <c r="BC54" s="505"/>
      <c r="BD54" s="501"/>
      <c r="BE54" s="509"/>
      <c r="BF54" s="501"/>
      <c r="BG54" s="512"/>
      <c r="BH54" s="501"/>
      <c r="BI54" s="502"/>
      <c r="BJ54" s="501"/>
      <c r="BK54" s="516"/>
      <c r="BL54" s="517"/>
    </row>
    <row customHeight="true" ht="13.333333333333332" r="55">
      <c r="A55" s="500">
        <v>46044</v>
      </c>
      <c r="B55" s="501" t="s">
        <v>1285</v>
      </c>
      <c r="C55" s="502"/>
      <c r="D55" s="501">
        <v>54.99</v>
      </c>
      <c r="E55" s="503">
        <v>0</v>
      </c>
      <c r="F55" s="503">
        <v>0</v>
      </c>
      <c r="G55" s="503">
        <v>0</v>
      </c>
      <c r="H55" s="501"/>
      <c r="I55" s="503"/>
      <c r="J55" s="505"/>
      <c r="K55" s="501"/>
      <c r="L55" s="501"/>
      <c r="M55" s="501"/>
      <c r="N55" s="503"/>
      <c r="O55" s="506"/>
      <c r="P55" s="506"/>
      <c r="Q55" s="501"/>
      <c r="R55" s="501"/>
      <c r="S55" s="501">
        <f>'意大利ERP数据'!Z54</f>
      </c>
      <c r="T55" s="501"/>
      <c r="U55" s="501"/>
      <c r="V55" s="503"/>
      <c r="W55" s="501"/>
      <c r="X55" s="505"/>
      <c r="Y55" s="501"/>
      <c r="Z55" s="501"/>
      <c r="AA55" s="501"/>
      <c r="AB55" s="501"/>
      <c r="AC55" s="501"/>
      <c r="AD55" s="507"/>
      <c r="AE55" s="501"/>
      <c r="AF55" s="501"/>
      <c r="AG55" s="501"/>
      <c r="AH55" s="508"/>
      <c r="AI55" s="501"/>
      <c r="AJ55" s="509"/>
      <c r="AK55" s="501"/>
      <c r="AL55" s="510"/>
      <c r="AM55" s="511"/>
      <c r="AN55" s="503"/>
      <c r="AO55" s="509"/>
      <c r="AP55" s="510"/>
      <c r="AQ55" s="503"/>
      <c r="AR55" s="506"/>
      <c r="AS55" s="506"/>
      <c r="AT55" s="509"/>
      <c r="AU55" s="513"/>
      <c r="AV55" s="513"/>
      <c r="AW55" s="514"/>
      <c r="AX55" s="509"/>
      <c r="AY55" s="506"/>
      <c r="AZ55" s="506"/>
      <c r="BA55" s="506"/>
      <c r="BB55" s="505"/>
      <c r="BC55" s="505"/>
      <c r="BD55" s="501"/>
      <c r="BE55" s="509"/>
      <c r="BF55" s="501"/>
      <c r="BG55" s="512"/>
      <c r="BH55" s="501"/>
      <c r="BI55" s="502"/>
      <c r="BJ55" s="501"/>
      <c r="BK55" s="516"/>
      <c r="BL55" s="517"/>
    </row>
    <row customHeight="true" ht="13.333333333333332" r="56">
      <c r="A56" s="500">
        <v>46045</v>
      </c>
      <c r="B56" s="501" t="s">
        <v>1286</v>
      </c>
      <c r="C56" s="502"/>
      <c r="D56" s="501">
        <v>54.99</v>
      </c>
      <c r="E56" s="503">
        <v>0</v>
      </c>
      <c r="F56" s="503">
        <v>0</v>
      </c>
      <c r="G56" s="503">
        <v>0</v>
      </c>
      <c r="H56" s="501"/>
      <c r="I56" s="503"/>
      <c r="J56" s="505"/>
      <c r="K56" s="501"/>
      <c r="L56" s="501"/>
      <c r="M56" s="501"/>
      <c r="N56" s="503"/>
      <c r="O56" s="506"/>
      <c r="P56" s="506"/>
      <c r="Q56" s="501"/>
      <c r="R56" s="501"/>
      <c r="S56" s="501">
        <f>'意大利ERP数据'!Z55</f>
      </c>
      <c r="T56" s="501"/>
      <c r="U56" s="501"/>
      <c r="V56" s="503"/>
      <c r="W56" s="501"/>
      <c r="X56" s="505"/>
      <c r="Y56" s="501"/>
      <c r="Z56" s="501"/>
      <c r="AA56" s="501"/>
      <c r="AB56" s="501"/>
      <c r="AC56" s="501"/>
      <c r="AD56" s="507"/>
      <c r="AE56" s="501"/>
      <c r="AF56" s="501"/>
      <c r="AG56" s="501"/>
      <c r="AH56" s="508"/>
      <c r="AI56" s="501"/>
      <c r="AJ56" s="509"/>
      <c r="AK56" s="501"/>
      <c r="AL56" s="510"/>
      <c r="AM56" s="511"/>
      <c r="AN56" s="503"/>
      <c r="AO56" s="509"/>
      <c r="AP56" s="510"/>
      <c r="AQ56" s="503"/>
      <c r="AR56" s="506"/>
      <c r="AS56" s="506"/>
      <c r="AT56" s="509"/>
      <c r="AU56" s="513"/>
      <c r="AV56" s="513"/>
      <c r="AW56" s="514"/>
      <c r="AX56" s="509"/>
      <c r="AY56" s="506"/>
      <c r="AZ56" s="506"/>
      <c r="BA56" s="506"/>
      <c r="BB56" s="505"/>
      <c r="BC56" s="505"/>
      <c r="BD56" s="501"/>
      <c r="BE56" s="509"/>
      <c r="BF56" s="501"/>
      <c r="BG56" s="512"/>
      <c r="BH56" s="501"/>
      <c r="BI56" s="502"/>
      <c r="BJ56" s="501"/>
      <c r="BK56" s="516"/>
      <c r="BL56" s="517"/>
    </row>
    <row customHeight="true" ht="13.333333333333332" r="57">
      <c r="A57" s="500">
        <v>46046</v>
      </c>
      <c r="B57" s="501" t="s">
        <v>1287</v>
      </c>
      <c r="C57" s="502"/>
      <c r="D57" s="501">
        <v>54.99</v>
      </c>
      <c r="E57" s="503">
        <v>0</v>
      </c>
      <c r="F57" s="503">
        <v>0</v>
      </c>
      <c r="G57" s="503">
        <v>0</v>
      </c>
      <c r="H57" s="501"/>
      <c r="I57" s="503"/>
      <c r="J57" s="505"/>
      <c r="K57" s="501"/>
      <c r="L57" s="501"/>
      <c r="M57" s="501"/>
      <c r="N57" s="503"/>
      <c r="O57" s="506"/>
      <c r="P57" s="506"/>
      <c r="Q57" s="501"/>
      <c r="R57" s="501"/>
      <c r="S57" s="501">
        <f>'意大利ERP数据'!Z56</f>
      </c>
      <c r="T57" s="501"/>
      <c r="U57" s="501"/>
      <c r="V57" s="503"/>
      <c r="W57" s="501"/>
      <c r="X57" s="505"/>
      <c r="Y57" s="501"/>
      <c r="Z57" s="501"/>
      <c r="AA57" s="501"/>
      <c r="AB57" s="501"/>
      <c r="AC57" s="501"/>
      <c r="AD57" s="507"/>
      <c r="AE57" s="501"/>
      <c r="AF57" s="501"/>
      <c r="AG57" s="501"/>
      <c r="AH57" s="508"/>
      <c r="AI57" s="501"/>
      <c r="AJ57" s="509"/>
      <c r="AK57" s="501"/>
      <c r="AL57" s="510"/>
      <c r="AM57" s="511"/>
      <c r="AN57" s="503"/>
      <c r="AO57" s="509"/>
      <c r="AP57" s="510"/>
      <c r="AQ57" s="503"/>
      <c r="AR57" s="506"/>
      <c r="AS57" s="506"/>
      <c r="AT57" s="509"/>
      <c r="AU57" s="513"/>
      <c r="AV57" s="513"/>
      <c r="AW57" s="514"/>
      <c r="AX57" s="509"/>
      <c r="AY57" s="506"/>
      <c r="AZ57" s="506"/>
      <c r="BA57" s="506"/>
      <c r="BB57" s="505"/>
      <c r="BC57" s="505"/>
      <c r="BD57" s="501"/>
      <c r="BE57" s="509"/>
      <c r="BF57" s="501"/>
      <c r="BG57" s="512"/>
      <c r="BH57" s="501"/>
      <c r="BI57" s="502"/>
      <c r="BJ57" s="501"/>
      <c r="BK57" s="516"/>
      <c r="BL57" s="517"/>
    </row>
    <row customHeight="true" ht="13.333333333333332" r="58">
      <c r="A58" s="500">
        <v>46047</v>
      </c>
      <c r="B58" s="501" t="s">
        <v>1288</v>
      </c>
      <c r="C58" s="502"/>
      <c r="D58" s="501">
        <v>54.99</v>
      </c>
      <c r="E58" s="503">
        <v>0</v>
      </c>
      <c r="F58" s="503">
        <v>0</v>
      </c>
      <c r="G58" s="503">
        <v>0</v>
      </c>
      <c r="H58" s="501"/>
      <c r="I58" s="503"/>
      <c r="J58" s="505"/>
      <c r="K58" s="501"/>
      <c r="L58" s="501"/>
      <c r="M58" s="501"/>
      <c r="N58" s="503"/>
      <c r="O58" s="506"/>
      <c r="P58" s="506"/>
      <c r="Q58" s="501"/>
      <c r="R58" s="501"/>
      <c r="S58" s="501">
        <f>'意大利ERP数据'!Z57</f>
      </c>
      <c r="T58" s="501"/>
      <c r="U58" s="501"/>
      <c r="V58" s="503"/>
      <c r="W58" s="501"/>
      <c r="X58" s="505"/>
      <c r="Y58" s="501"/>
      <c r="Z58" s="501"/>
      <c r="AA58" s="501"/>
      <c r="AB58" s="501"/>
      <c r="AC58" s="501"/>
      <c r="AD58" s="507"/>
      <c r="AE58" s="501"/>
      <c r="AF58" s="501"/>
      <c r="AG58" s="501"/>
      <c r="AH58" s="508"/>
      <c r="AI58" s="501"/>
      <c r="AJ58" s="509"/>
      <c r="AK58" s="501"/>
      <c r="AL58" s="510"/>
      <c r="AM58" s="511"/>
      <c r="AN58" s="503"/>
      <c r="AO58" s="509"/>
      <c r="AP58" s="510"/>
      <c r="AQ58" s="503"/>
      <c r="AR58" s="506"/>
      <c r="AS58" s="506"/>
      <c r="AT58" s="509"/>
      <c r="AU58" s="513"/>
      <c r="AV58" s="513"/>
      <c r="AW58" s="514"/>
      <c r="AX58" s="509"/>
      <c r="AY58" s="506"/>
      <c r="AZ58" s="506"/>
      <c r="BA58" s="506"/>
      <c r="BB58" s="505"/>
      <c r="BC58" s="505"/>
      <c r="BD58" s="501"/>
      <c r="BE58" s="509"/>
      <c r="BF58" s="501"/>
      <c r="BG58" s="512"/>
      <c r="BH58" s="501"/>
      <c r="BI58" s="502"/>
      <c r="BJ58" s="501"/>
      <c r="BK58" s="516"/>
      <c r="BL58" s="517"/>
    </row>
    <row customHeight="true" ht="13.333333333333332" r="59">
      <c r="A59" s="500">
        <v>46048</v>
      </c>
      <c r="B59" s="501" t="s">
        <v>1281</v>
      </c>
      <c r="C59" s="502"/>
      <c r="D59" s="501">
        <v>54.99</v>
      </c>
      <c r="E59" s="503">
        <v>0</v>
      </c>
      <c r="F59" s="503">
        <v>0</v>
      </c>
      <c r="G59" s="503">
        <v>0</v>
      </c>
      <c r="H59" s="501"/>
      <c r="I59" s="503"/>
      <c r="J59" s="505"/>
      <c r="K59" s="501"/>
      <c r="L59" s="501"/>
      <c r="M59" s="501"/>
      <c r="N59" s="503"/>
      <c r="O59" s="506"/>
      <c r="P59" s="506"/>
      <c r="Q59" s="501"/>
      <c r="R59" s="501"/>
      <c r="S59" s="501">
        <f>'意大利ERP数据'!Z58</f>
      </c>
      <c r="T59" s="501"/>
      <c r="U59" s="501"/>
      <c r="V59" s="503"/>
      <c r="W59" s="501"/>
      <c r="X59" s="505"/>
      <c r="Y59" s="501"/>
      <c r="Z59" s="501"/>
      <c r="AA59" s="501"/>
      <c r="AB59" s="501"/>
      <c r="AC59" s="501"/>
      <c r="AD59" s="507"/>
      <c r="AE59" s="501"/>
      <c r="AF59" s="501"/>
      <c r="AG59" s="501"/>
      <c r="AH59" s="508"/>
      <c r="AI59" s="501"/>
      <c r="AJ59" s="509"/>
      <c r="AK59" s="501"/>
      <c r="AL59" s="510"/>
      <c r="AM59" s="511"/>
      <c r="AN59" s="503"/>
      <c r="AO59" s="509"/>
      <c r="AP59" s="510"/>
      <c r="AQ59" s="503"/>
      <c r="AR59" s="506"/>
      <c r="AS59" s="506"/>
      <c r="AT59" s="509"/>
      <c r="AU59" s="513"/>
      <c r="AV59" s="513"/>
      <c r="AW59" s="514"/>
      <c r="AX59" s="509"/>
      <c r="AY59" s="506"/>
      <c r="AZ59" s="506"/>
      <c r="BA59" s="506"/>
      <c r="BB59" s="505"/>
      <c r="BC59" s="505"/>
      <c r="BD59" s="501"/>
      <c r="BE59" s="509"/>
      <c r="BF59" s="501"/>
      <c r="BG59" s="512"/>
      <c r="BH59" s="501"/>
      <c r="BI59" s="502"/>
      <c r="BJ59" s="501"/>
      <c r="BK59" s="516"/>
      <c r="BL59" s="517"/>
    </row>
    <row customHeight="true" ht="13.333333333333332" r="60">
      <c r="A60" s="500">
        <v>46049</v>
      </c>
      <c r="B60" s="501" t="s">
        <v>1283</v>
      </c>
      <c r="C60" s="502"/>
      <c r="D60" s="501">
        <v>54.99</v>
      </c>
      <c r="E60" s="503">
        <v>0</v>
      </c>
      <c r="F60" s="503">
        <v>0</v>
      </c>
      <c r="G60" s="503">
        <v>0</v>
      </c>
      <c r="H60" s="501"/>
      <c r="I60" s="503"/>
      <c r="J60" s="505"/>
      <c r="K60" s="501"/>
      <c r="L60" s="501"/>
      <c r="M60" s="501"/>
      <c r="N60" s="503"/>
      <c r="O60" s="506"/>
      <c r="P60" s="506"/>
      <c r="Q60" s="501"/>
      <c r="R60" s="501"/>
      <c r="S60" s="501">
        <f>'意大利ERP数据'!Z59</f>
      </c>
      <c r="T60" s="501"/>
      <c r="U60" s="501"/>
      <c r="V60" s="503"/>
      <c r="W60" s="501"/>
      <c r="X60" s="505"/>
      <c r="Y60" s="501"/>
      <c r="Z60" s="501"/>
      <c r="AA60" s="501"/>
      <c r="AB60" s="501"/>
      <c r="AC60" s="501"/>
      <c r="AD60" s="507"/>
      <c r="AE60" s="501"/>
      <c r="AF60" s="501"/>
      <c r="AG60" s="501"/>
      <c r="AH60" s="508"/>
      <c r="AI60" s="501"/>
      <c r="AJ60" s="509"/>
      <c r="AK60" s="501"/>
      <c r="AL60" s="510"/>
      <c r="AM60" s="511"/>
      <c r="AN60" s="503"/>
      <c r="AO60" s="509"/>
      <c r="AP60" s="510"/>
      <c r="AQ60" s="503"/>
      <c r="AR60" s="506"/>
      <c r="AS60" s="506"/>
      <c r="AT60" s="509"/>
      <c r="AU60" s="513"/>
      <c r="AV60" s="513"/>
      <c r="AW60" s="514"/>
      <c r="AX60" s="509"/>
      <c r="AY60" s="506"/>
      <c r="AZ60" s="506"/>
      <c r="BA60" s="506"/>
      <c r="BB60" s="505"/>
      <c r="BC60" s="505"/>
      <c r="BD60" s="501"/>
      <c r="BE60" s="509"/>
      <c r="BF60" s="501"/>
      <c r="BG60" s="512"/>
      <c r="BH60" s="501"/>
      <c r="BI60" s="502"/>
      <c r="BJ60" s="501"/>
      <c r="BK60" s="516"/>
      <c r="BL60" s="517"/>
    </row>
    <row customHeight="true" ht="13.333333333333332" r="61">
      <c r="A61" s="500">
        <v>46050</v>
      </c>
      <c r="B61" s="501" t="s">
        <v>1284</v>
      </c>
      <c r="C61" s="502"/>
      <c r="D61" s="501">
        <v>54.99</v>
      </c>
      <c r="E61" s="503">
        <v>0</v>
      </c>
      <c r="F61" s="503">
        <v>0</v>
      </c>
      <c r="G61" s="503">
        <v>0</v>
      </c>
      <c r="H61" s="501"/>
      <c r="I61" s="503"/>
      <c r="J61" s="505"/>
      <c r="K61" s="501"/>
      <c r="L61" s="501"/>
      <c r="M61" s="501"/>
      <c r="N61" s="503"/>
      <c r="O61" s="506"/>
      <c r="P61" s="506"/>
      <c r="Q61" s="501"/>
      <c r="R61" s="501"/>
      <c r="S61" s="501">
        <f>'意大利ERP数据'!Z60</f>
      </c>
      <c r="T61" s="501"/>
      <c r="U61" s="501"/>
      <c r="V61" s="503"/>
      <c r="W61" s="501"/>
      <c r="X61" s="505"/>
      <c r="Y61" s="501"/>
      <c r="Z61" s="501"/>
      <c r="AA61" s="501"/>
      <c r="AB61" s="501"/>
      <c r="AC61" s="501"/>
      <c r="AD61" s="507"/>
      <c r="AE61" s="501"/>
      <c r="AF61" s="501"/>
      <c r="AG61" s="501"/>
      <c r="AH61" s="508"/>
      <c r="AI61" s="501"/>
      <c r="AJ61" s="509"/>
      <c r="AK61" s="501"/>
      <c r="AL61" s="510"/>
      <c r="AM61" s="511"/>
      <c r="AN61" s="503"/>
      <c r="AO61" s="509"/>
      <c r="AP61" s="510"/>
      <c r="AQ61" s="503"/>
      <c r="AR61" s="506"/>
      <c r="AS61" s="506"/>
      <c r="AT61" s="509"/>
      <c r="AU61" s="513"/>
      <c r="AV61" s="513"/>
      <c r="AW61" s="514"/>
      <c r="AX61" s="509"/>
      <c r="AY61" s="506"/>
      <c r="AZ61" s="506"/>
      <c r="BA61" s="506"/>
      <c r="BB61" s="505"/>
      <c r="BC61" s="505"/>
      <c r="BD61" s="501"/>
      <c r="BE61" s="509"/>
      <c r="BF61" s="501"/>
      <c r="BG61" s="512"/>
      <c r="BH61" s="501"/>
      <c r="BI61" s="502"/>
      <c r="BJ61" s="501"/>
      <c r="BK61" s="516"/>
      <c r="BL61" s="517"/>
    </row>
    <row customHeight="true" ht="13.333333333333332" r="62">
      <c r="A62" s="500">
        <v>46051</v>
      </c>
      <c r="B62" s="501" t="s">
        <v>1285</v>
      </c>
      <c r="C62" s="502"/>
      <c r="D62" s="501">
        <v>54.99</v>
      </c>
      <c r="E62" s="503">
        <v>0</v>
      </c>
      <c r="F62" s="503">
        <v>0</v>
      </c>
      <c r="G62" s="503">
        <v>0</v>
      </c>
      <c r="H62" s="501"/>
      <c r="I62" s="503"/>
      <c r="J62" s="505"/>
      <c r="K62" s="501"/>
      <c r="L62" s="501"/>
      <c r="M62" s="501"/>
      <c r="N62" s="503"/>
      <c r="O62" s="506"/>
      <c r="P62" s="506"/>
      <c r="Q62" s="501"/>
      <c r="R62" s="501"/>
      <c r="S62" s="501">
        <f>'意大利ERP数据'!Z61</f>
      </c>
      <c r="T62" s="501"/>
      <c r="U62" s="501"/>
      <c r="V62" s="503"/>
      <c r="W62" s="501"/>
      <c r="X62" s="505"/>
      <c r="Y62" s="501"/>
      <c r="Z62" s="501"/>
      <c r="AA62" s="501"/>
      <c r="AB62" s="501"/>
      <c r="AC62" s="501"/>
      <c r="AD62" s="507"/>
      <c r="AE62" s="501"/>
      <c r="AF62" s="501"/>
      <c r="AG62" s="501"/>
      <c r="AH62" s="508"/>
      <c r="AI62" s="501"/>
      <c r="AJ62" s="509"/>
      <c r="AK62" s="501"/>
      <c r="AL62" s="510"/>
      <c r="AM62" s="511"/>
      <c r="AN62" s="503"/>
      <c r="AO62" s="509"/>
      <c r="AP62" s="510"/>
      <c r="AQ62" s="503"/>
      <c r="AR62" s="506"/>
      <c r="AS62" s="506"/>
      <c r="AT62" s="509"/>
      <c r="AU62" s="513"/>
      <c r="AV62" s="513"/>
      <c r="AW62" s="514"/>
      <c r="AX62" s="509"/>
      <c r="AY62" s="506"/>
      <c r="AZ62" s="506"/>
      <c r="BA62" s="506"/>
      <c r="BB62" s="505"/>
      <c r="BC62" s="505"/>
      <c r="BD62" s="501"/>
      <c r="BE62" s="509"/>
      <c r="BF62" s="501"/>
      <c r="BG62" s="512"/>
      <c r="BH62" s="501"/>
      <c r="BI62" s="502"/>
      <c r="BJ62" s="501"/>
      <c r="BK62" s="516"/>
      <c r="BL62" s="517"/>
    </row>
    <row customHeight="true" ht="13.333333333333332" r="63">
      <c r="A63" s="500">
        <v>46052</v>
      </c>
      <c r="B63" s="501" t="s">
        <v>1286</v>
      </c>
      <c r="C63" s="502"/>
      <c r="D63" s="501">
        <v>54.99</v>
      </c>
      <c r="E63" s="503">
        <v>0</v>
      </c>
      <c r="F63" s="503">
        <v>0</v>
      </c>
      <c r="G63" s="503">
        <v>0</v>
      </c>
      <c r="H63" s="501"/>
      <c r="I63" s="503"/>
      <c r="J63" s="505"/>
      <c r="K63" s="501"/>
      <c r="L63" s="501"/>
      <c r="M63" s="501"/>
      <c r="N63" s="503"/>
      <c r="O63" s="506"/>
      <c r="P63" s="506"/>
      <c r="Q63" s="501"/>
      <c r="R63" s="501"/>
      <c r="S63" s="501">
        <f>'意大利ERP数据'!Z62</f>
      </c>
      <c r="T63" s="501"/>
      <c r="U63" s="501"/>
      <c r="V63" s="503"/>
      <c r="W63" s="501"/>
      <c r="X63" s="505"/>
      <c r="Y63" s="501"/>
      <c r="Z63" s="501"/>
      <c r="AA63" s="501"/>
      <c r="AB63" s="501"/>
      <c r="AC63" s="501"/>
      <c r="AD63" s="507"/>
      <c r="AE63" s="501"/>
      <c r="AF63" s="501"/>
      <c r="AG63" s="501"/>
      <c r="AH63" s="508"/>
      <c r="AI63" s="501"/>
      <c r="AJ63" s="509"/>
      <c r="AK63" s="501"/>
      <c r="AL63" s="510"/>
      <c r="AM63" s="511"/>
      <c r="AN63" s="503"/>
      <c r="AO63" s="509"/>
      <c r="AP63" s="510"/>
      <c r="AQ63" s="503"/>
      <c r="AR63" s="506"/>
      <c r="AS63" s="506"/>
      <c r="AT63" s="509"/>
      <c r="AU63" s="513"/>
      <c r="AV63" s="513"/>
      <c r="AW63" s="514"/>
      <c r="AX63" s="509"/>
      <c r="AY63" s="506"/>
      <c r="AZ63" s="506"/>
      <c r="BA63" s="506"/>
      <c r="BB63" s="505"/>
      <c r="BC63" s="505"/>
      <c r="BD63" s="501"/>
      <c r="BE63" s="509"/>
      <c r="BF63" s="501"/>
      <c r="BG63" s="512"/>
      <c r="BH63" s="501"/>
      <c r="BI63" s="502"/>
      <c r="BJ63" s="501"/>
      <c r="BK63" s="516"/>
      <c r="BL63" s="517"/>
    </row>
    <row customHeight="true" ht="13.333333333333332" r="64">
      <c r="A64" s="500">
        <v>46053</v>
      </c>
      <c r="B64" s="501" t="s">
        <v>1287</v>
      </c>
      <c r="C64" s="502"/>
      <c r="D64" s="501">
        <v>54.99</v>
      </c>
      <c r="E64" s="503">
        <v>0</v>
      </c>
      <c r="F64" s="503">
        <v>0</v>
      </c>
      <c r="G64" s="503">
        <v>0</v>
      </c>
      <c r="H64" s="501"/>
      <c r="I64" s="503"/>
      <c r="J64" s="505"/>
      <c r="K64" s="501"/>
      <c r="L64" s="501"/>
      <c r="M64" s="501"/>
      <c r="N64" s="503"/>
      <c r="O64" s="506"/>
      <c r="P64" s="506"/>
      <c r="Q64" s="501"/>
      <c r="R64" s="501"/>
      <c r="S64" s="501">
        <f>'意大利ERP数据'!Z63</f>
      </c>
      <c r="T64" s="501"/>
      <c r="U64" s="501"/>
      <c r="V64" s="503"/>
      <c r="W64" s="501"/>
      <c r="X64" s="505"/>
      <c r="Y64" s="501"/>
      <c r="Z64" s="501"/>
      <c r="AA64" s="501"/>
      <c r="AB64" s="501"/>
      <c r="AC64" s="501"/>
      <c r="AD64" s="507"/>
      <c r="AE64" s="501"/>
      <c r="AF64" s="501"/>
      <c r="AG64" s="501"/>
      <c r="AH64" s="508"/>
      <c r="AI64" s="501"/>
      <c r="AJ64" s="509"/>
      <c r="AK64" s="501"/>
      <c r="AL64" s="510"/>
      <c r="AM64" s="511"/>
      <c r="AN64" s="503"/>
      <c r="AO64" s="509"/>
      <c r="AP64" s="510"/>
      <c r="AQ64" s="503"/>
      <c r="AR64" s="506"/>
      <c r="AS64" s="506"/>
      <c r="AT64" s="509"/>
      <c r="AU64" s="513"/>
      <c r="AV64" s="513"/>
      <c r="AW64" s="514"/>
      <c r="AX64" s="509"/>
      <c r="AY64" s="506"/>
      <c r="AZ64" s="506"/>
      <c r="BA64" s="506"/>
      <c r="BB64" s="505"/>
      <c r="BC64" s="505"/>
      <c r="BD64" s="501"/>
      <c r="BE64" s="509"/>
      <c r="BF64" s="501"/>
      <c r="BG64" s="512"/>
      <c r="BH64" s="501"/>
      <c r="BI64" s="502"/>
      <c r="BJ64" s="501"/>
      <c r="BK64" s="516"/>
      <c r="BL64" s="517"/>
    </row>
    <row customHeight="true" ht="13.333333333333332" r="65">
      <c r="A65" s="500">
        <v>46054</v>
      </c>
      <c r="B65" s="501" t="s">
        <v>1288</v>
      </c>
      <c r="C65" s="502"/>
      <c r="D65" s="501">
        <v>54.99</v>
      </c>
      <c r="E65" s="503">
        <v>0</v>
      </c>
      <c r="F65" s="503">
        <v>0</v>
      </c>
      <c r="G65" s="503">
        <v>0</v>
      </c>
      <c r="H65" s="501"/>
      <c r="I65" s="503"/>
      <c r="J65" s="505"/>
      <c r="K65" s="501"/>
      <c r="L65" s="501"/>
      <c r="M65" s="501"/>
      <c r="N65" s="503"/>
      <c r="O65" s="506"/>
      <c r="P65" s="506"/>
      <c r="Q65" s="501"/>
      <c r="R65" s="501"/>
      <c r="S65" s="501">
        <f>'意大利ERP数据'!Z64</f>
      </c>
      <c r="T65" s="501"/>
      <c r="U65" s="501"/>
      <c r="V65" s="503"/>
      <c r="W65" s="501"/>
      <c r="X65" s="505"/>
      <c r="Y65" s="501"/>
      <c r="Z65" s="501"/>
      <c r="AA65" s="501"/>
      <c r="AB65" s="501"/>
      <c r="AC65" s="501"/>
      <c r="AD65" s="507"/>
      <c r="AE65" s="501"/>
      <c r="AF65" s="501"/>
      <c r="AG65" s="501"/>
      <c r="AH65" s="508"/>
      <c r="AI65" s="501"/>
      <c r="AJ65" s="509"/>
      <c r="AK65" s="501"/>
      <c r="AL65" s="510"/>
      <c r="AM65" s="511"/>
      <c r="AN65" s="503"/>
      <c r="AO65" s="509"/>
      <c r="AP65" s="510"/>
      <c r="AQ65" s="503"/>
      <c r="AR65" s="506"/>
      <c r="AS65" s="506"/>
      <c r="AT65" s="509"/>
      <c r="AU65" s="513"/>
      <c r="AV65" s="513"/>
      <c r="AW65" s="514"/>
      <c r="AX65" s="509"/>
      <c r="AY65" s="506"/>
      <c r="AZ65" s="506"/>
      <c r="BA65" s="506"/>
      <c r="BB65" s="505"/>
      <c r="BC65" s="505"/>
      <c r="BD65" s="501"/>
      <c r="BE65" s="509"/>
      <c r="BF65" s="501"/>
      <c r="BG65" s="512"/>
      <c r="BH65" s="501"/>
      <c r="BI65" s="502"/>
      <c r="BJ65" s="501"/>
      <c r="BK65" s="516"/>
      <c r="BL65" s="517"/>
    </row>
    <row customHeight="true" ht="13.333333333333332" r="66">
      <c r="A66" s="500">
        <v>46055</v>
      </c>
      <c r="B66" s="501" t="s">
        <v>1281</v>
      </c>
      <c r="C66" s="502"/>
      <c r="D66" s="501">
        <v>54.99</v>
      </c>
      <c r="E66" s="503">
        <v>0</v>
      </c>
      <c r="F66" s="503">
        <v>0</v>
      </c>
      <c r="G66" s="503">
        <v>0</v>
      </c>
      <c r="H66" s="501"/>
      <c r="I66" s="503"/>
      <c r="J66" s="505"/>
      <c r="K66" s="501"/>
      <c r="L66" s="501"/>
      <c r="M66" s="501"/>
      <c r="N66" s="503"/>
      <c r="O66" s="506"/>
      <c r="P66" s="506"/>
      <c r="Q66" s="501"/>
      <c r="R66" s="501"/>
      <c r="S66" s="501">
        <f>'意大利ERP数据'!Z65</f>
      </c>
      <c r="T66" s="501"/>
      <c r="U66" s="501"/>
      <c r="V66" s="503"/>
      <c r="W66" s="501"/>
      <c r="X66" s="505"/>
      <c r="Y66" s="501"/>
      <c r="Z66" s="501"/>
      <c r="AA66" s="501"/>
      <c r="AB66" s="501"/>
      <c r="AC66" s="501"/>
      <c r="AD66" s="507"/>
      <c r="AE66" s="501"/>
      <c r="AF66" s="501"/>
      <c r="AG66" s="501"/>
      <c r="AH66" s="508"/>
      <c r="AI66" s="501"/>
      <c r="AJ66" s="509"/>
      <c r="AK66" s="501"/>
      <c r="AL66" s="510"/>
      <c r="AM66" s="511"/>
      <c r="AN66" s="503"/>
      <c r="AO66" s="509"/>
      <c r="AP66" s="510"/>
      <c r="AQ66" s="503"/>
      <c r="AR66" s="506"/>
      <c r="AS66" s="506"/>
      <c r="AT66" s="509"/>
      <c r="AU66" s="513"/>
      <c r="AV66" s="513"/>
      <c r="AW66" s="514"/>
      <c r="AX66" s="509"/>
      <c r="AY66" s="506"/>
      <c r="AZ66" s="506"/>
      <c r="BA66" s="506"/>
      <c r="BB66" s="505"/>
      <c r="BC66" s="505"/>
      <c r="BD66" s="501"/>
      <c r="BE66" s="509"/>
      <c r="BF66" s="501"/>
      <c r="BG66" s="512"/>
      <c r="BH66" s="501"/>
      <c r="BI66" s="502"/>
      <c r="BJ66" s="501"/>
      <c r="BK66" s="516"/>
      <c r="BL66" s="517"/>
    </row>
    <row customHeight="true" ht="13.333333333333332" r="67">
      <c r="A67" s="500">
        <v>46056</v>
      </c>
      <c r="B67" s="501" t="s">
        <v>1283</v>
      </c>
      <c r="C67" s="502"/>
      <c r="D67" s="501">
        <v>54.99</v>
      </c>
      <c r="E67" s="503">
        <v>0</v>
      </c>
      <c r="F67" s="503">
        <v>0</v>
      </c>
      <c r="G67" s="503">
        <v>0</v>
      </c>
      <c r="H67" s="501"/>
      <c r="I67" s="503"/>
      <c r="J67" s="505"/>
      <c r="K67" s="501"/>
      <c r="L67" s="501"/>
      <c r="M67" s="501"/>
      <c r="N67" s="503"/>
      <c r="O67" s="506"/>
      <c r="P67" s="506"/>
      <c r="Q67" s="501"/>
      <c r="R67" s="501"/>
      <c r="S67" s="501">
        <f>'意大利ERP数据'!Z66</f>
      </c>
      <c r="T67" s="501"/>
      <c r="U67" s="501"/>
      <c r="V67" s="503"/>
      <c r="W67" s="501"/>
      <c r="X67" s="505"/>
      <c r="Y67" s="501"/>
      <c r="Z67" s="501"/>
      <c r="AA67" s="501"/>
      <c r="AB67" s="501"/>
      <c r="AC67" s="501"/>
      <c r="AD67" s="507"/>
      <c r="AE67" s="501"/>
      <c r="AF67" s="501"/>
      <c r="AG67" s="501"/>
      <c r="AH67" s="508"/>
      <c r="AI67" s="501"/>
      <c r="AJ67" s="509"/>
      <c r="AK67" s="501"/>
      <c r="AL67" s="510"/>
      <c r="AM67" s="511"/>
      <c r="AN67" s="503"/>
      <c r="AO67" s="509"/>
      <c r="AP67" s="510"/>
      <c r="AQ67" s="503"/>
      <c r="AR67" s="506"/>
      <c r="AS67" s="506"/>
      <c r="AT67" s="509"/>
      <c r="AU67" s="513"/>
      <c r="AV67" s="513"/>
      <c r="AW67" s="514"/>
      <c r="AX67" s="509"/>
      <c r="AY67" s="506"/>
      <c r="AZ67" s="506"/>
      <c r="BA67" s="506"/>
      <c r="BB67" s="505"/>
      <c r="BC67" s="505"/>
      <c r="BD67" s="501"/>
      <c r="BE67" s="509"/>
      <c r="BF67" s="501"/>
      <c r="BG67" s="512"/>
      <c r="BH67" s="501"/>
      <c r="BI67" s="502"/>
      <c r="BJ67" s="501"/>
      <c r="BK67" s="516"/>
      <c r="BL67" s="517"/>
    </row>
    <row customHeight="true" ht="13.333333333333332" r="68">
      <c r="A68" s="500">
        <v>46057</v>
      </c>
      <c r="B68" s="501" t="s">
        <v>1284</v>
      </c>
      <c r="C68" s="502"/>
      <c r="D68" s="501">
        <v>54.99</v>
      </c>
      <c r="E68" s="503">
        <v>0</v>
      </c>
      <c r="F68" s="503">
        <v>0</v>
      </c>
      <c r="G68" s="503">
        <v>0</v>
      </c>
      <c r="H68" s="501"/>
      <c r="I68" s="503"/>
      <c r="J68" s="505"/>
      <c r="K68" s="501"/>
      <c r="L68" s="501"/>
      <c r="M68" s="501"/>
      <c r="N68" s="503"/>
      <c r="O68" s="506"/>
      <c r="P68" s="506"/>
      <c r="Q68" s="501"/>
      <c r="R68" s="501"/>
      <c r="S68" s="501">
        <f>'意大利ERP数据'!Z67</f>
      </c>
      <c r="T68" s="501"/>
      <c r="U68" s="501"/>
      <c r="V68" s="503"/>
      <c r="W68" s="501"/>
      <c r="X68" s="505"/>
      <c r="Y68" s="501"/>
      <c r="Z68" s="501"/>
      <c r="AA68" s="501"/>
      <c r="AB68" s="501"/>
      <c r="AC68" s="501"/>
      <c r="AD68" s="507"/>
      <c r="AE68" s="501"/>
      <c r="AF68" s="501"/>
      <c r="AG68" s="501"/>
      <c r="AH68" s="508"/>
      <c r="AI68" s="501"/>
      <c r="AJ68" s="509"/>
      <c r="AK68" s="501"/>
      <c r="AL68" s="510"/>
      <c r="AM68" s="511"/>
      <c r="AN68" s="503"/>
      <c r="AO68" s="509"/>
      <c r="AP68" s="510"/>
      <c r="AQ68" s="503"/>
      <c r="AR68" s="506"/>
      <c r="AS68" s="506"/>
      <c r="AT68" s="509"/>
      <c r="AU68" s="513"/>
      <c r="AV68" s="513"/>
      <c r="AW68" s="514"/>
      <c r="AX68" s="509"/>
      <c r="AY68" s="506"/>
      <c r="AZ68" s="506"/>
      <c r="BA68" s="506"/>
      <c r="BB68" s="505"/>
      <c r="BC68" s="505"/>
      <c r="BD68" s="501"/>
      <c r="BE68" s="509"/>
      <c r="BF68" s="501"/>
      <c r="BG68" s="512"/>
      <c r="BH68" s="501"/>
      <c r="BI68" s="502"/>
      <c r="BJ68" s="501"/>
      <c r="BK68" s="516"/>
      <c r="BL68" s="518"/>
    </row>
    <row customHeight="true" ht="13.333333333333332" r="69">
      <c r="A69" s="500">
        <v>46058</v>
      </c>
      <c r="B69" s="501" t="s">
        <v>1285</v>
      </c>
      <c r="C69" s="519"/>
      <c r="D69" s="501">
        <v>54.99</v>
      </c>
      <c r="E69" s="503">
        <v>0</v>
      </c>
      <c r="F69" s="503">
        <v>0</v>
      </c>
      <c r="G69" s="503">
        <v>0</v>
      </c>
      <c r="H69" s="501"/>
      <c r="I69" s="503"/>
      <c r="J69" s="505"/>
      <c r="K69" s="501"/>
      <c r="L69" s="501"/>
      <c r="M69" s="501"/>
      <c r="N69" s="503"/>
      <c r="O69" s="506"/>
      <c r="P69" s="506"/>
      <c r="Q69" s="501"/>
      <c r="R69" s="501"/>
      <c r="S69" s="501">
        <f>'意大利ERP数据'!Z68</f>
      </c>
      <c r="T69" s="501"/>
      <c r="U69" s="501"/>
      <c r="V69" s="503"/>
      <c r="W69" s="501"/>
      <c r="X69" s="505"/>
      <c r="Y69" s="501"/>
      <c r="Z69" s="501"/>
      <c r="AA69" s="501"/>
      <c r="AB69" s="501"/>
      <c r="AC69" s="501"/>
      <c r="AD69" s="507"/>
      <c r="AE69" s="501"/>
      <c r="AF69" s="501"/>
      <c r="AG69" s="501"/>
      <c r="AH69" s="508"/>
      <c r="AI69" s="501"/>
      <c r="AJ69" s="509"/>
      <c r="AK69" s="501"/>
      <c r="AL69" s="510"/>
      <c r="AM69" s="511"/>
      <c r="AN69" s="503"/>
      <c r="AO69" s="509"/>
      <c r="AP69" s="510"/>
      <c r="AQ69" s="503"/>
      <c r="AR69" s="506"/>
      <c r="AS69" s="506"/>
      <c r="AT69" s="509"/>
      <c r="AU69" s="513"/>
      <c r="AV69" s="513"/>
      <c r="AW69" s="514"/>
      <c r="AX69" s="509"/>
      <c r="AY69" s="506"/>
      <c r="AZ69" s="506"/>
      <c r="BA69" s="506"/>
      <c r="BB69" s="505"/>
      <c r="BC69" s="505"/>
      <c r="BD69" s="501"/>
      <c r="BE69" s="509"/>
      <c r="BF69" s="501"/>
      <c r="BG69" s="512"/>
      <c r="BH69" s="501"/>
      <c r="BI69" s="502"/>
      <c r="BJ69" s="501"/>
      <c r="BK69" s="516"/>
      <c r="BL69" s="518"/>
    </row>
    <row customHeight="true" ht="13.333333333333332" r="70">
      <c r="A70" s="500">
        <v>46059</v>
      </c>
      <c r="B70" s="501" t="s">
        <v>1286</v>
      </c>
      <c r="C70" s="519"/>
      <c r="D70" s="501">
        <v>54.99</v>
      </c>
      <c r="E70" s="503">
        <v>0</v>
      </c>
      <c r="F70" s="503">
        <v>0</v>
      </c>
      <c r="G70" s="503">
        <v>0</v>
      </c>
      <c r="H70" s="501"/>
      <c r="I70" s="503"/>
      <c r="J70" s="505"/>
      <c r="K70" s="501"/>
      <c r="L70" s="501"/>
      <c r="M70" s="501"/>
      <c r="N70" s="503"/>
      <c r="O70" s="506"/>
      <c r="P70" s="506"/>
      <c r="Q70" s="501"/>
      <c r="R70" s="501"/>
      <c r="S70" s="501">
        <f>'意大利ERP数据'!Z69</f>
      </c>
      <c r="T70" s="501"/>
      <c r="U70" s="501"/>
      <c r="V70" s="503"/>
      <c r="W70" s="501"/>
      <c r="X70" s="505"/>
      <c r="Y70" s="501"/>
      <c r="Z70" s="501"/>
      <c r="AA70" s="501"/>
      <c r="AB70" s="501"/>
      <c r="AC70" s="501"/>
      <c r="AD70" s="507"/>
      <c r="AE70" s="501"/>
      <c r="AF70" s="501"/>
      <c r="AG70" s="501"/>
      <c r="AH70" s="508"/>
      <c r="AI70" s="501"/>
      <c r="AJ70" s="509"/>
      <c r="AK70" s="501"/>
      <c r="AL70" s="510"/>
      <c r="AM70" s="511"/>
      <c r="AN70" s="503"/>
      <c r="AO70" s="509"/>
      <c r="AP70" s="510"/>
      <c r="AQ70" s="503"/>
      <c r="AR70" s="506"/>
      <c r="AS70" s="506"/>
      <c r="AT70" s="509"/>
      <c r="AU70" s="513"/>
      <c r="AV70" s="513"/>
      <c r="AW70" s="514"/>
      <c r="AX70" s="509"/>
      <c r="AY70" s="506"/>
      <c r="AZ70" s="506"/>
      <c r="BA70" s="506"/>
      <c r="BB70" s="505"/>
      <c r="BC70" s="505"/>
      <c r="BD70" s="501"/>
      <c r="BE70" s="509"/>
      <c r="BF70" s="501"/>
      <c r="BG70" s="512"/>
      <c r="BH70" s="501"/>
      <c r="BI70" s="502"/>
      <c r="BJ70" s="501"/>
      <c r="BK70" s="516"/>
      <c r="BL70" s="518"/>
    </row>
    <row customHeight="true" ht="13.333333333333332" r="71">
      <c r="A71" s="500">
        <v>46060</v>
      </c>
      <c r="B71" s="501" t="s">
        <v>1287</v>
      </c>
      <c r="C71" s="519"/>
      <c r="D71" s="501">
        <v>54.99</v>
      </c>
      <c r="E71" s="503">
        <v>0</v>
      </c>
      <c r="F71" s="503">
        <v>0</v>
      </c>
      <c r="G71" s="503">
        <v>0</v>
      </c>
      <c r="H71" s="501"/>
      <c r="I71" s="503"/>
      <c r="J71" s="505"/>
      <c r="K71" s="501"/>
      <c r="L71" s="501"/>
      <c r="M71" s="501"/>
      <c r="N71" s="503"/>
      <c r="O71" s="506"/>
      <c r="P71" s="506"/>
      <c r="Q71" s="501"/>
      <c r="R71" s="501"/>
      <c r="S71" s="501">
        <f>'意大利ERP数据'!Z70</f>
      </c>
      <c r="T71" s="501"/>
      <c r="U71" s="501"/>
      <c r="V71" s="503"/>
      <c r="W71" s="501"/>
      <c r="X71" s="505"/>
      <c r="Y71" s="501"/>
      <c r="Z71" s="501"/>
      <c r="AA71" s="501"/>
      <c r="AB71" s="501"/>
      <c r="AC71" s="501"/>
      <c r="AD71" s="507"/>
      <c r="AE71" s="501"/>
      <c r="AF71" s="501"/>
      <c r="AG71" s="501"/>
      <c r="AH71" s="508"/>
      <c r="AI71" s="501"/>
      <c r="AJ71" s="509"/>
      <c r="AK71" s="501"/>
      <c r="AL71" s="510"/>
      <c r="AM71" s="511"/>
      <c r="AN71" s="503"/>
      <c r="AO71" s="509"/>
      <c r="AP71" s="510"/>
      <c r="AQ71" s="503"/>
      <c r="AR71" s="506"/>
      <c r="AS71" s="506"/>
      <c r="AT71" s="509"/>
      <c r="AU71" s="513"/>
      <c r="AV71" s="513"/>
      <c r="AW71" s="514"/>
      <c r="AX71" s="509"/>
      <c r="AY71" s="506"/>
      <c r="AZ71" s="506"/>
      <c r="BA71" s="506"/>
      <c r="BB71" s="505"/>
      <c r="BC71" s="505"/>
      <c r="BD71" s="501"/>
      <c r="BE71" s="509"/>
      <c r="BF71" s="501"/>
      <c r="BG71" s="512"/>
      <c r="BH71" s="501"/>
      <c r="BI71" s="502"/>
      <c r="BJ71" s="501"/>
      <c r="BK71" s="516"/>
      <c r="BL71" s="518"/>
    </row>
    <row customHeight="true" ht="13.333333333333332" r="72">
      <c r="A72" s="500">
        <v>46061</v>
      </c>
      <c r="B72" s="501" t="s">
        <v>1288</v>
      </c>
      <c r="C72" s="519"/>
      <c r="D72" s="501">
        <v>54.99</v>
      </c>
      <c r="E72" s="503">
        <v>0</v>
      </c>
      <c r="F72" s="503">
        <v>0</v>
      </c>
      <c r="G72" s="503">
        <v>0</v>
      </c>
      <c r="H72" s="501"/>
      <c r="I72" s="503"/>
      <c r="J72" s="505"/>
      <c r="K72" s="501"/>
      <c r="L72" s="501"/>
      <c r="M72" s="501"/>
      <c r="N72" s="503"/>
      <c r="O72" s="506"/>
      <c r="P72" s="506"/>
      <c r="Q72" s="501"/>
      <c r="R72" s="501"/>
      <c r="S72" s="501">
        <f>'意大利ERP数据'!Z71</f>
      </c>
      <c r="T72" s="501"/>
      <c r="U72" s="501"/>
      <c r="V72" s="503"/>
      <c r="W72" s="501"/>
      <c r="X72" s="505"/>
      <c r="Y72" s="501"/>
      <c r="Z72" s="501"/>
      <c r="AA72" s="501"/>
      <c r="AB72" s="501"/>
      <c r="AC72" s="501"/>
      <c r="AD72" s="507"/>
      <c r="AE72" s="501"/>
      <c r="AF72" s="501"/>
      <c r="AG72" s="501"/>
      <c r="AH72" s="508"/>
      <c r="AI72" s="501"/>
      <c r="AJ72" s="509"/>
      <c r="AK72" s="501"/>
      <c r="AL72" s="510"/>
      <c r="AM72" s="511"/>
      <c r="AN72" s="503"/>
      <c r="AO72" s="509"/>
      <c r="AP72" s="510"/>
      <c r="AQ72" s="503"/>
      <c r="AR72" s="506"/>
      <c r="AS72" s="506"/>
      <c r="AT72" s="509"/>
      <c r="AU72" s="513"/>
      <c r="AV72" s="513"/>
      <c r="AW72" s="514"/>
      <c r="AX72" s="509"/>
      <c r="AY72" s="506"/>
      <c r="AZ72" s="506"/>
      <c r="BA72" s="506"/>
      <c r="BB72" s="505"/>
      <c r="BC72" s="505"/>
      <c r="BD72" s="501"/>
      <c r="BE72" s="509"/>
      <c r="BF72" s="501"/>
      <c r="BG72" s="512"/>
      <c r="BH72" s="501"/>
      <c r="BI72" s="502"/>
      <c r="BJ72" s="501"/>
      <c r="BK72" s="516"/>
      <c r="BL72" s="518"/>
    </row>
    <row customHeight="true" ht="13.333333333333332" r="73">
      <c r="A73" s="500">
        <v>46062</v>
      </c>
      <c r="B73" s="501" t="s">
        <v>1281</v>
      </c>
      <c r="C73" s="519"/>
      <c r="D73" s="501">
        <v>54.99</v>
      </c>
      <c r="E73" s="503">
        <v>0</v>
      </c>
      <c r="F73" s="503">
        <v>0</v>
      </c>
      <c r="G73" s="503">
        <v>0</v>
      </c>
      <c r="H73" s="501"/>
      <c r="I73" s="503"/>
      <c r="J73" s="505"/>
      <c r="K73" s="501"/>
      <c r="L73" s="501"/>
      <c r="M73" s="501"/>
      <c r="N73" s="503"/>
      <c r="O73" s="506"/>
      <c r="P73" s="506"/>
      <c r="Q73" s="501"/>
      <c r="R73" s="501"/>
      <c r="S73" s="501">
        <f>'意大利ERP数据'!Z72</f>
      </c>
      <c r="T73" s="501"/>
      <c r="U73" s="501"/>
      <c r="V73" s="503"/>
      <c r="W73" s="501"/>
      <c r="X73" s="505"/>
      <c r="Y73" s="501"/>
      <c r="Z73" s="501"/>
      <c r="AA73" s="501"/>
      <c r="AB73" s="501"/>
      <c r="AC73" s="501"/>
      <c r="AD73" s="507"/>
      <c r="AE73" s="501"/>
      <c r="AF73" s="501"/>
      <c r="AG73" s="501"/>
      <c r="AH73" s="508"/>
      <c r="AI73" s="501"/>
      <c r="AJ73" s="509"/>
      <c r="AK73" s="501"/>
      <c r="AL73" s="510"/>
      <c r="AM73" s="511"/>
      <c r="AN73" s="503"/>
      <c r="AO73" s="509"/>
      <c r="AP73" s="510"/>
      <c r="AQ73" s="503"/>
      <c r="AR73" s="506"/>
      <c r="AS73" s="506"/>
      <c r="AT73" s="509"/>
      <c r="AU73" s="513"/>
      <c r="AV73" s="513"/>
      <c r="AW73" s="514"/>
      <c r="AX73" s="509"/>
      <c r="AY73" s="506"/>
      <c r="AZ73" s="506"/>
      <c r="BA73" s="506"/>
      <c r="BB73" s="505"/>
      <c r="BC73" s="505"/>
      <c r="BD73" s="501"/>
      <c r="BE73" s="509"/>
      <c r="BF73" s="501"/>
      <c r="BG73" s="512"/>
      <c r="BH73" s="501"/>
      <c r="BI73" s="502"/>
      <c r="BJ73" s="501"/>
      <c r="BK73" s="516"/>
      <c r="BL73" s="518"/>
    </row>
    <row customHeight="true" ht="13.333333333333332" r="74">
      <c r="A74" s="500">
        <v>46063</v>
      </c>
      <c r="B74" s="501" t="s">
        <v>1283</v>
      </c>
      <c r="C74" s="519"/>
      <c r="D74" s="501">
        <v>54.99</v>
      </c>
      <c r="E74" s="503">
        <v>0</v>
      </c>
      <c r="F74" s="503">
        <v>0</v>
      </c>
      <c r="G74" s="503">
        <v>0</v>
      </c>
      <c r="H74" s="501"/>
      <c r="I74" s="503"/>
      <c r="J74" s="505"/>
      <c r="K74" s="501"/>
      <c r="L74" s="501"/>
      <c r="M74" s="501"/>
      <c r="N74" s="503"/>
      <c r="O74" s="506"/>
      <c r="P74" s="506"/>
      <c r="Q74" s="501"/>
      <c r="R74" s="501"/>
      <c r="S74" s="501">
        <f>'意大利ERP数据'!Z73</f>
      </c>
      <c r="T74" s="501"/>
      <c r="U74" s="501"/>
      <c r="V74" s="503"/>
      <c r="W74" s="501"/>
      <c r="X74" s="505"/>
      <c r="Y74" s="501"/>
      <c r="Z74" s="501"/>
      <c r="AA74" s="501"/>
      <c r="AB74" s="501"/>
      <c r="AC74" s="501"/>
      <c r="AD74" s="507"/>
      <c r="AE74" s="501"/>
      <c r="AF74" s="501"/>
      <c r="AG74" s="501"/>
      <c r="AH74" s="508"/>
      <c r="AI74" s="501"/>
      <c r="AJ74" s="509"/>
      <c r="AK74" s="501"/>
      <c r="AL74" s="510"/>
      <c r="AM74" s="511"/>
      <c r="AN74" s="503"/>
      <c r="AO74" s="509"/>
      <c r="AP74" s="510"/>
      <c r="AQ74" s="503"/>
      <c r="AR74" s="506"/>
      <c r="AS74" s="506"/>
      <c r="AT74" s="509"/>
      <c r="AU74" s="513"/>
      <c r="AV74" s="513"/>
      <c r="AW74" s="514"/>
      <c r="AX74" s="509"/>
      <c r="AY74" s="506"/>
      <c r="AZ74" s="506"/>
      <c r="BA74" s="506"/>
      <c r="BB74" s="505"/>
      <c r="BC74" s="505"/>
      <c r="BD74" s="501"/>
      <c r="BE74" s="509"/>
      <c r="BF74" s="501"/>
      <c r="BG74" s="512"/>
      <c r="BH74" s="501"/>
      <c r="BI74" s="501"/>
      <c r="BJ74" s="501"/>
      <c r="BK74" s="516"/>
      <c r="BL74" s="518"/>
    </row>
    <row customHeight="true" ht="13.333333333333332" r="75">
      <c r="A75" s="500">
        <v>46064</v>
      </c>
      <c r="B75" s="501" t="s">
        <v>1284</v>
      </c>
      <c r="C75" s="519"/>
      <c r="D75" s="501">
        <v>54.99</v>
      </c>
      <c r="E75" s="503">
        <v>0</v>
      </c>
      <c r="F75" s="503">
        <v>0</v>
      </c>
      <c r="G75" s="503">
        <v>0</v>
      </c>
      <c r="H75" s="501"/>
      <c r="I75" s="503"/>
      <c r="J75" s="505"/>
      <c r="K75" s="501"/>
      <c r="L75" s="501"/>
      <c r="M75" s="501"/>
      <c r="N75" s="503"/>
      <c r="O75" s="506"/>
      <c r="P75" s="506"/>
      <c r="Q75" s="501"/>
      <c r="R75" s="501"/>
      <c r="S75" s="501">
        <f>'意大利ERP数据'!Z74</f>
      </c>
      <c r="T75" s="501"/>
      <c r="U75" s="501"/>
      <c r="V75" s="503"/>
      <c r="W75" s="501"/>
      <c r="X75" s="505"/>
      <c r="Y75" s="501"/>
      <c r="Z75" s="501"/>
      <c r="AA75" s="501"/>
      <c r="AB75" s="501"/>
      <c r="AC75" s="501"/>
      <c r="AD75" s="507"/>
      <c r="AE75" s="501"/>
      <c r="AF75" s="501"/>
      <c r="AG75" s="501"/>
      <c r="AH75" s="508"/>
      <c r="AI75" s="501"/>
      <c r="AJ75" s="509"/>
      <c r="AK75" s="501"/>
      <c r="AL75" s="510"/>
      <c r="AM75" s="511"/>
      <c r="AN75" s="503"/>
      <c r="AO75" s="509"/>
      <c r="AP75" s="510"/>
      <c r="AQ75" s="503"/>
      <c r="AR75" s="506"/>
      <c r="AS75" s="506"/>
      <c r="AT75" s="509"/>
      <c r="AU75" s="513"/>
      <c r="AV75" s="513"/>
      <c r="AW75" s="514"/>
      <c r="AX75" s="509"/>
      <c r="AY75" s="506"/>
      <c r="AZ75" s="506"/>
      <c r="BA75" s="506"/>
      <c r="BB75" s="505"/>
      <c r="BC75" s="505"/>
      <c r="BD75" s="501"/>
      <c r="BE75" s="509"/>
      <c r="BF75" s="501"/>
      <c r="BG75" s="512"/>
      <c r="BH75" s="501"/>
      <c r="BI75" s="501"/>
      <c r="BJ75" s="501"/>
      <c r="BK75" s="516"/>
      <c r="BL75" s="518"/>
    </row>
    <row customHeight="true" ht="13.333333333333332" r="76">
      <c r="A76" s="500">
        <v>46065</v>
      </c>
      <c r="B76" s="501" t="s">
        <v>1285</v>
      </c>
      <c r="C76" s="519"/>
      <c r="D76" s="501">
        <v>54.99</v>
      </c>
      <c r="E76" s="503">
        <v>0</v>
      </c>
      <c r="F76" s="503">
        <v>0</v>
      </c>
      <c r="G76" s="503">
        <v>0</v>
      </c>
      <c r="H76" s="501"/>
      <c r="I76" s="503"/>
      <c r="J76" s="505"/>
      <c r="K76" s="501"/>
      <c r="L76" s="501"/>
      <c r="M76" s="501"/>
      <c r="N76" s="503"/>
      <c r="O76" s="506"/>
      <c r="P76" s="506"/>
      <c r="Q76" s="501"/>
      <c r="R76" s="501"/>
      <c r="S76" s="501">
        <f>'意大利ERP数据'!Z75</f>
      </c>
      <c r="T76" s="501"/>
      <c r="U76" s="501"/>
      <c r="V76" s="503"/>
      <c r="W76" s="501"/>
      <c r="X76" s="505"/>
      <c r="Y76" s="501"/>
      <c r="Z76" s="501"/>
      <c r="AA76" s="501"/>
      <c r="AB76" s="501"/>
      <c r="AC76" s="501"/>
      <c r="AD76" s="507"/>
      <c r="AE76" s="501"/>
      <c r="AF76" s="501"/>
      <c r="AG76" s="501"/>
      <c r="AH76" s="508"/>
      <c r="AI76" s="501"/>
      <c r="AJ76" s="509"/>
      <c r="AK76" s="501"/>
      <c r="AL76" s="510"/>
      <c r="AM76" s="511"/>
      <c r="AN76" s="503"/>
      <c r="AO76" s="509"/>
      <c r="AP76" s="510"/>
      <c r="AQ76" s="503"/>
      <c r="AR76" s="506"/>
      <c r="AS76" s="506"/>
      <c r="AT76" s="509"/>
      <c r="AU76" s="513"/>
      <c r="AV76" s="513"/>
      <c r="AW76" s="514"/>
      <c r="AX76" s="509"/>
      <c r="AY76" s="506"/>
      <c r="AZ76" s="506"/>
      <c r="BA76" s="520"/>
      <c r="BB76" s="521"/>
      <c r="BC76" s="522"/>
      <c r="BD76" s="522"/>
      <c r="BE76" s="523"/>
      <c r="BF76" s="501"/>
      <c r="BG76" s="512"/>
      <c r="BH76" s="501"/>
      <c r="BI76" s="501"/>
      <c r="BJ76" s="501"/>
      <c r="BK76" s="516"/>
      <c r="BL76" s="518"/>
    </row>
    <row customHeight="true" ht="13.333333333333332" r="77">
      <c r="A77" s="500">
        <v>46066</v>
      </c>
      <c r="B77" s="501" t="s">
        <v>1286</v>
      </c>
      <c r="C77" s="519"/>
      <c r="D77" s="501">
        <v>54.99</v>
      </c>
      <c r="E77" s="503">
        <v>0</v>
      </c>
      <c r="F77" s="503">
        <v>0</v>
      </c>
      <c r="G77" s="503">
        <v>0</v>
      </c>
      <c r="H77" s="501"/>
      <c r="I77" s="503"/>
      <c r="J77" s="505"/>
      <c r="K77" s="501"/>
      <c r="L77" s="501"/>
      <c r="M77" s="501"/>
      <c r="N77" s="503"/>
      <c r="O77" s="506"/>
      <c r="P77" s="506"/>
      <c r="Q77" s="501"/>
      <c r="R77" s="501"/>
      <c r="S77" s="501">
        <f>'意大利ERP数据'!Z76</f>
      </c>
      <c r="T77" s="501"/>
      <c r="U77" s="501"/>
      <c r="V77" s="503"/>
      <c r="W77" s="501"/>
      <c r="X77" s="505"/>
      <c r="Y77" s="501"/>
      <c r="Z77" s="501"/>
      <c r="AA77" s="501"/>
      <c r="AB77" s="501"/>
      <c r="AC77" s="501"/>
      <c r="AD77" s="507"/>
      <c r="AE77" s="501"/>
      <c r="AF77" s="501"/>
      <c r="AG77" s="501"/>
      <c r="AH77" s="508"/>
      <c r="AI77" s="501"/>
      <c r="AJ77" s="509"/>
      <c r="AK77" s="501"/>
      <c r="AL77" s="510"/>
      <c r="AM77" s="511"/>
      <c r="AN77" s="503"/>
      <c r="AO77" s="509"/>
      <c r="AP77" s="510"/>
      <c r="AQ77" s="503"/>
      <c r="AR77" s="506"/>
      <c r="AS77" s="506"/>
      <c r="AT77" s="509"/>
      <c r="AU77" s="513"/>
      <c r="AV77" s="513"/>
      <c r="AW77" s="514"/>
      <c r="AX77" s="509"/>
      <c r="AY77" s="506"/>
      <c r="AZ77" s="506"/>
      <c r="BA77" s="520"/>
      <c r="BB77" s="521"/>
      <c r="BC77" s="522"/>
      <c r="BD77" s="522"/>
      <c r="BE77" s="523"/>
      <c r="BF77" s="501"/>
      <c r="BG77" s="512"/>
      <c r="BH77" s="501"/>
      <c r="BI77" s="501"/>
      <c r="BJ77" s="501"/>
      <c r="BK77" s="516"/>
      <c r="BL77" s="518"/>
    </row>
    <row customHeight="true" ht="13.333333333333332" r="78">
      <c r="A78" s="500">
        <v>46067</v>
      </c>
      <c r="B78" s="501" t="s">
        <v>1287</v>
      </c>
      <c r="C78" s="519"/>
      <c r="D78" s="501">
        <v>54.99</v>
      </c>
      <c r="E78" s="503">
        <v>0</v>
      </c>
      <c r="F78" s="503">
        <v>0</v>
      </c>
      <c r="G78" s="503">
        <v>0</v>
      </c>
      <c r="H78" s="501"/>
      <c r="I78" s="503"/>
      <c r="J78" s="505"/>
      <c r="K78" s="501"/>
      <c r="L78" s="501"/>
      <c r="M78" s="501"/>
      <c r="N78" s="503"/>
      <c r="O78" s="506"/>
      <c r="P78" s="506"/>
      <c r="Q78" s="501"/>
      <c r="R78" s="501"/>
      <c r="S78" s="501">
        <f>'意大利ERP数据'!Z77</f>
      </c>
      <c r="T78" s="501"/>
      <c r="U78" s="501"/>
      <c r="V78" s="503"/>
      <c r="W78" s="501"/>
      <c r="X78" s="505"/>
      <c r="Y78" s="501"/>
      <c r="Z78" s="501"/>
      <c r="AA78" s="501"/>
      <c r="AB78" s="501"/>
      <c r="AC78" s="501"/>
      <c r="AD78" s="507"/>
      <c r="AE78" s="501"/>
      <c r="AF78" s="501"/>
      <c r="AG78" s="501"/>
      <c r="AH78" s="508"/>
      <c r="AI78" s="501"/>
      <c r="AJ78" s="509"/>
      <c r="AK78" s="501"/>
      <c r="AL78" s="510"/>
      <c r="AM78" s="511"/>
      <c r="AN78" s="503"/>
      <c r="AO78" s="509"/>
      <c r="AP78" s="510"/>
      <c r="AQ78" s="503"/>
      <c r="AR78" s="506"/>
      <c r="AS78" s="506"/>
      <c r="AT78" s="509"/>
      <c r="AU78" s="513"/>
      <c r="AV78" s="513"/>
      <c r="AW78" s="514"/>
      <c r="AX78" s="509"/>
      <c r="AY78" s="506"/>
      <c r="AZ78" s="506"/>
      <c r="BA78" s="520"/>
      <c r="BB78" s="521"/>
      <c r="BC78" s="522"/>
      <c r="BD78" s="522"/>
      <c r="BE78" s="523"/>
      <c r="BF78" s="501"/>
      <c r="BG78" s="512"/>
      <c r="BH78" s="501"/>
      <c r="BI78" s="501"/>
      <c r="BJ78" s="501"/>
      <c r="BK78" s="516"/>
      <c r="BL78" s="518"/>
    </row>
    <row customHeight="true" ht="13.333333333333332" r="79">
      <c r="A79" s="500">
        <v>46068</v>
      </c>
      <c r="B79" s="501" t="s">
        <v>1288</v>
      </c>
      <c r="C79" s="519"/>
      <c r="D79" s="501">
        <v>54.99</v>
      </c>
      <c r="E79" s="503">
        <v>0</v>
      </c>
      <c r="F79" s="503">
        <v>0</v>
      </c>
      <c r="G79" s="503">
        <v>0</v>
      </c>
      <c r="H79" s="501"/>
      <c r="I79" s="503"/>
      <c r="J79" s="505"/>
      <c r="K79" s="501"/>
      <c r="L79" s="501"/>
      <c r="M79" s="501"/>
      <c r="N79" s="503"/>
      <c r="O79" s="506"/>
      <c r="P79" s="506"/>
      <c r="Q79" s="501"/>
      <c r="R79" s="501"/>
      <c r="S79" s="501">
        <f>'意大利ERP数据'!Z78</f>
      </c>
      <c r="T79" s="501"/>
      <c r="U79" s="501"/>
      <c r="V79" s="503"/>
      <c r="W79" s="501"/>
      <c r="X79" s="505"/>
      <c r="Y79" s="501"/>
      <c r="Z79" s="501"/>
      <c r="AA79" s="501"/>
      <c r="AB79" s="501"/>
      <c r="AC79" s="501"/>
      <c r="AD79" s="507"/>
      <c r="AE79" s="501"/>
      <c r="AF79" s="501"/>
      <c r="AG79" s="501"/>
      <c r="AH79" s="508"/>
      <c r="AI79" s="501"/>
      <c r="AJ79" s="509"/>
      <c r="AK79" s="501"/>
      <c r="AL79" s="510"/>
      <c r="AM79" s="511"/>
      <c r="AN79" s="503"/>
      <c r="AO79" s="509"/>
      <c r="AP79" s="510"/>
      <c r="AQ79" s="503"/>
      <c r="AR79" s="506"/>
      <c r="AS79" s="506"/>
      <c r="AT79" s="509"/>
      <c r="AU79" s="513"/>
      <c r="AV79" s="513"/>
      <c r="AW79" s="514"/>
      <c r="AX79" s="509"/>
      <c r="AY79" s="506"/>
      <c r="AZ79" s="506"/>
      <c r="BA79" s="520"/>
      <c r="BB79" s="521"/>
      <c r="BC79" s="522"/>
      <c r="BD79" s="522"/>
      <c r="BE79" s="523"/>
      <c r="BF79" s="501"/>
      <c r="BG79" s="512"/>
      <c r="BH79" s="501"/>
      <c r="BI79" s="501"/>
      <c r="BJ79" s="501"/>
      <c r="BK79" s="516"/>
      <c r="BL79" s="518"/>
    </row>
    <row customHeight="true" ht="13.333333333333332" r="80">
      <c r="A80" s="500">
        <v>46069</v>
      </c>
      <c r="B80" s="501" t="s">
        <v>1281</v>
      </c>
      <c r="C80" s="519"/>
      <c r="D80" s="501">
        <v>54.99</v>
      </c>
      <c r="E80" s="503">
        <v>0</v>
      </c>
      <c r="F80" s="503">
        <v>0</v>
      </c>
      <c r="G80" s="503">
        <v>0</v>
      </c>
      <c r="H80" s="501"/>
      <c r="I80" s="503"/>
      <c r="J80" s="505"/>
      <c r="K80" s="501"/>
      <c r="L80" s="501"/>
      <c r="M80" s="501"/>
      <c r="N80" s="503"/>
      <c r="O80" s="506"/>
      <c r="P80" s="506"/>
      <c r="Q80" s="501"/>
      <c r="R80" s="501"/>
      <c r="S80" s="501">
        <f>'意大利ERP数据'!Z79</f>
      </c>
      <c r="T80" s="501"/>
      <c r="U80" s="501"/>
      <c r="V80" s="503"/>
      <c r="W80" s="501"/>
      <c r="X80" s="505"/>
      <c r="Y80" s="501"/>
      <c r="Z80" s="501"/>
      <c r="AA80" s="501"/>
      <c r="AB80" s="501"/>
      <c r="AC80" s="501"/>
      <c r="AD80" s="507"/>
      <c r="AE80" s="501"/>
      <c r="AF80" s="501"/>
      <c r="AG80" s="501"/>
      <c r="AH80" s="508"/>
      <c r="AI80" s="501"/>
      <c r="AJ80" s="509"/>
      <c r="AK80" s="501"/>
      <c r="AL80" s="510"/>
      <c r="AM80" s="511"/>
      <c r="AN80" s="503"/>
      <c r="AO80" s="509"/>
      <c r="AP80" s="510"/>
      <c r="AQ80" s="503"/>
      <c r="AR80" s="506"/>
      <c r="AS80" s="506"/>
      <c r="AT80" s="509"/>
      <c r="AU80" s="513"/>
      <c r="AV80" s="513"/>
      <c r="AW80" s="514"/>
      <c r="AX80" s="509"/>
      <c r="AY80" s="506"/>
      <c r="AZ80" s="506"/>
      <c r="BA80" s="520"/>
      <c r="BB80" s="521"/>
      <c r="BC80" s="522"/>
      <c r="BD80" s="522"/>
      <c r="BE80" s="523"/>
      <c r="BF80" s="501"/>
      <c r="BG80" s="512"/>
      <c r="BH80" s="501"/>
      <c r="BI80" s="501"/>
      <c r="BJ80" s="501"/>
      <c r="BK80" s="516"/>
      <c r="BL80" s="518"/>
    </row>
    <row customHeight="true" ht="13.333333333333332" r="81">
      <c r="A81" s="500">
        <v>46070</v>
      </c>
      <c r="B81" s="501" t="s">
        <v>1283</v>
      </c>
      <c r="C81" s="519"/>
      <c r="D81" s="501">
        <v>54.99</v>
      </c>
      <c r="E81" s="503">
        <v>0</v>
      </c>
      <c r="F81" s="503">
        <v>0</v>
      </c>
      <c r="G81" s="503">
        <v>0</v>
      </c>
      <c r="H81" s="501"/>
      <c r="I81" s="503"/>
      <c r="J81" s="505"/>
      <c r="K81" s="501"/>
      <c r="L81" s="501"/>
      <c r="M81" s="501"/>
      <c r="N81" s="503"/>
      <c r="O81" s="506"/>
      <c r="P81" s="506"/>
      <c r="Q81" s="501"/>
      <c r="R81" s="501"/>
      <c r="S81" s="501">
        <f>'意大利ERP数据'!Z80</f>
      </c>
      <c r="T81" s="501"/>
      <c r="U81" s="501"/>
      <c r="V81" s="503"/>
      <c r="W81" s="501"/>
      <c r="X81" s="505"/>
      <c r="Y81" s="501"/>
      <c r="Z81" s="501"/>
      <c r="AA81" s="501"/>
      <c r="AB81" s="501"/>
      <c r="AC81" s="501"/>
      <c r="AD81" s="507"/>
      <c r="AE81" s="501"/>
      <c r="AF81" s="501"/>
      <c r="AG81" s="501"/>
      <c r="AH81" s="508"/>
      <c r="AI81" s="501"/>
      <c r="AJ81" s="509"/>
      <c r="AK81" s="501"/>
      <c r="AL81" s="510"/>
      <c r="AM81" s="511"/>
      <c r="AN81" s="503"/>
      <c r="AO81" s="509"/>
      <c r="AP81" s="510"/>
      <c r="AQ81" s="503"/>
      <c r="AR81" s="506"/>
      <c r="AS81" s="506"/>
      <c r="AT81" s="509"/>
      <c r="AU81" s="513"/>
      <c r="AV81" s="513"/>
      <c r="AW81" s="514"/>
      <c r="AX81" s="509"/>
      <c r="AY81" s="506"/>
      <c r="AZ81" s="506"/>
      <c r="BA81" s="520"/>
      <c r="BB81" s="521"/>
      <c r="BC81" s="522"/>
      <c r="BD81" s="522"/>
      <c r="BE81" s="523"/>
      <c r="BF81" s="501"/>
      <c r="BG81" s="512"/>
      <c r="BH81" s="501"/>
      <c r="BI81" s="501"/>
      <c r="BJ81" s="501"/>
      <c r="BK81" s="516"/>
      <c r="BL81" s="518"/>
    </row>
    <row customHeight="true" ht="13.333333333333332" r="82">
      <c r="A82" s="500">
        <v>46071</v>
      </c>
      <c r="B82" s="501" t="s">
        <v>1284</v>
      </c>
      <c r="C82" s="519"/>
      <c r="D82" s="501">
        <v>54.99</v>
      </c>
      <c r="E82" s="503">
        <v>0</v>
      </c>
      <c r="F82" s="503">
        <v>0</v>
      </c>
      <c r="G82" s="503">
        <v>0</v>
      </c>
      <c r="H82" s="501"/>
      <c r="I82" s="503"/>
      <c r="J82" s="505"/>
      <c r="K82" s="501"/>
      <c r="L82" s="501"/>
      <c r="M82" s="501"/>
      <c r="N82" s="503"/>
      <c r="O82" s="506"/>
      <c r="P82" s="506"/>
      <c r="Q82" s="501"/>
      <c r="R82" s="501"/>
      <c r="S82" s="501">
        <f>'意大利ERP数据'!Z81</f>
      </c>
      <c r="T82" s="501"/>
      <c r="U82" s="501"/>
      <c r="V82" s="503"/>
      <c r="W82" s="501"/>
      <c r="X82" s="505"/>
      <c r="Y82" s="501"/>
      <c r="Z82" s="501"/>
      <c r="AA82" s="501"/>
      <c r="AB82" s="501"/>
      <c r="AC82" s="501"/>
      <c r="AD82" s="507"/>
      <c r="AE82" s="501"/>
      <c r="AF82" s="501"/>
      <c r="AG82" s="501"/>
      <c r="AH82" s="508"/>
      <c r="AI82" s="501"/>
      <c r="AJ82" s="509"/>
      <c r="AK82" s="501"/>
      <c r="AL82" s="510"/>
      <c r="AM82" s="511"/>
      <c r="AN82" s="503"/>
      <c r="AO82" s="509"/>
      <c r="AP82" s="510"/>
      <c r="AQ82" s="503"/>
      <c r="AR82" s="506"/>
      <c r="AS82" s="506"/>
      <c r="AT82" s="509"/>
      <c r="AU82" s="513"/>
      <c r="AV82" s="513"/>
      <c r="AW82" s="514"/>
      <c r="AX82" s="509"/>
      <c r="AY82" s="506"/>
      <c r="AZ82" s="506"/>
      <c r="BA82" s="520"/>
      <c r="BB82" s="521"/>
      <c r="BC82" s="522"/>
      <c r="BD82" s="522"/>
      <c r="BE82" s="523"/>
      <c r="BF82" s="501"/>
      <c r="BG82" s="512"/>
      <c r="BH82" s="501"/>
      <c r="BI82" s="501"/>
      <c r="BJ82" s="501"/>
      <c r="BK82" s="516"/>
      <c r="BL82" s="518"/>
    </row>
    <row customHeight="true" ht="13.333333333333332" r="83">
      <c r="A83" s="500">
        <v>46072</v>
      </c>
      <c r="B83" s="501" t="s">
        <v>1285</v>
      </c>
      <c r="C83" s="519"/>
      <c r="D83" s="501">
        <v>54.99</v>
      </c>
      <c r="E83" s="503">
        <v>0</v>
      </c>
      <c r="F83" s="503">
        <v>0</v>
      </c>
      <c r="G83" s="503">
        <v>0</v>
      </c>
      <c r="H83" s="501"/>
      <c r="I83" s="503"/>
      <c r="J83" s="505"/>
      <c r="K83" s="501"/>
      <c r="L83" s="501"/>
      <c r="M83" s="501"/>
      <c r="N83" s="503"/>
      <c r="O83" s="506"/>
      <c r="P83" s="506"/>
      <c r="Q83" s="501"/>
      <c r="R83" s="501"/>
      <c r="S83" s="501">
        <f>'意大利ERP数据'!Z82</f>
      </c>
      <c r="T83" s="501"/>
      <c r="U83" s="501"/>
      <c r="V83" s="503"/>
      <c r="W83" s="501"/>
      <c r="X83" s="505"/>
      <c r="Y83" s="501"/>
      <c r="Z83" s="501"/>
      <c r="AA83" s="501"/>
      <c r="AB83" s="501"/>
      <c r="AC83" s="501"/>
      <c r="AD83" s="507"/>
      <c r="AE83" s="501"/>
      <c r="AF83" s="501"/>
      <c r="AG83" s="501"/>
      <c r="AH83" s="508"/>
      <c r="AI83" s="501"/>
      <c r="AJ83" s="509"/>
      <c r="AK83" s="501"/>
      <c r="AL83" s="510"/>
      <c r="AM83" s="511"/>
      <c r="AN83" s="503"/>
      <c r="AO83" s="509"/>
      <c r="AP83" s="510"/>
      <c r="AQ83" s="503"/>
      <c r="AR83" s="506"/>
      <c r="AS83" s="506"/>
      <c r="AT83" s="509"/>
      <c r="AU83" s="513"/>
      <c r="AV83" s="513"/>
      <c r="AW83" s="514"/>
      <c r="AX83" s="509"/>
      <c r="AY83" s="506"/>
      <c r="AZ83" s="506"/>
      <c r="BA83" s="520"/>
      <c r="BB83" s="521"/>
      <c r="BC83" s="522"/>
      <c r="BD83" s="522"/>
      <c r="BE83" s="523"/>
      <c r="BF83" s="501"/>
      <c r="BG83" s="512"/>
      <c r="BH83" s="501"/>
      <c r="BI83" s="501"/>
      <c r="BJ83" s="501"/>
      <c r="BL83" s="524"/>
    </row>
    <row customHeight="true" ht="13.333333333333332" r="84">
      <c r="A84" s="500">
        <v>46073</v>
      </c>
      <c r="B84" s="501" t="s">
        <v>1286</v>
      </c>
      <c r="C84" s="519"/>
      <c r="D84" s="501">
        <v>54.99</v>
      </c>
      <c r="E84" s="503">
        <v>0</v>
      </c>
      <c r="F84" s="503">
        <v>0</v>
      </c>
      <c r="G84" s="503">
        <v>0</v>
      </c>
      <c r="H84" s="501"/>
      <c r="I84" s="503"/>
      <c r="J84" s="505"/>
      <c r="K84" s="501"/>
      <c r="L84" s="501"/>
      <c r="M84" s="501"/>
      <c r="N84" s="503"/>
      <c r="O84" s="506"/>
      <c r="P84" s="506"/>
      <c r="Q84" s="501"/>
      <c r="R84" s="501"/>
      <c r="S84" s="501">
        <f>'意大利ERP数据'!Z83</f>
      </c>
      <c r="T84" s="501"/>
      <c r="U84" s="501"/>
      <c r="V84" s="503"/>
      <c r="W84" s="501"/>
      <c r="X84" s="505"/>
      <c r="Y84" s="501"/>
      <c r="Z84" s="501"/>
      <c r="AA84" s="501"/>
      <c r="AB84" s="501"/>
      <c r="AC84" s="501"/>
      <c r="AD84" s="507"/>
      <c r="AE84" s="501"/>
      <c r="AF84" s="501"/>
      <c r="AG84" s="501"/>
      <c r="AH84" s="508"/>
      <c r="AI84" s="501"/>
      <c r="AJ84" s="509"/>
      <c r="AK84" s="501"/>
      <c r="AL84" s="510"/>
      <c r="AM84" s="511"/>
      <c r="AN84" s="503"/>
      <c r="AO84" s="509"/>
      <c r="AP84" s="510"/>
      <c r="AQ84" s="503"/>
      <c r="AR84" s="506"/>
      <c r="AS84" s="506"/>
      <c r="AT84" s="509"/>
      <c r="AU84" s="513"/>
      <c r="AV84" s="513"/>
      <c r="AW84" s="514"/>
      <c r="AX84" s="509"/>
      <c r="AY84" s="506"/>
      <c r="AZ84" s="506"/>
      <c r="BA84" s="520"/>
      <c r="BB84" s="521"/>
      <c r="BC84" s="522"/>
      <c r="BD84" s="522"/>
      <c r="BE84" s="523"/>
      <c r="BF84" s="501"/>
      <c r="BG84" s="512"/>
      <c r="BH84" s="501"/>
      <c r="BI84" s="501"/>
      <c r="BJ84" s="501"/>
      <c r="BL84" s="524"/>
    </row>
    <row customHeight="true" ht="13.333333333333332" r="85">
      <c r="A85" s="500">
        <v>46074</v>
      </c>
      <c r="B85" s="501" t="s">
        <v>1287</v>
      </c>
      <c r="C85" s="519"/>
      <c r="D85" s="501">
        <v>54.99</v>
      </c>
      <c r="E85" s="503">
        <v>0</v>
      </c>
      <c r="F85" s="503">
        <v>0</v>
      </c>
      <c r="G85" s="503">
        <v>0</v>
      </c>
      <c r="H85" s="501"/>
      <c r="I85" s="503"/>
      <c r="J85" s="505"/>
      <c r="K85" s="501"/>
      <c r="L85" s="501"/>
      <c r="M85" s="501"/>
      <c r="N85" s="503"/>
      <c r="O85" s="506"/>
      <c r="P85" s="506"/>
      <c r="Q85" s="501"/>
      <c r="R85" s="501"/>
      <c r="S85" s="501">
        <f>'意大利ERP数据'!Z84</f>
      </c>
      <c r="T85" s="501"/>
      <c r="U85" s="501"/>
      <c r="V85" s="503"/>
      <c r="W85" s="501"/>
      <c r="X85" s="505"/>
      <c r="Y85" s="501"/>
      <c r="Z85" s="501"/>
      <c r="AA85" s="501"/>
      <c r="AB85" s="501"/>
      <c r="AC85" s="501"/>
      <c r="AD85" s="507"/>
      <c r="AE85" s="501"/>
      <c r="AF85" s="501"/>
      <c r="AG85" s="501"/>
      <c r="AH85" s="508"/>
      <c r="AI85" s="501"/>
      <c r="AJ85" s="509"/>
      <c r="AK85" s="501"/>
      <c r="AL85" s="510"/>
      <c r="AM85" s="511"/>
      <c r="AN85" s="503"/>
      <c r="AO85" s="509"/>
      <c r="AP85" s="510"/>
      <c r="AQ85" s="503"/>
      <c r="AR85" s="506"/>
      <c r="AS85" s="506"/>
      <c r="AT85" s="509"/>
      <c r="AU85" s="513"/>
      <c r="AV85" s="513"/>
      <c r="AW85" s="514"/>
      <c r="AX85" s="509"/>
      <c r="AY85" s="506"/>
      <c r="AZ85" s="506"/>
      <c r="BA85" s="520"/>
      <c r="BB85" s="521"/>
      <c r="BC85" s="522"/>
      <c r="BD85" s="522"/>
      <c r="BE85" s="523"/>
      <c r="BF85" s="501"/>
      <c r="BG85" s="512"/>
      <c r="BH85" s="501"/>
      <c r="BI85" s="501"/>
      <c r="BJ85" s="501"/>
      <c r="BL85" s="524"/>
    </row>
    <row customHeight="true" ht="13.333333333333332" r="86">
      <c r="A86" s="500">
        <v>46075</v>
      </c>
      <c r="B86" s="501" t="s">
        <v>1288</v>
      </c>
      <c r="C86" s="519"/>
      <c r="D86" s="501">
        <v>54.99</v>
      </c>
      <c r="E86" s="503">
        <v>0</v>
      </c>
      <c r="F86" s="503">
        <v>0</v>
      </c>
      <c r="G86" s="503">
        <v>0</v>
      </c>
      <c r="H86" s="501"/>
      <c r="I86" s="503"/>
      <c r="J86" s="505"/>
      <c r="K86" s="501"/>
      <c r="L86" s="501"/>
      <c r="M86" s="501"/>
      <c r="N86" s="503"/>
      <c r="O86" s="506"/>
      <c r="P86" s="506"/>
      <c r="Q86" s="501"/>
      <c r="R86" s="501"/>
      <c r="S86" s="501">
        <f>'意大利ERP数据'!Z85</f>
      </c>
      <c r="T86" s="501"/>
      <c r="U86" s="501"/>
      <c r="V86" s="503"/>
      <c r="W86" s="501"/>
      <c r="X86" s="505"/>
      <c r="Y86" s="501"/>
      <c r="Z86" s="501"/>
      <c r="AA86" s="501"/>
      <c r="AB86" s="501"/>
      <c r="AC86" s="501"/>
      <c r="AD86" s="507"/>
      <c r="AE86" s="501"/>
      <c r="AF86" s="501"/>
      <c r="AG86" s="501"/>
      <c r="AH86" s="508"/>
      <c r="AI86" s="501"/>
      <c r="AJ86" s="509"/>
      <c r="AK86" s="501"/>
      <c r="AL86" s="510"/>
      <c r="AM86" s="511"/>
      <c r="AN86" s="503"/>
      <c r="AO86" s="509"/>
      <c r="AP86" s="510"/>
      <c r="AQ86" s="503"/>
      <c r="AR86" s="506"/>
      <c r="AS86" s="506"/>
      <c r="AT86" s="509"/>
      <c r="AU86" s="513"/>
      <c r="AV86" s="513"/>
      <c r="AW86" s="514"/>
      <c r="AX86" s="509"/>
      <c r="AY86" s="506"/>
      <c r="AZ86" s="506"/>
      <c r="BA86" s="520"/>
      <c r="BB86" s="521"/>
      <c r="BC86" s="522"/>
      <c r="BD86" s="522"/>
      <c r="BE86" s="523"/>
      <c r="BF86" s="501"/>
      <c r="BG86" s="512"/>
      <c r="BH86" s="501"/>
      <c r="BI86" s="501"/>
      <c r="BJ86" s="501"/>
      <c r="BL86" s="524"/>
    </row>
    <row customHeight="true" ht="13.333333333333332" r="87">
      <c r="A87" s="500">
        <v>46076</v>
      </c>
      <c r="B87" s="501" t="s">
        <v>1281</v>
      </c>
      <c r="C87" s="519"/>
      <c r="D87" s="501">
        <v>54.99</v>
      </c>
      <c r="E87" s="503">
        <v>0</v>
      </c>
      <c r="F87" s="503">
        <v>0</v>
      </c>
      <c r="G87" s="503">
        <v>0</v>
      </c>
      <c r="H87" s="501"/>
      <c r="I87" s="503"/>
      <c r="J87" s="505"/>
      <c r="K87" s="501"/>
      <c r="L87" s="501"/>
      <c r="M87" s="501"/>
      <c r="N87" s="503"/>
      <c r="O87" s="506"/>
      <c r="P87" s="506"/>
      <c r="Q87" s="501"/>
      <c r="R87" s="501"/>
      <c r="S87" s="501">
        <f>'意大利ERP数据'!Z86</f>
      </c>
      <c r="T87" s="501"/>
      <c r="U87" s="501"/>
      <c r="V87" s="503"/>
      <c r="W87" s="501"/>
      <c r="X87" s="505"/>
      <c r="Y87" s="501"/>
      <c r="Z87" s="501"/>
      <c r="AA87" s="501"/>
      <c r="AB87" s="501"/>
      <c r="AC87" s="501"/>
      <c r="AD87" s="507"/>
      <c r="AE87" s="501"/>
      <c r="AF87" s="501"/>
      <c r="AG87" s="501"/>
      <c r="AH87" s="508"/>
      <c r="AI87" s="501"/>
      <c r="AJ87" s="509"/>
      <c r="AK87" s="501"/>
      <c r="AL87" s="510"/>
      <c r="AM87" s="511"/>
      <c r="AN87" s="503"/>
      <c r="AO87" s="509"/>
      <c r="AP87" s="510"/>
      <c r="AQ87" s="503"/>
      <c r="AR87" s="506"/>
      <c r="AS87" s="506"/>
      <c r="AT87" s="509"/>
      <c r="AU87" s="513"/>
      <c r="AV87" s="513"/>
      <c r="AW87" s="514"/>
      <c r="AX87" s="509"/>
      <c r="AY87" s="506"/>
      <c r="AZ87" s="506"/>
      <c r="BA87" s="520"/>
      <c r="BB87" s="521"/>
      <c r="BC87" s="522"/>
      <c r="BD87" s="522"/>
      <c r="BE87" s="523"/>
      <c r="BF87" s="501"/>
      <c r="BG87" s="512"/>
      <c r="BH87" s="501"/>
      <c r="BI87" s="501"/>
      <c r="BJ87" s="501"/>
      <c r="BL87" s="524"/>
    </row>
    <row customHeight="true" ht="13.333333333333332" r="88">
      <c r="A88" s="500">
        <v>46077</v>
      </c>
      <c r="B88" s="501" t="s">
        <v>1283</v>
      </c>
      <c r="C88" s="519"/>
      <c r="D88" s="501">
        <v>54.99</v>
      </c>
      <c r="E88" s="503">
        <v>0</v>
      </c>
      <c r="F88" s="503">
        <v>0</v>
      </c>
      <c r="G88" s="503">
        <v>0</v>
      </c>
      <c r="H88" s="501"/>
      <c r="I88" s="503"/>
      <c r="J88" s="505"/>
      <c r="K88" s="501"/>
      <c r="L88" s="501"/>
      <c r="M88" s="501"/>
      <c r="N88" s="503"/>
      <c r="O88" s="506"/>
      <c r="P88" s="506"/>
      <c r="Q88" s="501"/>
      <c r="R88" s="501"/>
      <c r="S88" s="501">
        <f>'意大利ERP数据'!Z87</f>
      </c>
      <c r="T88" s="501"/>
      <c r="U88" s="501"/>
      <c r="V88" s="503"/>
      <c r="W88" s="501"/>
      <c r="X88" s="505"/>
      <c r="Y88" s="501"/>
      <c r="Z88" s="501"/>
      <c r="AA88" s="501"/>
      <c r="AB88" s="501"/>
      <c r="AC88" s="501"/>
      <c r="AD88" s="507"/>
      <c r="AE88" s="501"/>
      <c r="AF88" s="501"/>
      <c r="AG88" s="501"/>
      <c r="AH88" s="508"/>
      <c r="AI88" s="501"/>
      <c r="AJ88" s="509"/>
      <c r="AK88" s="501"/>
      <c r="AL88" s="510"/>
      <c r="AM88" s="511"/>
      <c r="AN88" s="503"/>
      <c r="AO88" s="509"/>
      <c r="AP88" s="510"/>
      <c r="AQ88" s="503"/>
      <c r="AR88" s="506"/>
      <c r="AS88" s="506"/>
      <c r="AT88" s="509"/>
      <c r="AU88" s="513"/>
      <c r="AV88" s="513"/>
      <c r="AW88" s="514"/>
      <c r="AX88" s="509"/>
      <c r="AY88" s="506"/>
      <c r="AZ88" s="506"/>
      <c r="BA88" s="520"/>
      <c r="BB88" s="521"/>
      <c r="BC88" s="522"/>
      <c r="BD88" s="522"/>
      <c r="BE88" s="523"/>
      <c r="BF88" s="501"/>
      <c r="BG88" s="512"/>
      <c r="BH88" s="501"/>
      <c r="BI88" s="501"/>
      <c r="BJ88" s="501"/>
      <c r="BL88" s="524"/>
    </row>
    <row customHeight="true" ht="13.333333333333332" r="89">
      <c r="A89" s="500">
        <v>46078</v>
      </c>
      <c r="B89" s="501" t="s">
        <v>1284</v>
      </c>
      <c r="C89" s="519"/>
      <c r="D89" s="501">
        <v>54.99</v>
      </c>
      <c r="E89" s="503">
        <v>0</v>
      </c>
      <c r="F89" s="503">
        <v>0</v>
      </c>
      <c r="G89" s="503">
        <v>0</v>
      </c>
      <c r="H89" s="501"/>
      <c r="I89" s="503"/>
      <c r="J89" s="505"/>
      <c r="K89" s="501"/>
      <c r="L89" s="501"/>
      <c r="M89" s="501"/>
      <c r="N89" s="503"/>
      <c r="O89" s="506"/>
      <c r="P89" s="506"/>
      <c r="Q89" s="501"/>
      <c r="R89" s="501"/>
      <c r="S89" s="501">
        <f>'意大利ERP数据'!Z88</f>
      </c>
      <c r="T89" s="501"/>
      <c r="U89" s="501"/>
      <c r="V89" s="503"/>
      <c r="W89" s="501"/>
      <c r="X89" s="505"/>
      <c r="Y89" s="501"/>
      <c r="Z89" s="501"/>
      <c r="AA89" s="501"/>
      <c r="AB89" s="501"/>
      <c r="AC89" s="501"/>
      <c r="AD89" s="507"/>
      <c r="AE89" s="501"/>
      <c r="AF89" s="501"/>
      <c r="AG89" s="501"/>
      <c r="AH89" s="508"/>
      <c r="AI89" s="501"/>
      <c r="AJ89" s="509"/>
      <c r="AK89" s="501"/>
      <c r="AL89" s="510"/>
      <c r="AM89" s="511"/>
      <c r="AN89" s="503"/>
      <c r="AO89" s="509"/>
      <c r="AP89" s="510"/>
      <c r="AQ89" s="503"/>
      <c r="AR89" s="506"/>
      <c r="AS89" s="506"/>
      <c r="AT89" s="509"/>
      <c r="AU89" s="513"/>
      <c r="AV89" s="513"/>
      <c r="AW89" s="514"/>
      <c r="AX89" s="509"/>
      <c r="AY89" s="506"/>
      <c r="AZ89" s="506"/>
      <c r="BA89" s="520"/>
      <c r="BB89" s="521"/>
      <c r="BC89" s="522"/>
      <c r="BD89" s="522"/>
      <c r="BE89" s="523"/>
      <c r="BF89" s="501"/>
      <c r="BG89" s="512"/>
      <c r="BH89" s="501"/>
      <c r="BI89" s="501"/>
      <c r="BJ89" s="501"/>
      <c r="BL89" s="524"/>
    </row>
    <row customHeight="true" ht="13.333333333333332" r="90">
      <c r="A90" s="500">
        <v>46079</v>
      </c>
      <c r="B90" s="501" t="s">
        <v>1285</v>
      </c>
      <c r="C90" s="519"/>
      <c r="D90" s="501">
        <v>54.99</v>
      </c>
      <c r="E90" s="503">
        <v>0</v>
      </c>
      <c r="F90" s="503">
        <v>0</v>
      </c>
      <c r="G90" s="503">
        <v>0</v>
      </c>
      <c r="H90" s="501"/>
      <c r="I90" s="503"/>
      <c r="J90" s="505"/>
      <c r="K90" s="501"/>
      <c r="L90" s="501"/>
      <c r="M90" s="501"/>
      <c r="N90" s="503"/>
      <c r="O90" s="506"/>
      <c r="P90" s="506"/>
      <c r="Q90" s="501"/>
      <c r="R90" s="501"/>
      <c r="S90" s="501">
        <f>'意大利ERP数据'!Z89</f>
      </c>
      <c r="T90" s="501"/>
      <c r="U90" s="501"/>
      <c r="V90" s="503"/>
      <c r="W90" s="501"/>
      <c r="X90" s="505"/>
      <c r="Y90" s="501"/>
      <c r="Z90" s="501"/>
      <c r="AA90" s="501"/>
      <c r="AB90" s="501"/>
      <c r="AC90" s="501"/>
      <c r="AD90" s="507"/>
      <c r="AE90" s="501"/>
      <c r="AF90" s="501"/>
      <c r="AG90" s="501"/>
      <c r="AH90" s="508"/>
      <c r="AI90" s="501"/>
      <c r="AJ90" s="509"/>
      <c r="AK90" s="501"/>
      <c r="AL90" s="510"/>
      <c r="AM90" s="511"/>
      <c r="AN90" s="503"/>
      <c r="AO90" s="509"/>
      <c r="AP90" s="510"/>
      <c r="AQ90" s="503"/>
      <c r="AR90" s="506"/>
      <c r="AS90" s="506"/>
      <c r="AT90" s="509"/>
      <c r="AU90" s="513"/>
      <c r="AV90" s="513"/>
      <c r="AW90" s="514"/>
      <c r="AX90" s="509"/>
      <c r="AY90" s="506"/>
      <c r="AZ90" s="506"/>
      <c r="BA90" s="520"/>
      <c r="BB90" s="521"/>
      <c r="BC90" s="522"/>
      <c r="BD90" s="522"/>
      <c r="BE90" s="523"/>
      <c r="BF90" s="501"/>
      <c r="BG90" s="512"/>
      <c r="BH90" s="501"/>
      <c r="BI90" s="501"/>
      <c r="BJ90" s="501"/>
      <c r="BL90" s="524"/>
    </row>
    <row customHeight="true" ht="13.333333333333332" r="91">
      <c r="A91" s="500">
        <v>46080</v>
      </c>
      <c r="B91" s="501" t="s">
        <v>1286</v>
      </c>
      <c r="C91" s="519"/>
      <c r="D91" s="501">
        <v>54.99</v>
      </c>
      <c r="E91" s="503">
        <v>0</v>
      </c>
      <c r="F91" s="503">
        <v>0</v>
      </c>
      <c r="G91" s="503">
        <v>0</v>
      </c>
      <c r="H91" s="501"/>
      <c r="I91" s="503"/>
      <c r="J91" s="505"/>
      <c r="K91" s="501"/>
      <c r="L91" s="501"/>
      <c r="M91" s="501"/>
      <c r="N91" s="503"/>
      <c r="O91" s="506"/>
      <c r="P91" s="506"/>
      <c r="Q91" s="501"/>
      <c r="R91" s="501"/>
      <c r="S91" s="501">
        <f>'意大利ERP数据'!Z90</f>
      </c>
      <c r="T91" s="501"/>
      <c r="U91" s="501"/>
      <c r="V91" s="503"/>
      <c r="W91" s="501"/>
      <c r="X91" s="505"/>
      <c r="Y91" s="501"/>
      <c r="Z91" s="501"/>
      <c r="AA91" s="501"/>
      <c r="AB91" s="501"/>
      <c r="AC91" s="501"/>
      <c r="AD91" s="507"/>
      <c r="AE91" s="501"/>
      <c r="AF91" s="501"/>
      <c r="AG91" s="501"/>
      <c r="AH91" s="508"/>
      <c r="AI91" s="501"/>
      <c r="AJ91" s="509"/>
      <c r="AK91" s="501"/>
      <c r="AL91" s="510"/>
      <c r="AM91" s="511"/>
      <c r="AN91" s="503"/>
      <c r="AO91" s="509"/>
      <c r="AP91" s="510"/>
      <c r="AQ91" s="503"/>
      <c r="AR91" s="506"/>
      <c r="AS91" s="506"/>
      <c r="AT91" s="509"/>
      <c r="AU91" s="513"/>
      <c r="AV91" s="513"/>
      <c r="AW91" s="514"/>
      <c r="AX91" s="509"/>
      <c r="AY91" s="506"/>
      <c r="AZ91" s="506"/>
      <c r="BA91" s="520"/>
      <c r="BB91" s="521"/>
      <c r="BC91" s="522"/>
      <c r="BD91" s="522"/>
      <c r="BE91" s="523"/>
      <c r="BF91" s="501"/>
      <c r="BG91" s="512"/>
      <c r="BH91" s="501"/>
      <c r="BI91" s="501"/>
      <c r="BJ91" s="501"/>
      <c r="BL91" s="524"/>
    </row>
    <row customHeight="true" ht="13.333333333333332" r="92">
      <c r="A92" s="500">
        <v>46081</v>
      </c>
      <c r="B92" s="501" t="s">
        <v>1287</v>
      </c>
      <c r="C92" s="519"/>
      <c r="D92" s="501">
        <v>54.99</v>
      </c>
      <c r="E92" s="503">
        <v>0</v>
      </c>
      <c r="F92" s="503">
        <v>0</v>
      </c>
      <c r="G92" s="503">
        <v>0</v>
      </c>
      <c r="H92" s="501"/>
      <c r="I92" s="503"/>
      <c r="J92" s="505"/>
      <c r="K92" s="501"/>
      <c r="L92" s="501"/>
      <c r="M92" s="501"/>
      <c r="N92" s="503"/>
      <c r="O92" s="506"/>
      <c r="P92" s="506"/>
      <c r="Q92" s="501"/>
      <c r="R92" s="501"/>
      <c r="S92" s="501">
        <f>'意大利ERP数据'!Z91</f>
      </c>
      <c r="T92" s="501"/>
      <c r="U92" s="501"/>
      <c r="V92" s="503"/>
      <c r="W92" s="501"/>
      <c r="X92" s="505"/>
      <c r="Y92" s="501"/>
      <c r="Z92" s="501"/>
      <c r="AA92" s="501"/>
      <c r="AB92" s="501"/>
      <c r="AC92" s="501"/>
      <c r="AD92" s="507"/>
      <c r="AE92" s="501"/>
      <c r="AF92" s="501"/>
      <c r="AG92" s="501"/>
      <c r="AH92" s="508"/>
      <c r="AI92" s="501"/>
      <c r="AJ92" s="509"/>
      <c r="AK92" s="501"/>
      <c r="AL92" s="510"/>
      <c r="AM92" s="511"/>
      <c r="AN92" s="503"/>
      <c r="AO92" s="509"/>
      <c r="AP92" s="510"/>
      <c r="AQ92" s="503"/>
      <c r="AR92" s="506"/>
      <c r="AS92" s="506"/>
      <c r="AT92" s="509"/>
      <c r="AU92" s="513"/>
      <c r="AV92" s="513"/>
      <c r="AW92" s="514"/>
      <c r="AX92" s="509"/>
      <c r="AY92" s="506"/>
      <c r="AZ92" s="506"/>
      <c r="BA92" s="520"/>
      <c r="BB92" s="521"/>
      <c r="BC92" s="522"/>
      <c r="BD92" s="522"/>
      <c r="BE92" s="523"/>
      <c r="BF92" s="501"/>
      <c r="BG92" s="512"/>
      <c r="BH92" s="501"/>
      <c r="BI92" s="501"/>
      <c r="BJ92" s="501"/>
      <c r="BL92" s="524"/>
    </row>
    <row customHeight="true" ht="13.333333333333332" r="93">
      <c r="A93" s="500">
        <v>46082</v>
      </c>
      <c r="B93" s="501" t="s">
        <v>1288</v>
      </c>
      <c r="C93" s="519"/>
      <c r="D93" s="501">
        <v>54.99</v>
      </c>
      <c r="E93" s="503">
        <v>0</v>
      </c>
      <c r="F93" s="503">
        <v>0</v>
      </c>
      <c r="G93" s="503">
        <v>0</v>
      </c>
      <c r="H93" s="501"/>
      <c r="I93" s="503"/>
      <c r="J93" s="505"/>
      <c r="K93" s="501"/>
      <c r="L93" s="501"/>
      <c r="M93" s="501"/>
      <c r="N93" s="503"/>
      <c r="O93" s="506"/>
      <c r="P93" s="506"/>
      <c r="Q93" s="501"/>
      <c r="R93" s="501"/>
      <c r="S93" s="501">
        <f>'意大利ERP数据'!Z92</f>
      </c>
      <c r="T93" s="501"/>
      <c r="U93" s="501"/>
      <c r="V93" s="503"/>
      <c r="W93" s="501"/>
      <c r="X93" s="505"/>
      <c r="Y93" s="501"/>
      <c r="Z93" s="501"/>
      <c r="AA93" s="501"/>
      <c r="AB93" s="501"/>
      <c r="AC93" s="501"/>
      <c r="AD93" s="507"/>
      <c r="AE93" s="501"/>
      <c r="AF93" s="501"/>
      <c r="AG93" s="501"/>
      <c r="AH93" s="508"/>
      <c r="AI93" s="501"/>
      <c r="AJ93" s="509"/>
      <c r="AK93" s="501"/>
      <c r="AL93" s="510"/>
      <c r="AM93" s="511"/>
      <c r="AN93" s="503"/>
      <c r="AO93" s="509"/>
      <c r="AP93" s="510"/>
      <c r="AQ93" s="503"/>
      <c r="AR93" s="506"/>
      <c r="AS93" s="506"/>
      <c r="AT93" s="509"/>
      <c r="AU93" s="513"/>
      <c r="AV93" s="513"/>
      <c r="AW93" s="514"/>
      <c r="AX93" s="509"/>
      <c r="AY93" s="506"/>
      <c r="AZ93" s="506"/>
      <c r="BA93" s="520"/>
      <c r="BB93" s="521"/>
      <c r="BC93" s="522"/>
      <c r="BD93" s="522"/>
      <c r="BE93" s="523"/>
      <c r="BF93" s="501"/>
      <c r="BG93" s="512"/>
      <c r="BH93" s="501"/>
      <c r="BI93" s="501"/>
      <c r="BJ93" s="501"/>
      <c r="BL93" s="524"/>
    </row>
    <row customHeight="true" ht="13.333333333333332" r="94">
      <c r="A94" s="500">
        <v>46083</v>
      </c>
      <c r="B94" s="501" t="s">
        <v>1281</v>
      </c>
      <c r="C94" s="519"/>
      <c r="D94" s="501">
        <v>54.99</v>
      </c>
      <c r="E94" s="503">
        <v>0</v>
      </c>
      <c r="F94" s="503">
        <v>0</v>
      </c>
      <c r="G94" s="503">
        <v>0</v>
      </c>
      <c r="H94" s="501"/>
      <c r="I94" s="503"/>
      <c r="J94" s="505"/>
      <c r="K94" s="501"/>
      <c r="L94" s="501"/>
      <c r="M94" s="501"/>
      <c r="N94" s="503"/>
      <c r="O94" s="506"/>
      <c r="P94" s="506"/>
      <c r="Q94" s="501"/>
      <c r="R94" s="501"/>
      <c r="S94" s="501">
        <f>'意大利ERP数据'!Z93</f>
      </c>
      <c r="T94" s="501"/>
      <c r="U94" s="501"/>
      <c r="V94" s="503"/>
      <c r="W94" s="501"/>
      <c r="X94" s="505"/>
      <c r="Y94" s="501"/>
      <c r="Z94" s="501"/>
      <c r="AA94" s="501"/>
      <c r="AB94" s="501"/>
      <c r="AC94" s="501"/>
      <c r="AD94" s="507"/>
      <c r="AE94" s="501"/>
      <c r="AF94" s="501"/>
      <c r="AG94" s="501"/>
      <c r="AH94" s="508"/>
      <c r="AI94" s="501"/>
      <c r="AJ94" s="509"/>
      <c r="AK94" s="501"/>
      <c r="AL94" s="510"/>
      <c r="AM94" s="511"/>
      <c r="AN94" s="503"/>
      <c r="AO94" s="509"/>
      <c r="AP94" s="510"/>
      <c r="AQ94" s="503"/>
      <c r="AR94" s="506"/>
      <c r="AS94" s="506"/>
      <c r="AT94" s="509"/>
      <c r="AU94" s="513"/>
      <c r="AV94" s="513"/>
      <c r="AW94" s="514"/>
      <c r="AX94" s="509"/>
      <c r="AY94" s="506"/>
      <c r="AZ94" s="506"/>
      <c r="BA94" s="520"/>
      <c r="BB94" s="521"/>
      <c r="BC94" s="522"/>
      <c r="BD94" s="522"/>
      <c r="BE94" s="523"/>
      <c r="BF94" s="501"/>
      <c r="BG94" s="512"/>
      <c r="BH94" s="501"/>
      <c r="BI94" s="501"/>
      <c r="BJ94" s="501"/>
      <c r="BL94" s="524"/>
    </row>
    <row customHeight="true" ht="13.333333333333332" r="95">
      <c r="A95" s="500">
        <v>46084</v>
      </c>
      <c r="B95" s="501" t="s">
        <v>1283</v>
      </c>
      <c r="C95" s="519"/>
      <c r="D95" s="501">
        <v>54.99</v>
      </c>
      <c r="E95" s="503">
        <v>0</v>
      </c>
      <c r="F95" s="503">
        <v>0</v>
      </c>
      <c r="G95" s="503">
        <v>0</v>
      </c>
      <c r="H95" s="501"/>
      <c r="I95" s="503"/>
      <c r="J95" s="505"/>
      <c r="K95" s="501"/>
      <c r="L95" s="501"/>
      <c r="M95" s="501"/>
      <c r="N95" s="503"/>
      <c r="O95" s="506"/>
      <c r="P95" s="506"/>
      <c r="Q95" s="501"/>
      <c r="R95" s="501"/>
      <c r="S95" s="501">
        <f>'意大利ERP数据'!Z94</f>
      </c>
      <c r="T95" s="501"/>
      <c r="U95" s="501"/>
      <c r="V95" s="503"/>
      <c r="W95" s="501"/>
      <c r="X95" s="505"/>
      <c r="Y95" s="501"/>
      <c r="Z95" s="501"/>
      <c r="AA95" s="501"/>
      <c r="AB95" s="501"/>
      <c r="AC95" s="501"/>
      <c r="AD95" s="507"/>
      <c r="AE95" s="501"/>
      <c r="AF95" s="501"/>
      <c r="AG95" s="501"/>
      <c r="AH95" s="508"/>
      <c r="AI95" s="501"/>
      <c r="AJ95" s="509"/>
      <c r="AK95" s="501"/>
      <c r="AL95" s="510"/>
      <c r="AM95" s="511"/>
      <c r="AN95" s="503"/>
      <c r="AO95" s="509"/>
      <c r="AP95" s="510"/>
      <c r="AQ95" s="503"/>
      <c r="AR95" s="506"/>
      <c r="AS95" s="506"/>
      <c r="AT95" s="509"/>
      <c r="AU95" s="513"/>
      <c r="AV95" s="513"/>
      <c r="AW95" s="514"/>
      <c r="AX95" s="509"/>
      <c r="AY95" s="506"/>
      <c r="AZ95" s="506"/>
      <c r="BA95" s="520"/>
      <c r="BB95" s="521"/>
      <c r="BC95" s="522"/>
      <c r="BD95" s="522"/>
      <c r="BE95" s="523"/>
      <c r="BF95" s="501"/>
      <c r="BG95" s="512"/>
      <c r="BH95" s="501"/>
      <c r="BI95" s="501"/>
      <c r="BJ95" s="501"/>
      <c r="BL95" s="524"/>
    </row>
    <row customHeight="true" ht="13.333333333333332" r="96">
      <c r="A96" s="500">
        <v>46085</v>
      </c>
      <c r="B96" s="501" t="s">
        <v>1284</v>
      </c>
      <c r="C96" s="519"/>
      <c r="D96" s="501">
        <v>54.99</v>
      </c>
      <c r="E96" s="503">
        <v>0</v>
      </c>
      <c r="F96" s="503">
        <v>0</v>
      </c>
      <c r="G96" s="503">
        <v>0</v>
      </c>
      <c r="H96" s="501"/>
      <c r="I96" s="503"/>
      <c r="J96" s="505"/>
      <c r="K96" s="501"/>
      <c r="L96" s="501"/>
      <c r="M96" s="501"/>
      <c r="N96" s="503"/>
      <c r="O96" s="506"/>
      <c r="P96" s="506"/>
      <c r="Q96" s="501"/>
      <c r="R96" s="501"/>
      <c r="S96" s="501">
        <f>'意大利ERP数据'!Z95</f>
      </c>
      <c r="T96" s="501"/>
      <c r="U96" s="501"/>
      <c r="V96" s="503"/>
      <c r="W96" s="501"/>
      <c r="X96" s="505"/>
      <c r="Y96" s="501"/>
      <c r="Z96" s="501"/>
      <c r="AA96" s="501"/>
      <c r="AB96" s="501"/>
      <c r="AC96" s="501"/>
      <c r="AD96" s="507"/>
      <c r="AE96" s="501"/>
      <c r="AF96" s="501"/>
      <c r="AG96" s="501"/>
      <c r="AH96" s="508"/>
      <c r="AI96" s="501"/>
      <c r="AJ96" s="509"/>
      <c r="AK96" s="501"/>
      <c r="AL96" s="510"/>
      <c r="AM96" s="511"/>
      <c r="AN96" s="503"/>
      <c r="AO96" s="509"/>
      <c r="AP96" s="510"/>
      <c r="AQ96" s="503"/>
      <c r="AR96" s="506"/>
      <c r="AS96" s="506"/>
      <c r="AT96" s="509"/>
      <c r="AU96" s="513"/>
      <c r="AV96" s="513"/>
      <c r="AW96" s="514"/>
      <c r="AX96" s="509"/>
      <c r="AY96" s="506"/>
      <c r="AZ96" s="506"/>
      <c r="BA96" s="520"/>
      <c r="BB96" s="521"/>
      <c r="BC96" s="522"/>
      <c r="BD96" s="522"/>
      <c r="BE96" s="523"/>
      <c r="BF96" s="501"/>
      <c r="BG96" s="512"/>
      <c r="BH96" s="501"/>
      <c r="BI96" s="501"/>
      <c r="BJ96" s="501"/>
      <c r="BL96" s="524"/>
    </row>
    <row customHeight="true" ht="13.333333333333332" r="97">
      <c r="A97" s="500">
        <v>46086</v>
      </c>
      <c r="B97" s="501" t="s">
        <v>1285</v>
      </c>
      <c r="C97" s="519"/>
      <c r="D97" s="501">
        <v>54.99</v>
      </c>
      <c r="E97" s="503">
        <v>0</v>
      </c>
      <c r="F97" s="503">
        <v>0</v>
      </c>
      <c r="G97" s="503">
        <v>0</v>
      </c>
      <c r="H97" s="501"/>
      <c r="I97" s="503"/>
      <c r="J97" s="505"/>
      <c r="K97" s="501"/>
      <c r="L97" s="501"/>
      <c r="M97" s="501"/>
      <c r="N97" s="503"/>
      <c r="O97" s="506"/>
      <c r="P97" s="506"/>
      <c r="Q97" s="501"/>
      <c r="R97" s="501"/>
      <c r="S97" s="501">
        <f>'意大利ERP数据'!Z96</f>
      </c>
      <c r="T97" s="501"/>
      <c r="U97" s="501"/>
      <c r="V97" s="503"/>
      <c r="W97" s="501"/>
      <c r="X97" s="505"/>
      <c r="Y97" s="501"/>
      <c r="Z97" s="501"/>
      <c r="AA97" s="501"/>
      <c r="AB97" s="501"/>
      <c r="AC97" s="501"/>
      <c r="AD97" s="507"/>
      <c r="AE97" s="501"/>
      <c r="AF97" s="501"/>
      <c r="AG97" s="501"/>
      <c r="AH97" s="508"/>
      <c r="AI97" s="501"/>
      <c r="AJ97" s="509"/>
      <c r="AK97" s="501"/>
      <c r="AL97" s="510"/>
      <c r="AM97" s="511"/>
      <c r="AN97" s="503"/>
      <c r="AO97" s="509"/>
      <c r="AP97" s="510"/>
      <c r="AQ97" s="503"/>
      <c r="AR97" s="506"/>
      <c r="AS97" s="506"/>
      <c r="AT97" s="509"/>
      <c r="AU97" s="513"/>
      <c r="AV97" s="513"/>
      <c r="AW97" s="514"/>
      <c r="AX97" s="509"/>
      <c r="AY97" s="506"/>
      <c r="AZ97" s="506"/>
      <c r="BA97" s="520"/>
      <c r="BB97" s="521"/>
      <c r="BC97" s="522"/>
      <c r="BD97" s="522"/>
      <c r="BE97" s="523"/>
      <c r="BF97" s="501"/>
      <c r="BG97" s="512"/>
      <c r="BH97" s="501"/>
      <c r="BI97" s="501"/>
      <c r="BJ97" s="501"/>
      <c r="BL97" s="524"/>
    </row>
    <row customHeight="true" ht="13.333333333333332" r="98">
      <c r="A98" s="500">
        <v>46087</v>
      </c>
      <c r="B98" s="501" t="s">
        <v>1286</v>
      </c>
      <c r="C98" s="519"/>
      <c r="D98" s="501">
        <v>54.99</v>
      </c>
      <c r="E98" s="503">
        <v>0</v>
      </c>
      <c r="F98" s="503">
        <v>0</v>
      </c>
      <c r="G98" s="503">
        <v>0</v>
      </c>
      <c r="H98" s="501"/>
      <c r="I98" s="503"/>
      <c r="J98" s="505"/>
      <c r="K98" s="501"/>
      <c r="L98" s="501"/>
      <c r="M98" s="501"/>
      <c r="N98" s="503"/>
      <c r="O98" s="506"/>
      <c r="P98" s="506"/>
      <c r="Q98" s="501"/>
      <c r="R98" s="501"/>
      <c r="S98" s="501">
        <f>'意大利ERP数据'!Z97</f>
      </c>
      <c r="T98" s="501"/>
      <c r="U98" s="501"/>
      <c r="V98" s="503"/>
      <c r="W98" s="501"/>
      <c r="X98" s="505"/>
      <c r="Y98" s="501"/>
      <c r="Z98" s="501"/>
      <c r="AA98" s="501"/>
      <c r="AB98" s="501"/>
      <c r="AC98" s="501"/>
      <c r="AD98" s="507"/>
      <c r="AE98" s="501"/>
      <c r="AF98" s="501"/>
      <c r="AG98" s="501"/>
      <c r="AH98" s="508"/>
      <c r="AI98" s="501"/>
      <c r="AJ98" s="509"/>
      <c r="AK98" s="501"/>
      <c r="AL98" s="510"/>
      <c r="AM98" s="511"/>
      <c r="AN98" s="503"/>
      <c r="AO98" s="509"/>
      <c r="AP98" s="510"/>
      <c r="AQ98" s="503"/>
      <c r="AR98" s="506"/>
      <c r="AS98" s="506"/>
      <c r="AT98" s="509"/>
      <c r="AU98" s="513"/>
      <c r="AV98" s="513"/>
      <c r="AW98" s="514"/>
      <c r="AX98" s="509"/>
      <c r="AY98" s="506"/>
      <c r="AZ98" s="506"/>
      <c r="BA98" s="520"/>
      <c r="BB98" s="521"/>
      <c r="BC98" s="522"/>
      <c r="BD98" s="522"/>
      <c r="BE98" s="523"/>
      <c r="BF98" s="501"/>
      <c r="BG98" s="512"/>
      <c r="BH98" s="501"/>
      <c r="BI98" s="501"/>
      <c r="BJ98" s="501"/>
      <c r="BL98" s="524"/>
    </row>
    <row customHeight="true" ht="13.333333333333332" r="99">
      <c r="A99" s="500">
        <v>46088</v>
      </c>
      <c r="B99" s="501" t="s">
        <v>1287</v>
      </c>
      <c r="C99" s="519"/>
      <c r="D99" s="501">
        <v>54.99</v>
      </c>
      <c r="E99" s="503">
        <v>0</v>
      </c>
      <c r="F99" s="503">
        <v>0</v>
      </c>
      <c r="G99" s="503">
        <v>0</v>
      </c>
      <c r="H99" s="501"/>
      <c r="I99" s="503"/>
      <c r="J99" s="505"/>
      <c r="K99" s="501"/>
      <c r="L99" s="501"/>
      <c r="M99" s="501"/>
      <c r="N99" s="503"/>
      <c r="O99" s="506"/>
      <c r="P99" s="506"/>
      <c r="Q99" s="501"/>
      <c r="R99" s="501"/>
      <c r="S99" s="501">
        <f>'意大利ERP数据'!Z98</f>
      </c>
      <c r="T99" s="501"/>
      <c r="U99" s="501"/>
      <c r="V99" s="503"/>
      <c r="W99" s="501"/>
      <c r="X99" s="505"/>
      <c r="Y99" s="501"/>
      <c r="Z99" s="501"/>
      <c r="AA99" s="501"/>
      <c r="AB99" s="501"/>
      <c r="AC99" s="501"/>
      <c r="AD99" s="507"/>
      <c r="AE99" s="501"/>
      <c r="AF99" s="501"/>
      <c r="AG99" s="501"/>
      <c r="AH99" s="508"/>
      <c r="AI99" s="501"/>
      <c r="AJ99" s="509"/>
      <c r="AK99" s="501"/>
      <c r="AL99" s="510"/>
      <c r="AM99" s="511"/>
      <c r="AN99" s="503"/>
      <c r="AO99" s="509"/>
      <c r="AP99" s="510"/>
      <c r="AQ99" s="503"/>
      <c r="AR99" s="506"/>
      <c r="AS99" s="506"/>
      <c r="AT99" s="509"/>
      <c r="AU99" s="513"/>
      <c r="AV99" s="513"/>
      <c r="AW99" s="514"/>
      <c r="AX99" s="509"/>
      <c r="AY99" s="506"/>
      <c r="AZ99" s="506"/>
      <c r="BA99" s="520"/>
      <c r="BB99" s="521"/>
      <c r="BC99" s="522"/>
      <c r="BD99" s="522"/>
      <c r="BE99" s="523"/>
      <c r="BF99" s="501"/>
      <c r="BG99" s="512"/>
      <c r="BH99" s="501"/>
      <c r="BI99" s="501"/>
      <c r="BJ99" s="501"/>
      <c r="BL99" s="524"/>
    </row>
    <row customHeight="true" ht="13.333333333333332" r="100">
      <c r="A100" s="500">
        <v>46089</v>
      </c>
      <c r="B100" s="501" t="s">
        <v>1288</v>
      </c>
      <c r="C100" s="519"/>
      <c r="D100" s="501">
        <v>54.99</v>
      </c>
      <c r="E100" s="503">
        <v>0</v>
      </c>
      <c r="F100" s="503">
        <v>0</v>
      </c>
      <c r="G100" s="503">
        <v>0</v>
      </c>
      <c r="H100" s="501"/>
      <c r="I100" s="503"/>
      <c r="J100" s="505"/>
      <c r="K100" s="501"/>
      <c r="L100" s="501"/>
      <c r="M100" s="501"/>
      <c r="N100" s="503"/>
      <c r="O100" s="506"/>
      <c r="P100" s="506"/>
      <c r="Q100" s="501"/>
      <c r="R100" s="501"/>
      <c r="S100" s="501">
        <f>'意大利ERP数据'!Z99</f>
      </c>
      <c r="T100" s="501"/>
      <c r="U100" s="501"/>
      <c r="V100" s="503"/>
      <c r="W100" s="501"/>
      <c r="X100" s="505"/>
      <c r="Y100" s="501"/>
      <c r="Z100" s="501"/>
      <c r="AA100" s="501"/>
      <c r="AB100" s="501"/>
      <c r="AC100" s="501"/>
      <c r="AD100" s="507"/>
      <c r="AE100" s="501"/>
      <c r="AF100" s="501"/>
      <c r="AG100" s="501"/>
      <c r="AH100" s="508"/>
      <c r="AI100" s="501"/>
      <c r="AJ100" s="509"/>
      <c r="AK100" s="501"/>
      <c r="AL100" s="510"/>
      <c r="AM100" s="511"/>
      <c r="AN100" s="503"/>
      <c r="AO100" s="509"/>
      <c r="AP100" s="510"/>
      <c r="AQ100" s="503"/>
      <c r="AR100" s="506"/>
      <c r="AS100" s="506"/>
      <c r="AT100" s="509"/>
      <c r="AU100" s="513"/>
      <c r="AV100" s="513"/>
      <c r="AW100" s="514"/>
      <c r="AX100" s="509"/>
      <c r="AY100" s="506"/>
      <c r="AZ100" s="506"/>
      <c r="BA100" s="520"/>
      <c r="BB100" s="521"/>
      <c r="BC100" s="522"/>
      <c r="BD100" s="522"/>
      <c r="BE100" s="523"/>
      <c r="BF100" s="501"/>
      <c r="BG100" s="512"/>
      <c r="BH100" s="501"/>
      <c r="BI100" s="501"/>
      <c r="BJ100" s="501"/>
      <c r="BL100" s="524"/>
    </row>
    <row customHeight="true" ht="13.333333333333332" r="101">
      <c r="A101" s="500">
        <v>46090</v>
      </c>
      <c r="B101" s="501" t="s">
        <v>1281</v>
      </c>
      <c r="C101" s="519"/>
      <c r="D101" s="501">
        <v>54.99</v>
      </c>
      <c r="E101" s="503">
        <v>0</v>
      </c>
      <c r="F101" s="503">
        <v>0</v>
      </c>
      <c r="G101" s="503">
        <v>0</v>
      </c>
      <c r="H101" s="501"/>
      <c r="I101" s="503"/>
      <c r="J101" s="505"/>
      <c r="K101" s="501"/>
      <c r="L101" s="501"/>
      <c r="M101" s="501"/>
      <c r="N101" s="503"/>
      <c r="O101" s="506"/>
      <c r="P101" s="506"/>
      <c r="Q101" s="501"/>
      <c r="R101" s="501"/>
      <c r="S101" s="501">
        <f>'意大利ERP数据'!Z100</f>
      </c>
      <c r="T101" s="501"/>
      <c r="U101" s="501"/>
      <c r="V101" s="503"/>
      <c r="W101" s="501"/>
      <c r="X101" s="505"/>
      <c r="Y101" s="501"/>
      <c r="Z101" s="501"/>
      <c r="AA101" s="501"/>
      <c r="AB101" s="501"/>
      <c r="AC101" s="501"/>
      <c r="AD101" s="507"/>
      <c r="AE101" s="501"/>
      <c r="AF101" s="501"/>
      <c r="AG101" s="501"/>
      <c r="AH101" s="508"/>
      <c r="AI101" s="501"/>
      <c r="AJ101" s="509"/>
      <c r="AK101" s="501"/>
      <c r="AL101" s="510"/>
      <c r="AM101" s="511"/>
      <c r="AN101" s="503"/>
      <c r="AO101" s="509"/>
      <c r="AP101" s="510"/>
      <c r="AQ101" s="503"/>
      <c r="AR101" s="506"/>
      <c r="AS101" s="506"/>
      <c r="AT101" s="509"/>
      <c r="AU101" s="513"/>
      <c r="AV101" s="513"/>
      <c r="AW101" s="514"/>
      <c r="AX101" s="509"/>
      <c r="AY101" s="506"/>
      <c r="AZ101" s="506"/>
      <c r="BA101" s="520"/>
      <c r="BB101" s="521"/>
      <c r="BC101" s="522"/>
      <c r="BD101" s="522"/>
      <c r="BE101" s="523"/>
      <c r="BF101" s="501"/>
      <c r="BG101" s="512"/>
      <c r="BH101" s="501"/>
      <c r="BI101" s="501"/>
      <c r="BJ101" s="501"/>
      <c r="BL101" s="524"/>
    </row>
    <row customHeight="true" ht="13.333333333333332" r="102">
      <c r="A102" s="500">
        <v>46091</v>
      </c>
      <c r="B102" s="501" t="s">
        <v>1283</v>
      </c>
      <c r="C102" s="519"/>
      <c r="D102" s="501">
        <v>54.99</v>
      </c>
      <c r="E102" s="503">
        <v>0</v>
      </c>
      <c r="F102" s="503">
        <v>0</v>
      </c>
      <c r="G102" s="503">
        <v>0</v>
      </c>
      <c r="H102" s="501"/>
      <c r="I102" s="503"/>
      <c r="J102" s="505"/>
      <c r="K102" s="501"/>
      <c r="L102" s="501"/>
      <c r="M102" s="501"/>
      <c r="N102" s="503"/>
      <c r="O102" s="506"/>
      <c r="P102" s="506"/>
      <c r="Q102" s="501"/>
      <c r="R102" s="501"/>
      <c r="S102" s="501">
        <f>'意大利ERP数据'!Z101</f>
      </c>
      <c r="T102" s="501"/>
      <c r="U102" s="501"/>
      <c r="V102" s="503"/>
      <c r="W102" s="501"/>
      <c r="X102" s="505"/>
      <c r="Y102" s="501"/>
      <c r="Z102" s="501"/>
      <c r="AA102" s="501"/>
      <c r="AB102" s="501"/>
      <c r="AC102" s="501"/>
      <c r="AD102" s="507"/>
      <c r="AE102" s="501"/>
      <c r="AF102" s="501"/>
      <c r="AG102" s="501"/>
      <c r="AH102" s="508"/>
      <c r="AI102" s="501"/>
      <c r="AJ102" s="509"/>
      <c r="AK102" s="501"/>
      <c r="AL102" s="510"/>
      <c r="AM102" s="511"/>
      <c r="AN102" s="503"/>
      <c r="AO102" s="509"/>
      <c r="AP102" s="510"/>
      <c r="AQ102" s="503"/>
      <c r="AR102" s="506"/>
      <c r="AS102" s="506"/>
      <c r="AT102" s="509"/>
      <c r="AU102" s="513"/>
      <c r="AV102" s="513"/>
      <c r="AW102" s="514"/>
      <c r="AX102" s="509"/>
      <c r="AY102" s="506"/>
      <c r="AZ102" s="506"/>
      <c r="BA102" s="520"/>
      <c r="BB102" s="521"/>
      <c r="BC102" s="522"/>
      <c r="BD102" s="522"/>
      <c r="BE102" s="523"/>
      <c r="BF102" s="501"/>
      <c r="BG102" s="512"/>
      <c r="BH102" s="501"/>
      <c r="BI102" s="501"/>
      <c r="BJ102" s="501"/>
      <c r="BL102" s="524"/>
    </row>
    <row customHeight="true" ht="13.333333333333332" r="103">
      <c r="A103" s="500">
        <v>46092</v>
      </c>
      <c r="B103" s="501" t="s">
        <v>1284</v>
      </c>
      <c r="C103" s="519"/>
      <c r="D103" s="501">
        <v>54.99</v>
      </c>
      <c r="E103" s="503">
        <v>0</v>
      </c>
      <c r="F103" s="503">
        <v>0</v>
      </c>
      <c r="G103" s="503">
        <v>0</v>
      </c>
      <c r="H103" s="501"/>
      <c r="I103" s="503"/>
      <c r="J103" s="505"/>
      <c r="K103" s="501"/>
      <c r="L103" s="501"/>
      <c r="M103" s="501"/>
      <c r="N103" s="503"/>
      <c r="O103" s="506"/>
      <c r="P103" s="506"/>
      <c r="Q103" s="501"/>
      <c r="R103" s="501"/>
      <c r="S103" s="501">
        <f>'意大利ERP数据'!Z102</f>
      </c>
      <c r="T103" s="501"/>
      <c r="U103" s="501"/>
      <c r="V103" s="503"/>
      <c r="W103" s="501"/>
      <c r="X103" s="505"/>
      <c r="Y103" s="501"/>
      <c r="Z103" s="501"/>
      <c r="AA103" s="501"/>
      <c r="AB103" s="501"/>
      <c r="AC103" s="501"/>
      <c r="AD103" s="507"/>
      <c r="AE103" s="501"/>
      <c r="AF103" s="501"/>
      <c r="AG103" s="501"/>
      <c r="AH103" s="508"/>
      <c r="AI103" s="501"/>
      <c r="AJ103" s="509"/>
      <c r="AK103" s="501"/>
      <c r="AL103" s="510"/>
      <c r="AM103" s="511"/>
      <c r="AN103" s="503"/>
      <c r="AO103" s="509"/>
      <c r="AP103" s="510"/>
      <c r="AQ103" s="503"/>
      <c r="AR103" s="506"/>
      <c r="AS103" s="506"/>
      <c r="AT103" s="509"/>
      <c r="AU103" s="513"/>
      <c r="AV103" s="513"/>
      <c r="AW103" s="514"/>
      <c r="AX103" s="509"/>
      <c r="AY103" s="506"/>
      <c r="AZ103" s="506"/>
      <c r="BA103" s="520"/>
      <c r="BB103" s="521"/>
      <c r="BC103" s="522"/>
      <c r="BD103" s="522"/>
      <c r="BE103" s="523"/>
      <c r="BF103" s="501"/>
      <c r="BG103" s="512"/>
      <c r="BH103" s="501"/>
      <c r="BI103" s="501"/>
      <c r="BJ103" s="501"/>
      <c r="BL103" s="525"/>
    </row>
    <row customHeight="true" ht="13.333333333333332" r="104">
      <c r="A104" s="500">
        <v>46093</v>
      </c>
      <c r="B104" s="501" t="s">
        <v>1285</v>
      </c>
      <c r="C104" s="519"/>
      <c r="D104" s="501">
        <v>54.99</v>
      </c>
      <c r="E104" s="503">
        <v>0</v>
      </c>
      <c r="F104" s="503">
        <v>0</v>
      </c>
      <c r="G104" s="503">
        <v>0</v>
      </c>
      <c r="H104" s="501"/>
      <c r="I104" s="503"/>
      <c r="J104" s="505"/>
      <c r="K104" s="501"/>
      <c r="L104" s="501"/>
      <c r="M104" s="501"/>
      <c r="N104" s="503"/>
      <c r="O104" s="506"/>
      <c r="P104" s="506"/>
      <c r="Q104" s="501"/>
      <c r="R104" s="501"/>
      <c r="S104" s="501">
        <f>'意大利ERP数据'!Z103</f>
      </c>
      <c r="T104" s="501"/>
      <c r="U104" s="501"/>
      <c r="V104" s="503"/>
      <c r="W104" s="501"/>
      <c r="X104" s="505"/>
      <c r="Y104" s="501"/>
      <c r="Z104" s="501"/>
      <c r="AA104" s="501"/>
      <c r="AB104" s="501"/>
      <c r="AC104" s="501"/>
      <c r="AD104" s="507"/>
      <c r="AE104" s="501"/>
      <c r="AF104" s="501"/>
      <c r="AG104" s="501"/>
      <c r="AH104" s="508"/>
      <c r="AI104" s="501"/>
      <c r="AJ104" s="509"/>
      <c r="AK104" s="501"/>
      <c r="AL104" s="510"/>
      <c r="AM104" s="511"/>
      <c r="AN104" s="503"/>
      <c r="AO104" s="509"/>
      <c r="AP104" s="510"/>
      <c r="AQ104" s="503"/>
      <c r="AR104" s="506"/>
      <c r="AS104" s="506"/>
      <c r="AT104" s="509"/>
      <c r="AU104" s="513"/>
      <c r="AV104" s="513"/>
      <c r="AW104" s="514"/>
      <c r="AX104" s="509"/>
      <c r="AY104" s="506"/>
      <c r="AZ104" s="506"/>
      <c r="BA104" s="520"/>
      <c r="BB104" s="521"/>
      <c r="BC104" s="522"/>
      <c r="BD104" s="522"/>
      <c r="BE104" s="523"/>
      <c r="BF104" s="501"/>
      <c r="BG104" s="512"/>
      <c r="BH104" s="501"/>
      <c r="BI104" s="501"/>
      <c r="BJ104" s="501"/>
      <c r="BL104" s="525"/>
    </row>
    <row customHeight="true" ht="13.333333333333332" r="105">
      <c r="A105" s="500">
        <v>46094</v>
      </c>
      <c r="B105" s="501" t="s">
        <v>1286</v>
      </c>
      <c r="C105" s="519"/>
      <c r="D105" s="501">
        <v>54.99</v>
      </c>
      <c r="E105" s="503">
        <v>0</v>
      </c>
      <c r="F105" s="503">
        <v>0</v>
      </c>
      <c r="G105" s="503">
        <v>0</v>
      </c>
      <c r="H105" s="501"/>
      <c r="I105" s="503"/>
      <c r="J105" s="505"/>
      <c r="K105" s="501"/>
      <c r="L105" s="501"/>
      <c r="M105" s="501"/>
      <c r="N105" s="503"/>
      <c r="O105" s="506"/>
      <c r="P105" s="506"/>
      <c r="Q105" s="501"/>
      <c r="R105" s="501"/>
      <c r="S105" s="501">
        <f>'意大利ERP数据'!Z104</f>
      </c>
      <c r="T105" s="501"/>
      <c r="U105" s="501"/>
      <c r="V105" s="503"/>
      <c r="W105" s="501"/>
      <c r="X105" s="505"/>
      <c r="Y105" s="501"/>
      <c r="Z105" s="501"/>
      <c r="AA105" s="501"/>
      <c r="AB105" s="501"/>
      <c r="AC105" s="501"/>
      <c r="AD105" s="507"/>
      <c r="AE105" s="501"/>
      <c r="AF105" s="501"/>
      <c r="AG105" s="501"/>
      <c r="AH105" s="508"/>
      <c r="AI105" s="501"/>
      <c r="AJ105" s="509"/>
      <c r="AK105" s="501"/>
      <c r="AL105" s="510"/>
      <c r="AM105" s="511"/>
      <c r="AN105" s="503"/>
      <c r="AO105" s="509"/>
      <c r="AP105" s="510"/>
      <c r="AQ105" s="503"/>
      <c r="AR105" s="506"/>
      <c r="AS105" s="506"/>
      <c r="AT105" s="509"/>
      <c r="AU105" s="513"/>
      <c r="AV105" s="513"/>
      <c r="AW105" s="514"/>
      <c r="AX105" s="509"/>
      <c r="AY105" s="506"/>
      <c r="AZ105" s="506"/>
      <c r="BA105" s="520"/>
      <c r="BB105" s="521"/>
      <c r="BC105" s="522"/>
      <c r="BD105" s="522"/>
      <c r="BE105" s="523"/>
      <c r="BF105" s="501"/>
      <c r="BG105" s="512"/>
      <c r="BH105" s="501"/>
      <c r="BI105" s="501"/>
      <c r="BJ105" s="501"/>
      <c r="BL105" s="525"/>
    </row>
    <row customHeight="true" ht="13.333333333333332" r="106">
      <c r="A106" s="500">
        <v>46095</v>
      </c>
      <c r="B106" s="501" t="s">
        <v>1287</v>
      </c>
      <c r="C106" s="519"/>
      <c r="D106" s="501">
        <v>54.99</v>
      </c>
      <c r="E106" s="503">
        <v>0</v>
      </c>
      <c r="F106" s="503">
        <v>0</v>
      </c>
      <c r="G106" s="503">
        <v>0</v>
      </c>
      <c r="H106" s="501"/>
      <c r="I106" s="503"/>
      <c r="J106" s="505"/>
      <c r="K106" s="501"/>
      <c r="L106" s="501"/>
      <c r="M106" s="501"/>
      <c r="N106" s="503"/>
      <c r="O106" s="506"/>
      <c r="P106" s="506"/>
      <c r="Q106" s="501"/>
      <c r="R106" s="501"/>
      <c r="S106" s="501">
        <f>'意大利ERP数据'!Z105</f>
      </c>
      <c r="T106" s="501"/>
      <c r="U106" s="501"/>
      <c r="V106" s="503"/>
      <c r="W106" s="501"/>
      <c r="X106" s="505"/>
      <c r="Y106" s="501"/>
      <c r="Z106" s="501"/>
      <c r="AA106" s="501"/>
      <c r="AB106" s="501"/>
      <c r="AC106" s="501"/>
      <c r="AD106" s="507"/>
      <c r="AE106" s="501"/>
      <c r="AF106" s="501"/>
      <c r="AG106" s="501"/>
      <c r="AH106" s="508"/>
      <c r="AI106" s="501"/>
      <c r="AJ106" s="509"/>
      <c r="AK106" s="501"/>
      <c r="AL106" s="510"/>
      <c r="AM106" s="511"/>
      <c r="AN106" s="503"/>
      <c r="AO106" s="509"/>
      <c r="AP106" s="510"/>
      <c r="AQ106" s="503"/>
      <c r="AR106" s="506"/>
      <c r="AS106" s="506"/>
      <c r="AT106" s="509"/>
      <c r="AU106" s="513"/>
      <c r="AV106" s="513"/>
      <c r="AW106" s="514"/>
      <c r="AX106" s="509"/>
      <c r="AY106" s="506"/>
      <c r="AZ106" s="506"/>
      <c r="BA106" s="520"/>
      <c r="BB106" s="521"/>
      <c r="BC106" s="522"/>
      <c r="BD106" s="522"/>
      <c r="BE106" s="523"/>
      <c r="BF106" s="501"/>
      <c r="BG106" s="512"/>
      <c r="BH106" s="501"/>
      <c r="BI106" s="501"/>
      <c r="BJ106" s="501"/>
      <c r="BL106" s="525"/>
    </row>
    <row customHeight="true" ht="13.333333333333332" r="107">
      <c r="A107" s="500">
        <v>46096</v>
      </c>
      <c r="B107" s="501" t="s">
        <v>1288</v>
      </c>
      <c r="C107" s="519"/>
      <c r="D107" s="501">
        <v>54.99</v>
      </c>
      <c r="E107" s="503">
        <v>0</v>
      </c>
      <c r="F107" s="503">
        <v>0</v>
      </c>
      <c r="G107" s="503">
        <v>0</v>
      </c>
      <c r="H107" s="501"/>
      <c r="I107" s="503"/>
      <c r="J107" s="505"/>
      <c r="K107" s="501"/>
      <c r="L107" s="501"/>
      <c r="M107" s="501"/>
      <c r="N107" s="503"/>
      <c r="O107" s="506"/>
      <c r="P107" s="506"/>
      <c r="Q107" s="501"/>
      <c r="R107" s="501"/>
      <c r="S107" s="501">
        <f>'意大利ERP数据'!Z106</f>
      </c>
      <c r="T107" s="501"/>
      <c r="U107" s="501"/>
      <c r="V107" s="503"/>
      <c r="W107" s="501"/>
      <c r="X107" s="505"/>
      <c r="Y107" s="501"/>
      <c r="Z107" s="501"/>
      <c r="AA107" s="501"/>
      <c r="AB107" s="501"/>
      <c r="AC107" s="501"/>
      <c r="AD107" s="507"/>
      <c r="AE107" s="501"/>
      <c r="AF107" s="501"/>
      <c r="AG107" s="501"/>
      <c r="AH107" s="508"/>
      <c r="AI107" s="501"/>
      <c r="AJ107" s="509"/>
      <c r="AK107" s="501"/>
      <c r="AL107" s="510"/>
      <c r="AM107" s="511"/>
      <c r="AN107" s="503"/>
      <c r="AO107" s="509"/>
      <c r="AP107" s="510"/>
      <c r="AQ107" s="503"/>
      <c r="AR107" s="506"/>
      <c r="AS107" s="506"/>
      <c r="AT107" s="509"/>
      <c r="AU107" s="513"/>
      <c r="AV107" s="513"/>
      <c r="AW107" s="514"/>
      <c r="AX107" s="509"/>
      <c r="AY107" s="506"/>
      <c r="AZ107" s="506"/>
      <c r="BA107" s="520"/>
      <c r="BB107" s="521"/>
      <c r="BC107" s="522"/>
      <c r="BD107" s="522"/>
      <c r="BE107" s="523"/>
      <c r="BF107" s="501"/>
      <c r="BG107" s="512"/>
      <c r="BH107" s="501"/>
      <c r="BI107" s="501"/>
      <c r="BJ107" s="501"/>
      <c r="BK107" s="525"/>
      <c r="BL107" s="525"/>
    </row>
    <row customHeight="true" ht="13.333333333333332" r="108">
      <c r="A108" s="500">
        <v>46097</v>
      </c>
      <c r="B108" s="501" t="s">
        <v>1281</v>
      </c>
      <c r="C108" s="519"/>
      <c r="D108" s="501">
        <v>54.99</v>
      </c>
      <c r="E108" s="503">
        <v>0</v>
      </c>
      <c r="F108" s="503">
        <v>0</v>
      </c>
      <c r="G108" s="503">
        <v>0</v>
      </c>
      <c r="H108" s="501"/>
      <c r="I108" s="503"/>
      <c r="J108" s="505"/>
      <c r="K108" s="501"/>
      <c r="L108" s="501"/>
      <c r="M108" s="501"/>
      <c r="N108" s="503"/>
      <c r="O108" s="506"/>
      <c r="P108" s="506"/>
      <c r="Q108" s="501"/>
      <c r="R108" s="501"/>
      <c r="S108" s="501">
        <f>'意大利ERP数据'!Z107</f>
      </c>
      <c r="T108" s="501"/>
      <c r="U108" s="501"/>
      <c r="V108" s="503"/>
      <c r="W108" s="501"/>
      <c r="X108" s="505"/>
      <c r="Y108" s="501"/>
      <c r="Z108" s="501"/>
      <c r="AA108" s="501"/>
      <c r="AB108" s="501"/>
      <c r="AC108" s="501"/>
      <c r="AD108" s="507"/>
      <c r="AE108" s="501"/>
      <c r="AF108" s="501"/>
      <c r="AG108" s="501"/>
      <c r="AH108" s="508"/>
      <c r="AI108" s="501"/>
      <c r="AJ108" s="509"/>
      <c r="AK108" s="501"/>
      <c r="AL108" s="510"/>
      <c r="AM108" s="511"/>
      <c r="AN108" s="503"/>
      <c r="AO108" s="509"/>
      <c r="AP108" s="510"/>
      <c r="AQ108" s="503"/>
      <c r="AR108" s="506"/>
      <c r="AS108" s="506"/>
      <c r="AT108" s="509"/>
      <c r="AU108" s="513"/>
      <c r="AV108" s="513"/>
      <c r="AW108" s="514"/>
      <c r="AX108" s="509"/>
      <c r="AY108" s="506"/>
      <c r="AZ108" s="506"/>
      <c r="BA108" s="520"/>
      <c r="BB108" s="521"/>
      <c r="BC108" s="522"/>
      <c r="BD108" s="522"/>
      <c r="BE108" s="523"/>
      <c r="BF108" s="501"/>
      <c r="BG108" s="512"/>
      <c r="BH108" s="501"/>
      <c r="BI108" s="501"/>
      <c r="BJ108" s="501"/>
      <c r="BK108" s="525"/>
      <c r="BL108" s="525"/>
    </row>
    <row customHeight="true" ht="13.333333333333332" r="109">
      <c r="A109" s="500">
        <v>46098</v>
      </c>
      <c r="B109" s="501" t="s">
        <v>1283</v>
      </c>
      <c r="C109" s="502"/>
      <c r="D109" s="501">
        <v>54.99</v>
      </c>
      <c r="E109" s="503">
        <v>0</v>
      </c>
      <c r="F109" s="503">
        <v>0</v>
      </c>
      <c r="G109" s="503">
        <v>0</v>
      </c>
      <c r="H109" s="501"/>
      <c r="I109" s="503"/>
      <c r="J109" s="505"/>
      <c r="K109" s="501"/>
      <c r="L109" s="501"/>
      <c r="M109" s="501"/>
      <c r="N109" s="503"/>
      <c r="O109" s="506"/>
      <c r="P109" s="506"/>
      <c r="Q109" s="501"/>
      <c r="R109" s="501"/>
      <c r="S109" s="501">
        <f>'意大利ERP数据'!Z108</f>
      </c>
      <c r="T109" s="501"/>
      <c r="U109" s="501"/>
      <c r="V109" s="503"/>
      <c r="W109" s="501"/>
      <c r="X109" s="505"/>
      <c r="Y109" s="501"/>
      <c r="Z109" s="501"/>
      <c r="AA109" s="501"/>
      <c r="AB109" s="501"/>
      <c r="AC109" s="501"/>
      <c r="AD109" s="507"/>
      <c r="AE109" s="501"/>
      <c r="AF109" s="501"/>
      <c r="AG109" s="501"/>
      <c r="AH109" s="508"/>
      <c r="AI109" s="501"/>
      <c r="AJ109" s="509"/>
      <c r="AK109" s="501"/>
      <c r="AL109" s="510"/>
      <c r="AM109" s="511"/>
      <c r="AN109" s="503"/>
      <c r="AO109" s="509"/>
      <c r="AP109" s="510"/>
      <c r="AQ109" s="503"/>
      <c r="AR109" s="506"/>
      <c r="AS109" s="506"/>
      <c r="AT109" s="509"/>
      <c r="AU109" s="513"/>
      <c r="AV109" s="513"/>
      <c r="AW109" s="514"/>
      <c r="AX109" s="509"/>
      <c r="AY109" s="506"/>
      <c r="AZ109" s="506"/>
      <c r="BA109" s="520"/>
      <c r="BB109" s="521"/>
      <c r="BC109" s="522"/>
      <c r="BD109" s="522"/>
      <c r="BE109" s="523"/>
      <c r="BF109" s="501"/>
      <c r="BG109" s="512"/>
      <c r="BH109" s="501"/>
      <c r="BI109" s="501"/>
      <c r="BJ109" s="501"/>
      <c r="BK109" s="525"/>
      <c r="BL109" s="525"/>
    </row>
    <row customHeight="true" ht="13.333333333333332" r="110">
      <c r="A110" s="500">
        <v>46099</v>
      </c>
      <c r="B110" s="501" t="s">
        <v>1284</v>
      </c>
      <c r="C110" s="502"/>
      <c r="D110" s="501">
        <v>54.99</v>
      </c>
      <c r="E110" s="503">
        <v>0</v>
      </c>
      <c r="F110" s="503">
        <v>0</v>
      </c>
      <c r="G110" s="503">
        <v>0</v>
      </c>
      <c r="H110" s="501"/>
      <c r="I110" s="503"/>
      <c r="J110" s="505"/>
      <c r="K110" s="501"/>
      <c r="L110" s="501"/>
      <c r="M110" s="501"/>
      <c r="N110" s="503"/>
      <c r="O110" s="506"/>
      <c r="P110" s="506"/>
      <c r="Q110" s="501"/>
      <c r="R110" s="501"/>
      <c r="S110" s="501">
        <f>'意大利ERP数据'!Z109</f>
      </c>
      <c r="T110" s="501"/>
      <c r="U110" s="501"/>
      <c r="V110" s="503"/>
      <c r="W110" s="501"/>
      <c r="X110" s="505"/>
      <c r="Y110" s="501"/>
      <c r="Z110" s="501"/>
      <c r="AA110" s="501"/>
      <c r="AB110" s="501"/>
      <c r="AC110" s="501"/>
      <c r="AD110" s="507"/>
      <c r="AE110" s="501"/>
      <c r="AF110" s="501"/>
      <c r="AG110" s="501"/>
      <c r="AH110" s="508"/>
      <c r="AI110" s="501"/>
      <c r="AJ110" s="509"/>
      <c r="AK110" s="501"/>
      <c r="AL110" s="510"/>
      <c r="AM110" s="511"/>
      <c r="AN110" s="503"/>
      <c r="AO110" s="509"/>
      <c r="AP110" s="510"/>
      <c r="AQ110" s="503"/>
      <c r="AR110" s="506"/>
      <c r="AS110" s="506"/>
      <c r="AT110" s="509"/>
      <c r="AU110" s="513"/>
      <c r="AV110" s="513"/>
      <c r="AW110" s="514"/>
      <c r="AX110" s="509"/>
      <c r="AY110" s="506"/>
      <c r="AZ110" s="506"/>
      <c r="BA110" s="520"/>
      <c r="BB110" s="521"/>
      <c r="BC110" s="522"/>
      <c r="BD110" s="522"/>
      <c r="BE110" s="523"/>
      <c r="BF110" s="501"/>
      <c r="BG110" s="512"/>
      <c r="BH110" s="501"/>
      <c r="BI110" s="501"/>
      <c r="BJ110" s="501"/>
      <c r="BK110" s="525"/>
      <c r="BL110" s="525"/>
    </row>
    <row customHeight="true" ht="13.333333333333332" r="111">
      <c r="A111" s="500">
        <v>46100</v>
      </c>
      <c r="B111" s="501" t="s">
        <v>1285</v>
      </c>
      <c r="C111" s="502"/>
      <c r="D111" s="501">
        <v>54.99</v>
      </c>
      <c r="E111" s="503">
        <v>0</v>
      </c>
      <c r="F111" s="503">
        <v>0</v>
      </c>
      <c r="G111" s="503">
        <v>0</v>
      </c>
      <c r="H111" s="501"/>
      <c r="I111" s="503"/>
      <c r="J111" s="505"/>
      <c r="K111" s="501"/>
      <c r="L111" s="501"/>
      <c r="M111" s="501"/>
      <c r="N111" s="503"/>
      <c r="O111" s="506"/>
      <c r="P111" s="506"/>
      <c r="Q111" s="501"/>
      <c r="R111" s="501"/>
      <c r="S111" s="501">
        <f>'意大利ERP数据'!Z110</f>
      </c>
      <c r="T111" s="501"/>
      <c r="U111" s="501"/>
      <c r="V111" s="503"/>
      <c r="W111" s="501"/>
      <c r="X111" s="505"/>
      <c r="Y111" s="501"/>
      <c r="Z111" s="501"/>
      <c r="AA111" s="501"/>
      <c r="AB111" s="501"/>
      <c r="AC111" s="501"/>
      <c r="AD111" s="507"/>
      <c r="AE111" s="501"/>
      <c r="AF111" s="501"/>
      <c r="AG111" s="501"/>
      <c r="AH111" s="508"/>
      <c r="AI111" s="501"/>
      <c r="AJ111" s="509"/>
      <c r="AK111" s="501"/>
      <c r="AL111" s="510"/>
      <c r="AM111" s="511"/>
      <c r="AN111" s="503"/>
      <c r="AO111" s="509"/>
      <c r="AP111" s="510"/>
      <c r="AQ111" s="503"/>
      <c r="AR111" s="506"/>
      <c r="AS111" s="506"/>
      <c r="AT111" s="509"/>
      <c r="AU111" s="513"/>
      <c r="AV111" s="513"/>
      <c r="AW111" s="514"/>
      <c r="AX111" s="509"/>
      <c r="AY111" s="506"/>
      <c r="AZ111" s="506"/>
      <c r="BA111" s="520"/>
      <c r="BB111" s="521"/>
      <c r="BC111" s="522"/>
      <c r="BD111" s="522"/>
      <c r="BE111" s="523"/>
      <c r="BF111" s="501"/>
      <c r="BG111" s="512"/>
      <c r="BH111" s="501"/>
      <c r="BI111" s="501"/>
      <c r="BJ111" s="501"/>
      <c r="BK111" s="525"/>
      <c r="BL111" s="525"/>
    </row>
    <row customHeight="true" ht="13.333333333333332" r="112">
      <c r="A112" s="500">
        <v>46101</v>
      </c>
      <c r="B112" s="501" t="s">
        <v>1286</v>
      </c>
      <c r="C112" s="502"/>
      <c r="D112" s="501">
        <v>54.99</v>
      </c>
      <c r="E112" s="503">
        <v>0</v>
      </c>
      <c r="F112" s="503">
        <v>0</v>
      </c>
      <c r="G112" s="503">
        <v>0</v>
      </c>
      <c r="H112" s="501"/>
      <c r="I112" s="503"/>
      <c r="J112" s="505"/>
      <c r="K112" s="501"/>
      <c r="L112" s="501"/>
      <c r="M112" s="501"/>
      <c r="N112" s="503"/>
      <c r="O112" s="506"/>
      <c r="P112" s="506"/>
      <c r="Q112" s="501"/>
      <c r="R112" s="501"/>
      <c r="S112" s="501">
        <f>'意大利ERP数据'!Z111</f>
      </c>
      <c r="T112" s="501"/>
      <c r="U112" s="501"/>
      <c r="V112" s="503"/>
      <c r="W112" s="501"/>
      <c r="X112" s="505"/>
      <c r="Y112" s="501"/>
      <c r="Z112" s="501"/>
      <c r="AA112" s="501"/>
      <c r="AB112" s="501"/>
      <c r="AC112" s="501"/>
      <c r="AD112" s="507"/>
      <c r="AE112" s="501"/>
      <c r="AF112" s="501"/>
      <c r="AG112" s="501"/>
      <c r="AH112" s="508"/>
      <c r="AI112" s="501"/>
      <c r="AJ112" s="509"/>
      <c r="AK112" s="501"/>
      <c r="AL112" s="510"/>
      <c r="AM112" s="511"/>
      <c r="AN112" s="503"/>
      <c r="AO112" s="509"/>
      <c r="AP112" s="510"/>
      <c r="AQ112" s="503"/>
      <c r="AR112" s="506"/>
      <c r="AS112" s="506"/>
      <c r="AT112" s="509"/>
      <c r="AU112" s="513"/>
      <c r="AV112" s="513"/>
      <c r="AW112" s="514"/>
      <c r="AX112" s="509"/>
      <c r="AY112" s="506"/>
      <c r="AZ112" s="506"/>
      <c r="BA112" s="520"/>
      <c r="BB112" s="521"/>
      <c r="BC112" s="522"/>
      <c r="BD112" s="522"/>
      <c r="BE112" s="523"/>
      <c r="BF112" s="501"/>
      <c r="BG112" s="512"/>
      <c r="BH112" s="501"/>
      <c r="BI112" s="501"/>
      <c r="BJ112" s="501"/>
      <c r="BK112" s="525"/>
      <c r="BL112" s="525"/>
    </row>
    <row customHeight="true" ht="13.333333333333332" r="113">
      <c r="A113" s="500">
        <v>46102</v>
      </c>
      <c r="B113" s="501" t="s">
        <v>1287</v>
      </c>
      <c r="C113" s="519"/>
      <c r="D113" s="501">
        <v>54.99</v>
      </c>
      <c r="E113" s="503">
        <v>0</v>
      </c>
      <c r="F113" s="503">
        <v>0</v>
      </c>
      <c r="G113" s="503">
        <v>0</v>
      </c>
      <c r="H113" s="501"/>
      <c r="I113" s="503"/>
      <c r="J113" s="505"/>
      <c r="K113" s="501"/>
      <c r="L113" s="501"/>
      <c r="M113" s="501"/>
      <c r="N113" s="503"/>
      <c r="O113" s="506"/>
      <c r="P113" s="506"/>
      <c r="Q113" s="501"/>
      <c r="R113" s="501"/>
      <c r="S113" s="501">
        <f>'意大利ERP数据'!Z112</f>
      </c>
      <c r="T113" s="501"/>
      <c r="U113" s="501"/>
      <c r="V113" s="503"/>
      <c r="W113" s="501"/>
      <c r="X113" s="505"/>
      <c r="Y113" s="501"/>
      <c r="Z113" s="501"/>
      <c r="AA113" s="501"/>
      <c r="AB113" s="501"/>
      <c r="AC113" s="501"/>
      <c r="AD113" s="507"/>
      <c r="AE113" s="501"/>
      <c r="AF113" s="501"/>
      <c r="AG113" s="501"/>
      <c r="AH113" s="508"/>
      <c r="AI113" s="501"/>
      <c r="AJ113" s="509"/>
      <c r="AK113" s="501"/>
      <c r="AL113" s="510"/>
      <c r="AM113" s="511"/>
      <c r="AN113" s="503"/>
      <c r="AO113" s="509"/>
      <c r="AP113" s="510"/>
      <c r="AQ113" s="503"/>
      <c r="AR113" s="506"/>
      <c r="AS113" s="506"/>
      <c r="AT113" s="509"/>
      <c r="AU113" s="513"/>
      <c r="AV113" s="513"/>
      <c r="AW113" s="514"/>
      <c r="AX113" s="509"/>
      <c r="AY113" s="506"/>
      <c r="AZ113" s="506"/>
      <c r="BA113" s="520"/>
      <c r="BB113" s="521"/>
      <c r="BC113" s="522"/>
      <c r="BD113" s="522"/>
      <c r="BE113" s="523"/>
      <c r="BF113" s="501"/>
      <c r="BG113" s="512"/>
      <c r="BH113" s="501"/>
      <c r="BI113" s="501"/>
      <c r="BJ113" s="501"/>
      <c r="BK113" s="525"/>
      <c r="BL113" s="525"/>
    </row>
    <row customHeight="true" ht="13.333333333333332" r="114">
      <c r="A114" s="500">
        <v>46103</v>
      </c>
      <c r="B114" s="501" t="s">
        <v>1288</v>
      </c>
      <c r="C114" s="519"/>
      <c r="D114" s="501">
        <v>54.99</v>
      </c>
      <c r="E114" s="503">
        <v>0</v>
      </c>
      <c r="F114" s="503">
        <v>0</v>
      </c>
      <c r="G114" s="503">
        <v>0</v>
      </c>
      <c r="H114" s="501"/>
      <c r="I114" s="503"/>
      <c r="J114" s="505"/>
      <c r="K114" s="501"/>
      <c r="L114" s="501"/>
      <c r="M114" s="501"/>
      <c r="N114" s="503"/>
      <c r="O114" s="506"/>
      <c r="P114" s="506"/>
      <c r="Q114" s="501"/>
      <c r="R114" s="501"/>
      <c r="S114" s="501">
        <f>'意大利ERP数据'!Z113</f>
      </c>
      <c r="T114" s="501"/>
      <c r="U114" s="501"/>
      <c r="V114" s="503"/>
      <c r="W114" s="501"/>
      <c r="X114" s="505"/>
      <c r="Y114" s="501"/>
      <c r="Z114" s="501"/>
      <c r="AA114" s="501"/>
      <c r="AB114" s="501"/>
      <c r="AC114" s="501"/>
      <c r="AD114" s="507"/>
      <c r="AE114" s="501"/>
      <c r="AF114" s="501"/>
      <c r="AG114" s="501"/>
      <c r="AH114" s="508"/>
      <c r="AI114" s="501"/>
      <c r="AJ114" s="509"/>
      <c r="AK114" s="501"/>
      <c r="AL114" s="510"/>
      <c r="AM114" s="511"/>
      <c r="AN114" s="503"/>
      <c r="AO114" s="509"/>
      <c r="AP114" s="510"/>
      <c r="AQ114" s="503"/>
      <c r="AR114" s="506"/>
      <c r="AS114" s="506"/>
      <c r="AT114" s="509"/>
      <c r="AU114" s="513"/>
      <c r="AV114" s="513"/>
      <c r="AW114" s="514"/>
      <c r="AX114" s="509"/>
      <c r="AY114" s="506"/>
      <c r="AZ114" s="506"/>
      <c r="BA114" s="520"/>
      <c r="BB114" s="521"/>
      <c r="BC114" s="522"/>
      <c r="BD114" s="522"/>
      <c r="BE114" s="523"/>
      <c r="BF114" s="501"/>
      <c r="BG114" s="512"/>
      <c r="BH114" s="501"/>
      <c r="BI114" s="501"/>
      <c r="BJ114" s="501"/>
      <c r="BK114" s="525"/>
      <c r="BL114" s="525"/>
    </row>
    <row customHeight="true" ht="13.333333333333332" r="115">
      <c r="A115" s="500">
        <v>46104</v>
      </c>
      <c r="B115" s="501" t="s">
        <v>1281</v>
      </c>
      <c r="C115" s="502"/>
      <c r="D115" s="501">
        <v>54.99</v>
      </c>
      <c r="E115" s="503">
        <v>0</v>
      </c>
      <c r="F115" s="503">
        <v>0</v>
      </c>
      <c r="G115" s="503">
        <v>0</v>
      </c>
      <c r="H115" s="501"/>
      <c r="I115" s="503"/>
      <c r="J115" s="505"/>
      <c r="K115" s="501"/>
      <c r="L115" s="501"/>
      <c r="M115" s="501"/>
      <c r="N115" s="503"/>
      <c r="O115" s="506"/>
      <c r="P115" s="506"/>
      <c r="Q115" s="501"/>
      <c r="R115" s="501"/>
      <c r="S115" s="501">
        <f>'意大利ERP数据'!Z114</f>
      </c>
      <c r="T115" s="501"/>
      <c r="U115" s="501"/>
      <c r="V115" s="503"/>
      <c r="W115" s="501"/>
      <c r="X115" s="505"/>
      <c r="Y115" s="501"/>
      <c r="Z115" s="501"/>
      <c r="AA115" s="501"/>
      <c r="AB115" s="501"/>
      <c r="AC115" s="501"/>
      <c r="AD115" s="507"/>
      <c r="AE115" s="501"/>
      <c r="AF115" s="501"/>
      <c r="AG115" s="501"/>
      <c r="AH115" s="508"/>
      <c r="AI115" s="501"/>
      <c r="AJ115" s="509"/>
      <c r="AK115" s="501"/>
      <c r="AL115" s="510"/>
      <c r="AM115" s="511"/>
      <c r="AN115" s="503"/>
      <c r="AO115" s="509"/>
      <c r="AP115" s="510"/>
      <c r="AQ115" s="503"/>
      <c r="AR115" s="506"/>
      <c r="AS115" s="506"/>
      <c r="AT115" s="509"/>
      <c r="AU115" s="513"/>
      <c r="AV115" s="513"/>
      <c r="AW115" s="514"/>
      <c r="AX115" s="509"/>
      <c r="AY115" s="506"/>
      <c r="AZ115" s="506"/>
      <c r="BA115" s="520"/>
      <c r="BB115" s="521"/>
      <c r="BC115" s="522"/>
      <c r="BD115" s="522"/>
      <c r="BE115" s="523"/>
      <c r="BF115" s="501"/>
      <c r="BG115" s="512"/>
      <c r="BH115" s="501"/>
      <c r="BI115" s="501"/>
      <c r="BJ115" s="501"/>
      <c r="BK115" s="525"/>
      <c r="BL115" s="525"/>
    </row>
    <row customHeight="true" ht="13.333333333333332" r="116">
      <c r="A116" s="500">
        <v>46105</v>
      </c>
      <c r="B116" s="501" t="s">
        <v>1283</v>
      </c>
      <c r="C116" s="502"/>
      <c r="D116" s="501">
        <v>54.99</v>
      </c>
      <c r="E116" s="503">
        <v>0</v>
      </c>
      <c r="F116" s="503">
        <v>0</v>
      </c>
      <c r="G116" s="503">
        <v>0</v>
      </c>
      <c r="H116" s="501"/>
      <c r="I116" s="503"/>
      <c r="J116" s="505"/>
      <c r="K116" s="501"/>
      <c r="L116" s="501"/>
      <c r="M116" s="501"/>
      <c r="N116" s="503"/>
      <c r="O116" s="506"/>
      <c r="P116" s="506"/>
      <c r="Q116" s="501"/>
      <c r="R116" s="501"/>
      <c r="S116" s="501">
        <f>'意大利ERP数据'!Z115</f>
      </c>
      <c r="T116" s="501"/>
      <c r="U116" s="501"/>
      <c r="V116" s="503"/>
      <c r="W116" s="501"/>
      <c r="X116" s="505"/>
      <c r="Y116" s="501"/>
      <c r="Z116" s="501"/>
      <c r="AA116" s="501"/>
      <c r="AB116" s="501"/>
      <c r="AC116" s="501"/>
      <c r="AD116" s="507"/>
      <c r="AE116" s="501"/>
      <c r="AF116" s="501"/>
      <c r="AG116" s="501"/>
      <c r="AH116" s="508"/>
      <c r="AI116" s="501"/>
      <c r="AJ116" s="509"/>
      <c r="AK116" s="501"/>
      <c r="AL116" s="510"/>
      <c r="AM116" s="511"/>
      <c r="AN116" s="503"/>
      <c r="AO116" s="509"/>
      <c r="AP116" s="510"/>
      <c r="AQ116" s="503"/>
      <c r="AR116" s="506"/>
      <c r="AS116" s="506"/>
      <c r="AT116" s="509"/>
      <c r="AU116" s="513"/>
      <c r="AV116" s="513"/>
      <c r="AW116" s="514"/>
      <c r="AX116" s="509"/>
      <c r="AY116" s="506"/>
      <c r="AZ116" s="506"/>
      <c r="BA116" s="520"/>
      <c r="BB116" s="521"/>
      <c r="BC116" s="522"/>
      <c r="BD116" s="522"/>
      <c r="BE116" s="523"/>
      <c r="BF116" s="501"/>
      <c r="BG116" s="512"/>
      <c r="BH116" s="501"/>
      <c r="BI116" s="501"/>
      <c r="BJ116" s="501"/>
      <c r="BK116" s="525"/>
      <c r="BL116" s="525"/>
    </row>
    <row customHeight="true" ht="13.333333333333332" r="117">
      <c r="A117" s="500">
        <v>46106</v>
      </c>
      <c r="B117" s="501" t="s">
        <v>1284</v>
      </c>
      <c r="C117" s="502"/>
      <c r="D117" s="501">
        <v>54.99</v>
      </c>
      <c r="E117" s="503">
        <v>0</v>
      </c>
      <c r="F117" s="503">
        <v>0</v>
      </c>
      <c r="G117" s="503">
        <v>0</v>
      </c>
      <c r="H117" s="501"/>
      <c r="I117" s="503"/>
      <c r="J117" s="505"/>
      <c r="K117" s="501"/>
      <c r="L117" s="501"/>
      <c r="M117" s="501"/>
      <c r="N117" s="503"/>
      <c r="O117" s="506"/>
      <c r="P117" s="506"/>
      <c r="Q117" s="501"/>
      <c r="R117" s="501"/>
      <c r="S117" s="501">
        <f>'意大利ERP数据'!Z116</f>
      </c>
      <c r="T117" s="501"/>
      <c r="U117" s="501"/>
      <c r="V117" s="503"/>
      <c r="W117" s="501"/>
      <c r="X117" s="505"/>
      <c r="Y117" s="501"/>
      <c r="Z117" s="501"/>
      <c r="AA117" s="501"/>
      <c r="AB117" s="501"/>
      <c r="AC117" s="501"/>
      <c r="AD117" s="507"/>
      <c r="AE117" s="501"/>
      <c r="AF117" s="501"/>
      <c r="AG117" s="501"/>
      <c r="AH117" s="508"/>
      <c r="AI117" s="501"/>
      <c r="AJ117" s="509"/>
      <c r="AK117" s="501"/>
      <c r="AL117" s="510"/>
      <c r="AM117" s="511"/>
      <c r="AN117" s="503"/>
      <c r="AO117" s="509"/>
      <c r="AP117" s="510"/>
      <c r="AQ117" s="503"/>
      <c r="AR117" s="506"/>
      <c r="AS117" s="506"/>
      <c r="AT117" s="509"/>
      <c r="AU117" s="513"/>
      <c r="AV117" s="513"/>
      <c r="AW117" s="514"/>
      <c r="AX117" s="509"/>
      <c r="AY117" s="506"/>
      <c r="AZ117" s="506"/>
      <c r="BA117" s="520"/>
      <c r="BB117" s="521"/>
      <c r="BC117" s="522"/>
      <c r="BD117" s="522"/>
      <c r="BE117" s="523"/>
      <c r="BF117" s="501"/>
      <c r="BG117" s="512"/>
      <c r="BH117" s="501"/>
      <c r="BI117" s="501"/>
      <c r="BJ117" s="501"/>
      <c r="BK117" s="525"/>
      <c r="BL117" s="525"/>
    </row>
    <row customHeight="true" ht="13.333333333333332" r="118">
      <c r="A118" s="500">
        <v>46107</v>
      </c>
      <c r="B118" s="501" t="s">
        <v>1285</v>
      </c>
      <c r="C118" s="502"/>
      <c r="D118" s="501">
        <v>54.99</v>
      </c>
      <c r="E118" s="503">
        <v>0</v>
      </c>
      <c r="F118" s="503">
        <v>0</v>
      </c>
      <c r="G118" s="503">
        <v>0</v>
      </c>
      <c r="H118" s="501"/>
      <c r="I118" s="503"/>
      <c r="J118" s="505"/>
      <c r="K118" s="501"/>
      <c r="L118" s="501"/>
      <c r="M118" s="501"/>
      <c r="N118" s="503"/>
      <c r="O118" s="506"/>
      <c r="P118" s="506"/>
      <c r="Q118" s="501"/>
      <c r="R118" s="501"/>
      <c r="S118" s="501">
        <f>'意大利ERP数据'!Z117</f>
      </c>
      <c r="T118" s="501"/>
      <c r="U118" s="501"/>
      <c r="V118" s="503"/>
      <c r="W118" s="501"/>
      <c r="X118" s="505"/>
      <c r="Y118" s="501"/>
      <c r="Z118" s="501"/>
      <c r="AA118" s="501"/>
      <c r="AB118" s="501"/>
      <c r="AC118" s="501"/>
      <c r="AD118" s="507"/>
      <c r="AE118" s="501"/>
      <c r="AF118" s="501"/>
      <c r="AG118" s="501"/>
      <c r="AH118" s="508"/>
      <c r="AI118" s="501"/>
      <c r="AJ118" s="509"/>
      <c r="AK118" s="501"/>
      <c r="AL118" s="510"/>
      <c r="AM118" s="511"/>
      <c r="AN118" s="503"/>
      <c r="AO118" s="509"/>
      <c r="AP118" s="510"/>
      <c r="AQ118" s="503"/>
      <c r="AR118" s="506"/>
      <c r="AS118" s="506"/>
      <c r="AT118" s="509"/>
      <c r="AU118" s="513"/>
      <c r="AV118" s="513"/>
      <c r="AW118" s="514"/>
      <c r="AX118" s="509"/>
      <c r="AY118" s="506"/>
      <c r="AZ118" s="506"/>
      <c r="BA118" s="520"/>
      <c r="BB118" s="521"/>
      <c r="BC118" s="522"/>
      <c r="BD118" s="522"/>
      <c r="BE118" s="523"/>
      <c r="BF118" s="501"/>
      <c r="BG118" s="512"/>
      <c r="BH118" s="501"/>
      <c r="BI118" s="501"/>
      <c r="BJ118" s="501"/>
      <c r="BK118" s="525"/>
      <c r="BL118" s="525"/>
    </row>
    <row customHeight="true" ht="13.333333333333332" r="119">
      <c r="A119" s="500">
        <v>46108</v>
      </c>
      <c r="B119" s="501" t="s">
        <v>1286</v>
      </c>
      <c r="C119" s="519"/>
      <c r="D119" s="501">
        <v>54.99</v>
      </c>
      <c r="E119" s="503">
        <v>0</v>
      </c>
      <c r="F119" s="503">
        <v>0</v>
      </c>
      <c r="G119" s="503">
        <v>0</v>
      </c>
      <c r="H119" s="501"/>
      <c r="I119" s="503"/>
      <c r="J119" s="505"/>
      <c r="K119" s="501"/>
      <c r="L119" s="501"/>
      <c r="M119" s="501"/>
      <c r="N119" s="503"/>
      <c r="O119" s="506"/>
      <c r="P119" s="506"/>
      <c r="Q119" s="501"/>
      <c r="R119" s="501"/>
      <c r="S119" s="501">
        <f>'意大利ERP数据'!Z118</f>
      </c>
      <c r="T119" s="501"/>
      <c r="U119" s="501"/>
      <c r="V119" s="503"/>
      <c r="W119" s="501"/>
      <c r="X119" s="505"/>
      <c r="Y119" s="501"/>
      <c r="Z119" s="501"/>
      <c r="AA119" s="501"/>
      <c r="AB119" s="501"/>
      <c r="AC119" s="501"/>
      <c r="AD119" s="507"/>
      <c r="AE119" s="501"/>
      <c r="AF119" s="501"/>
      <c r="AG119" s="501"/>
      <c r="AH119" s="508"/>
      <c r="AI119" s="501"/>
      <c r="AJ119" s="509"/>
      <c r="AK119" s="501"/>
      <c r="AL119" s="510"/>
      <c r="AM119" s="511"/>
      <c r="AN119" s="503"/>
      <c r="AO119" s="509"/>
      <c r="AP119" s="510"/>
      <c r="AQ119" s="503"/>
      <c r="AR119" s="506"/>
      <c r="AS119" s="506"/>
      <c r="AT119" s="509"/>
      <c r="AU119" s="513"/>
      <c r="AV119" s="513"/>
      <c r="AW119" s="514"/>
      <c r="AX119" s="509"/>
      <c r="AY119" s="506"/>
      <c r="AZ119" s="506"/>
      <c r="BA119" s="520"/>
      <c r="BB119" s="521"/>
      <c r="BC119" s="522"/>
      <c r="BD119" s="522"/>
      <c r="BE119" s="523"/>
      <c r="BF119" s="501"/>
      <c r="BG119" s="512"/>
      <c r="BH119" s="501"/>
      <c r="BI119" s="501"/>
      <c r="BJ119" s="501"/>
      <c r="BK119" s="525"/>
      <c r="BL119" s="525"/>
    </row>
    <row customHeight="true" ht="13.333333333333332" r="120">
      <c r="A120" s="500">
        <v>46109</v>
      </c>
      <c r="B120" s="501" t="s">
        <v>1287</v>
      </c>
      <c r="C120" s="502"/>
      <c r="D120" s="501">
        <v>54.99</v>
      </c>
      <c r="E120" s="503">
        <v>0</v>
      </c>
      <c r="F120" s="503">
        <v>0</v>
      </c>
      <c r="G120" s="503">
        <v>0</v>
      </c>
      <c r="H120" s="501"/>
      <c r="I120" s="503"/>
      <c r="J120" s="505"/>
      <c r="K120" s="501"/>
      <c r="L120" s="501"/>
      <c r="M120" s="501"/>
      <c r="N120" s="503"/>
      <c r="O120" s="506"/>
      <c r="P120" s="506"/>
      <c r="Q120" s="501"/>
      <c r="R120" s="501"/>
      <c r="S120" s="501">
        <f>'意大利ERP数据'!Z119</f>
      </c>
      <c r="T120" s="501"/>
      <c r="U120" s="501"/>
      <c r="V120" s="503"/>
      <c r="W120" s="501"/>
      <c r="X120" s="505"/>
      <c r="Y120" s="501"/>
      <c r="Z120" s="501"/>
      <c r="AA120" s="501"/>
      <c r="AB120" s="501"/>
      <c r="AC120" s="501"/>
      <c r="AD120" s="507"/>
      <c r="AE120" s="501"/>
      <c r="AF120" s="501"/>
      <c r="AG120" s="501"/>
      <c r="AH120" s="508"/>
      <c r="AI120" s="501"/>
      <c r="AJ120" s="509"/>
      <c r="AK120" s="501"/>
      <c r="AL120" s="510"/>
      <c r="AM120" s="511"/>
      <c r="AN120" s="503"/>
      <c r="AO120" s="509"/>
      <c r="AP120" s="510"/>
      <c r="AQ120" s="503"/>
      <c r="AR120" s="506"/>
      <c r="AS120" s="506"/>
      <c r="AT120" s="509"/>
      <c r="AU120" s="513"/>
      <c r="AV120" s="513"/>
      <c r="AW120" s="514"/>
      <c r="AX120" s="509"/>
      <c r="AY120" s="506"/>
      <c r="AZ120" s="506"/>
      <c r="BA120" s="520"/>
      <c r="BB120" s="521"/>
      <c r="BC120" s="522"/>
      <c r="BD120" s="522"/>
      <c r="BE120" s="523"/>
      <c r="BF120" s="501"/>
      <c r="BG120" s="512"/>
      <c r="BH120" s="501"/>
      <c r="BI120" s="501"/>
      <c r="BJ120" s="501"/>
      <c r="BK120" s="525"/>
      <c r="BL120" s="525"/>
    </row>
    <row customHeight="true" ht="13.333333333333332" r="121">
      <c r="A121" s="500">
        <v>46110</v>
      </c>
      <c r="B121" s="501" t="s">
        <v>1288</v>
      </c>
      <c r="C121" s="519"/>
      <c r="D121" s="501">
        <v>54.99</v>
      </c>
      <c r="E121" s="503">
        <v>0</v>
      </c>
      <c r="F121" s="503">
        <v>0</v>
      </c>
      <c r="G121" s="503">
        <v>0</v>
      </c>
      <c r="H121" s="501"/>
      <c r="I121" s="503"/>
      <c r="J121" s="505"/>
      <c r="K121" s="501"/>
      <c r="L121" s="501"/>
      <c r="M121" s="501"/>
      <c r="N121" s="503"/>
      <c r="O121" s="506"/>
      <c r="P121" s="506"/>
      <c r="Q121" s="501"/>
      <c r="R121" s="501"/>
      <c r="S121" s="501">
        <f>'意大利ERP数据'!Z120</f>
      </c>
      <c r="T121" s="501"/>
      <c r="U121" s="501"/>
      <c r="V121" s="503"/>
      <c r="W121" s="501"/>
      <c r="X121" s="505"/>
      <c r="Y121" s="501"/>
      <c r="Z121" s="501"/>
      <c r="AA121" s="501"/>
      <c r="AB121" s="501"/>
      <c r="AC121" s="501"/>
      <c r="AD121" s="507"/>
      <c r="AE121" s="501"/>
      <c r="AF121" s="501"/>
      <c r="AG121" s="501"/>
      <c r="AH121" s="508"/>
      <c r="AI121" s="501"/>
      <c r="AJ121" s="509"/>
      <c r="AK121" s="501"/>
      <c r="AL121" s="510"/>
      <c r="AM121" s="511"/>
      <c r="AN121" s="503"/>
      <c r="AO121" s="509"/>
      <c r="AP121" s="510"/>
      <c r="AQ121" s="503"/>
      <c r="AR121" s="506"/>
      <c r="AS121" s="506"/>
      <c r="AT121" s="509"/>
      <c r="AU121" s="513"/>
      <c r="AV121" s="513"/>
      <c r="AW121" s="514"/>
      <c r="AX121" s="509"/>
      <c r="AY121" s="506"/>
      <c r="AZ121" s="506"/>
      <c r="BA121" s="520"/>
      <c r="BB121" s="521"/>
      <c r="BC121" s="522"/>
      <c r="BD121" s="522"/>
      <c r="BE121" s="523"/>
      <c r="BF121" s="501"/>
      <c r="BG121" s="512"/>
      <c r="BH121" s="501"/>
      <c r="BI121" s="501"/>
      <c r="BJ121" s="501"/>
      <c r="BK121" s="525"/>
      <c r="BL121" s="525"/>
    </row>
    <row customHeight="true" ht="13.333333333333332" r="122">
      <c r="A122" s="500">
        <v>46111</v>
      </c>
      <c r="B122" s="501" t="s">
        <v>1281</v>
      </c>
      <c r="C122" s="519"/>
      <c r="D122" s="501">
        <v>54.99</v>
      </c>
      <c r="E122" s="503">
        <v>0</v>
      </c>
      <c r="F122" s="503">
        <v>0</v>
      </c>
      <c r="G122" s="503">
        <v>0</v>
      </c>
      <c r="H122" s="501"/>
      <c r="I122" s="503"/>
      <c r="J122" s="505"/>
      <c r="K122" s="501"/>
      <c r="L122" s="501"/>
      <c r="M122" s="501"/>
      <c r="N122" s="503"/>
      <c r="O122" s="506"/>
      <c r="P122" s="506"/>
      <c r="Q122" s="501"/>
      <c r="R122" s="501"/>
      <c r="S122" s="501">
        <f>'意大利ERP数据'!Z121</f>
      </c>
      <c r="T122" s="501"/>
      <c r="U122" s="501"/>
      <c r="V122" s="503"/>
      <c r="W122" s="501"/>
      <c r="X122" s="505"/>
      <c r="Y122" s="501"/>
      <c r="Z122" s="501"/>
      <c r="AA122" s="501"/>
      <c r="AB122" s="501"/>
      <c r="AC122" s="501"/>
      <c r="AD122" s="507"/>
      <c r="AE122" s="501"/>
      <c r="AF122" s="501"/>
      <c r="AG122" s="501"/>
      <c r="AH122" s="508"/>
      <c r="AI122" s="501"/>
      <c r="AJ122" s="509"/>
      <c r="AK122" s="501"/>
      <c r="AL122" s="510"/>
      <c r="AM122" s="511"/>
      <c r="AN122" s="503"/>
      <c r="AO122" s="509"/>
      <c r="AP122" s="510"/>
      <c r="AQ122" s="503"/>
      <c r="AR122" s="506"/>
      <c r="AS122" s="506"/>
      <c r="AT122" s="509"/>
      <c r="AU122" s="513"/>
      <c r="AV122" s="513"/>
      <c r="AW122" s="514"/>
      <c r="AX122" s="509"/>
      <c r="AY122" s="506"/>
      <c r="AZ122" s="506"/>
      <c r="BA122" s="520"/>
      <c r="BB122" s="521"/>
      <c r="BC122" s="522"/>
      <c r="BD122" s="522"/>
      <c r="BE122" s="523"/>
      <c r="BF122" s="501"/>
      <c r="BG122" s="512"/>
      <c r="BH122" s="501"/>
      <c r="BI122" s="501"/>
      <c r="BJ122" s="501"/>
      <c r="BK122" s="525"/>
      <c r="BL122" s="525"/>
    </row>
    <row customHeight="true" ht="13.333333333333332" r="123">
      <c r="A123" s="500">
        <v>46112</v>
      </c>
      <c r="B123" s="501" t="s">
        <v>1283</v>
      </c>
      <c r="C123" s="519"/>
      <c r="D123" s="501">
        <v>54.99</v>
      </c>
      <c r="E123" s="503">
        <v>0</v>
      </c>
      <c r="F123" s="503">
        <v>0</v>
      </c>
      <c r="G123" s="503">
        <v>0</v>
      </c>
      <c r="H123" s="501"/>
      <c r="I123" s="503"/>
      <c r="J123" s="505"/>
      <c r="K123" s="501"/>
      <c r="L123" s="501"/>
      <c r="M123" s="501"/>
      <c r="N123" s="503"/>
      <c r="O123" s="506"/>
      <c r="P123" s="506"/>
      <c r="Q123" s="501"/>
      <c r="R123" s="501"/>
      <c r="S123" s="501">
        <f>'意大利ERP数据'!Z122</f>
      </c>
      <c r="T123" s="501"/>
      <c r="U123" s="501"/>
      <c r="V123" s="503"/>
      <c r="W123" s="501"/>
      <c r="X123" s="505"/>
      <c r="Y123" s="501"/>
      <c r="Z123" s="501"/>
      <c r="AA123" s="501"/>
      <c r="AB123" s="501"/>
      <c r="AC123" s="501"/>
      <c r="AD123" s="507"/>
      <c r="AE123" s="501"/>
      <c r="AF123" s="501"/>
      <c r="AG123" s="501"/>
      <c r="AH123" s="508"/>
      <c r="AI123" s="501"/>
      <c r="AJ123" s="509"/>
      <c r="AK123" s="501"/>
      <c r="AL123" s="510"/>
      <c r="AM123" s="511"/>
      <c r="AN123" s="503"/>
      <c r="AO123" s="509"/>
      <c r="AP123" s="510"/>
      <c r="AQ123" s="503"/>
      <c r="AR123" s="506"/>
      <c r="AS123" s="506"/>
      <c r="AT123" s="509"/>
      <c r="AU123" s="513"/>
      <c r="AV123" s="513"/>
      <c r="AW123" s="514"/>
      <c r="AX123" s="509"/>
      <c r="AY123" s="506"/>
      <c r="AZ123" s="506"/>
      <c r="BA123" s="520"/>
      <c r="BB123" s="521"/>
      <c r="BC123" s="522"/>
      <c r="BD123" s="522"/>
      <c r="BE123" s="523"/>
      <c r="BF123" s="501"/>
      <c r="BG123" s="512"/>
      <c r="BH123" s="501"/>
      <c r="BI123" s="501"/>
      <c r="BJ123" s="501"/>
      <c r="BK123" s="525"/>
      <c r="BL123" s="525"/>
    </row>
    <row customHeight="true" ht="13.333333333333332" r="124">
      <c r="A124" s="500">
        <v>46113</v>
      </c>
      <c r="B124" s="501" t="s">
        <v>1284</v>
      </c>
      <c r="C124" s="519"/>
      <c r="D124" s="501">
        <v>54.99</v>
      </c>
      <c r="E124" s="503">
        <v>0</v>
      </c>
      <c r="F124" s="503">
        <v>0</v>
      </c>
      <c r="G124" s="503">
        <v>0</v>
      </c>
      <c r="H124" s="501"/>
      <c r="I124" s="503"/>
      <c r="J124" s="505"/>
      <c r="K124" s="501"/>
      <c r="L124" s="501"/>
      <c r="M124" s="501"/>
      <c r="N124" s="503"/>
      <c r="O124" s="506"/>
      <c r="P124" s="506"/>
      <c r="Q124" s="501"/>
      <c r="R124" s="501"/>
      <c r="S124" s="501">
        <f>'意大利ERP数据'!Z123</f>
      </c>
      <c r="T124" s="501"/>
      <c r="U124" s="501"/>
      <c r="V124" s="503"/>
      <c r="W124" s="501"/>
      <c r="X124" s="505"/>
      <c r="Y124" s="501"/>
      <c r="Z124" s="501"/>
      <c r="AA124" s="501"/>
      <c r="AB124" s="501"/>
      <c r="AC124" s="501"/>
      <c r="AD124" s="507"/>
      <c r="AE124" s="501"/>
      <c r="AF124" s="501"/>
      <c r="AG124" s="501"/>
      <c r="AH124" s="508"/>
      <c r="AI124" s="501"/>
      <c r="AJ124" s="509"/>
      <c r="AK124" s="501"/>
      <c r="AL124" s="510"/>
      <c r="AM124" s="511"/>
      <c r="AN124" s="503"/>
      <c r="AO124" s="509"/>
      <c r="AP124" s="510"/>
      <c r="AQ124" s="503"/>
      <c r="AR124" s="506"/>
      <c r="AS124" s="506"/>
      <c r="AT124" s="509"/>
      <c r="AU124" s="513"/>
      <c r="AV124" s="513"/>
      <c r="AW124" s="514"/>
      <c r="AX124" s="509"/>
      <c r="AY124" s="506"/>
      <c r="AZ124" s="506"/>
      <c r="BA124" s="520"/>
      <c r="BB124" s="521"/>
      <c r="BC124" s="522"/>
      <c r="BD124" s="522"/>
      <c r="BE124" s="523"/>
      <c r="BF124" s="501"/>
      <c r="BG124" s="512"/>
      <c r="BH124" s="501"/>
      <c r="BI124" s="501"/>
      <c r="BJ124" s="501"/>
      <c r="BK124" s="525"/>
      <c r="BL124" s="525"/>
    </row>
    <row customHeight="true" ht="13.333333333333332" r="125">
      <c r="A125" s="500">
        <v>46114</v>
      </c>
      <c r="B125" s="501" t="s">
        <v>1285</v>
      </c>
      <c r="C125" s="519"/>
      <c r="D125" s="501">
        <v>54.99</v>
      </c>
      <c r="E125" s="503">
        <v>0</v>
      </c>
      <c r="F125" s="503">
        <v>0</v>
      </c>
      <c r="G125" s="503">
        <v>0</v>
      </c>
      <c r="H125" s="501"/>
      <c r="I125" s="503"/>
      <c r="J125" s="505"/>
      <c r="K125" s="501"/>
      <c r="L125" s="501"/>
      <c r="M125" s="501"/>
      <c r="N125" s="503"/>
      <c r="O125" s="506"/>
      <c r="P125" s="506"/>
      <c r="Q125" s="501"/>
      <c r="R125" s="501"/>
      <c r="S125" s="501">
        <f>'意大利ERP数据'!Z124</f>
      </c>
      <c r="T125" s="501"/>
      <c r="U125" s="501"/>
      <c r="V125" s="503"/>
      <c r="W125" s="501"/>
      <c r="X125" s="505"/>
      <c r="Y125" s="501"/>
      <c r="Z125" s="501"/>
      <c r="AA125" s="501"/>
      <c r="AB125" s="501"/>
      <c r="AC125" s="501"/>
      <c r="AD125" s="507"/>
      <c r="AE125" s="501"/>
      <c r="AF125" s="501"/>
      <c r="AG125" s="501"/>
      <c r="AH125" s="508"/>
      <c r="AI125" s="501"/>
      <c r="AJ125" s="509"/>
      <c r="AK125" s="501"/>
      <c r="AL125" s="510"/>
      <c r="AM125" s="511"/>
      <c r="AN125" s="503"/>
      <c r="AO125" s="509"/>
      <c r="AP125" s="510"/>
      <c r="AQ125" s="503"/>
      <c r="AR125" s="506"/>
      <c r="AS125" s="506"/>
      <c r="AT125" s="509"/>
      <c r="AU125" s="513"/>
      <c r="AV125" s="513"/>
      <c r="AW125" s="514"/>
      <c r="AX125" s="509"/>
      <c r="AY125" s="506"/>
      <c r="AZ125" s="506"/>
      <c r="BA125" s="520"/>
      <c r="BB125" s="521"/>
      <c r="BC125" s="522"/>
      <c r="BD125" s="522"/>
      <c r="BE125" s="523"/>
      <c r="BF125" s="501"/>
      <c r="BG125" s="512"/>
      <c r="BH125" s="501"/>
      <c r="BI125" s="501"/>
      <c r="BJ125" s="501"/>
      <c r="BK125" s="525"/>
      <c r="BL125" s="525"/>
    </row>
    <row customHeight="true" ht="13.333333333333332" r="126">
      <c r="A126" s="500">
        <v>46115</v>
      </c>
      <c r="B126" s="501" t="s">
        <v>1286</v>
      </c>
      <c r="C126" s="519"/>
      <c r="D126" s="501">
        <v>54.99</v>
      </c>
      <c r="E126" s="503">
        <v>0</v>
      </c>
      <c r="F126" s="503">
        <v>0</v>
      </c>
      <c r="G126" s="503">
        <v>0</v>
      </c>
      <c r="H126" s="501"/>
      <c r="I126" s="503"/>
      <c r="J126" s="505"/>
      <c r="K126" s="501"/>
      <c r="L126" s="501"/>
      <c r="M126" s="501"/>
      <c r="N126" s="503"/>
      <c r="O126" s="506"/>
      <c r="P126" s="506"/>
      <c r="Q126" s="501"/>
      <c r="R126" s="501"/>
      <c r="S126" s="501">
        <f>'意大利ERP数据'!Z125</f>
      </c>
      <c r="T126" s="501"/>
      <c r="U126" s="501"/>
      <c r="V126" s="503"/>
      <c r="W126" s="501"/>
      <c r="X126" s="505"/>
      <c r="Y126" s="501"/>
      <c r="Z126" s="501"/>
      <c r="AA126" s="501"/>
      <c r="AB126" s="501"/>
      <c r="AC126" s="501"/>
      <c r="AD126" s="507"/>
      <c r="AE126" s="501"/>
      <c r="AF126" s="501"/>
      <c r="AG126" s="501"/>
      <c r="AH126" s="508"/>
      <c r="AI126" s="501"/>
      <c r="AJ126" s="509"/>
      <c r="AK126" s="501"/>
      <c r="AL126" s="510"/>
      <c r="AM126" s="511"/>
      <c r="AN126" s="503"/>
      <c r="AO126" s="509"/>
      <c r="AP126" s="510"/>
      <c r="AQ126" s="503"/>
      <c r="AR126" s="506"/>
      <c r="AS126" s="506"/>
      <c r="AT126" s="509"/>
      <c r="AU126" s="513"/>
      <c r="AV126" s="513"/>
      <c r="AW126" s="514"/>
      <c r="AX126" s="509"/>
      <c r="AY126" s="506"/>
      <c r="AZ126" s="506"/>
      <c r="BA126" s="520"/>
      <c r="BB126" s="521"/>
      <c r="BC126" s="522"/>
      <c r="BD126" s="522"/>
      <c r="BE126" s="523"/>
      <c r="BF126" s="501"/>
      <c r="BG126" s="512"/>
      <c r="BH126" s="501"/>
      <c r="BI126" s="501"/>
      <c r="BJ126" s="501"/>
      <c r="BK126" s="525"/>
      <c r="BL126" s="525"/>
    </row>
    <row customHeight="true" ht="13.333333333333332" r="127">
      <c r="A127" s="500">
        <v>46116</v>
      </c>
      <c r="B127" s="501" t="s">
        <v>1287</v>
      </c>
      <c r="C127" s="519"/>
      <c r="D127" s="501">
        <v>54.99</v>
      </c>
      <c r="E127" s="503">
        <v>0</v>
      </c>
      <c r="F127" s="503">
        <v>0</v>
      </c>
      <c r="G127" s="503">
        <v>0</v>
      </c>
      <c r="H127" s="501"/>
      <c r="I127" s="503"/>
      <c r="J127" s="505"/>
      <c r="K127" s="501"/>
      <c r="L127" s="501"/>
      <c r="M127" s="501"/>
      <c r="N127" s="503"/>
      <c r="O127" s="506"/>
      <c r="P127" s="506"/>
      <c r="Q127" s="501"/>
      <c r="R127" s="501"/>
      <c r="S127" s="501">
        <f>'意大利ERP数据'!Z126</f>
      </c>
      <c r="T127" s="501"/>
      <c r="U127" s="501"/>
      <c r="V127" s="503"/>
      <c r="W127" s="501"/>
      <c r="X127" s="505"/>
      <c r="Y127" s="501"/>
      <c r="Z127" s="501"/>
      <c r="AA127" s="501"/>
      <c r="AB127" s="501"/>
      <c r="AC127" s="501"/>
      <c r="AD127" s="507"/>
      <c r="AE127" s="501"/>
      <c r="AF127" s="501"/>
      <c r="AG127" s="501"/>
      <c r="AH127" s="508"/>
      <c r="AI127" s="501"/>
      <c r="AJ127" s="509"/>
      <c r="AK127" s="501"/>
      <c r="AL127" s="510"/>
      <c r="AM127" s="511"/>
      <c r="AN127" s="503"/>
      <c r="AO127" s="509"/>
      <c r="AP127" s="510"/>
      <c r="AQ127" s="503"/>
      <c r="AR127" s="506"/>
      <c r="AS127" s="506"/>
      <c r="AT127" s="509"/>
      <c r="AU127" s="513"/>
      <c r="AV127" s="513"/>
      <c r="AW127" s="514"/>
      <c r="AX127" s="509"/>
      <c r="AY127" s="506"/>
      <c r="AZ127" s="506"/>
      <c r="BA127" s="520"/>
      <c r="BB127" s="521"/>
      <c r="BC127" s="522"/>
      <c r="BD127" s="522"/>
      <c r="BE127" s="523"/>
      <c r="BF127" s="501"/>
      <c r="BG127" s="512"/>
      <c r="BH127" s="501"/>
      <c r="BI127" s="501"/>
      <c r="BJ127" s="501"/>
      <c r="BK127" s="525"/>
      <c r="BL127" s="525"/>
    </row>
    <row customHeight="true" ht="13.333333333333332" r="128">
      <c r="A128" s="500">
        <v>46117</v>
      </c>
      <c r="B128" s="501" t="s">
        <v>1288</v>
      </c>
      <c r="C128" s="519"/>
      <c r="D128" s="501">
        <v>54.99</v>
      </c>
      <c r="E128" s="503">
        <v>0</v>
      </c>
      <c r="F128" s="503">
        <v>0</v>
      </c>
      <c r="G128" s="503">
        <v>0</v>
      </c>
      <c r="H128" s="501"/>
      <c r="I128" s="503"/>
      <c r="J128" s="505"/>
      <c r="K128" s="501"/>
      <c r="L128" s="501"/>
      <c r="M128" s="501"/>
      <c r="N128" s="503"/>
      <c r="O128" s="506"/>
      <c r="P128" s="506"/>
      <c r="Q128" s="501"/>
      <c r="R128" s="501"/>
      <c r="S128" s="501">
        <f>'意大利ERP数据'!Z127</f>
      </c>
      <c r="T128" s="501"/>
      <c r="U128" s="501"/>
      <c r="V128" s="503"/>
      <c r="W128" s="501"/>
      <c r="X128" s="505"/>
      <c r="Y128" s="501"/>
      <c r="Z128" s="501"/>
      <c r="AA128" s="501"/>
      <c r="AB128" s="501"/>
      <c r="AC128" s="501"/>
      <c r="AD128" s="507"/>
      <c r="AE128" s="501"/>
      <c r="AF128" s="501"/>
      <c r="AG128" s="501"/>
      <c r="AH128" s="508"/>
      <c r="AI128" s="501"/>
      <c r="AJ128" s="509"/>
      <c r="AK128" s="501"/>
      <c r="AL128" s="510"/>
      <c r="AM128" s="511"/>
      <c r="AN128" s="503"/>
      <c r="AO128" s="509"/>
      <c r="AP128" s="510"/>
      <c r="AQ128" s="503"/>
      <c r="AR128" s="506"/>
      <c r="AS128" s="506"/>
      <c r="AT128" s="509"/>
      <c r="AU128" s="513"/>
      <c r="AV128" s="513"/>
      <c r="AW128" s="514"/>
      <c r="AX128" s="509"/>
      <c r="AY128" s="506"/>
      <c r="AZ128" s="506"/>
      <c r="BA128" s="520"/>
      <c r="BB128" s="521"/>
      <c r="BC128" s="522"/>
      <c r="BD128" s="522"/>
      <c r="BE128" s="523"/>
      <c r="BF128" s="501"/>
      <c r="BG128" s="512"/>
      <c r="BH128" s="501"/>
      <c r="BI128" s="501"/>
      <c r="BJ128" s="501"/>
      <c r="BK128" s="525"/>
      <c r="BL128" s="525"/>
    </row>
    <row customHeight="true" ht="13.333333333333332" r="129">
      <c r="A129" s="500">
        <v>46118</v>
      </c>
      <c r="B129" s="501" t="s">
        <v>1281</v>
      </c>
      <c r="C129" s="519"/>
      <c r="D129" s="501">
        <v>54.99</v>
      </c>
      <c r="E129" s="503">
        <v>0</v>
      </c>
      <c r="F129" s="503">
        <v>0</v>
      </c>
      <c r="G129" s="503">
        <v>0</v>
      </c>
      <c r="H129" s="501"/>
      <c r="I129" s="503"/>
      <c r="J129" s="505"/>
      <c r="K129" s="501"/>
      <c r="L129" s="501"/>
      <c r="M129" s="501"/>
      <c r="N129" s="503"/>
      <c r="O129" s="506"/>
      <c r="P129" s="506"/>
      <c r="Q129" s="501"/>
      <c r="R129" s="501"/>
      <c r="S129" s="501">
        <f>'意大利ERP数据'!Z128</f>
      </c>
      <c r="T129" s="501"/>
      <c r="U129" s="501"/>
      <c r="V129" s="503"/>
      <c r="W129" s="501"/>
      <c r="X129" s="505"/>
      <c r="Y129" s="501"/>
      <c r="Z129" s="501"/>
      <c r="AA129" s="501"/>
      <c r="AB129" s="501"/>
      <c r="AC129" s="501"/>
      <c r="AD129" s="507"/>
      <c r="AE129" s="501"/>
      <c r="AF129" s="501"/>
      <c r="AG129" s="501"/>
      <c r="AH129" s="508"/>
      <c r="AI129" s="501"/>
      <c r="AJ129" s="509"/>
      <c r="AK129" s="501"/>
      <c r="AL129" s="510"/>
      <c r="AM129" s="511"/>
      <c r="AN129" s="503"/>
      <c r="AO129" s="509"/>
      <c r="AP129" s="510"/>
      <c r="AQ129" s="503"/>
      <c r="AR129" s="506"/>
      <c r="AS129" s="506"/>
      <c r="AT129" s="509"/>
      <c r="AU129" s="513"/>
      <c r="AV129" s="513"/>
      <c r="AW129" s="514"/>
      <c r="AX129" s="509"/>
      <c r="AY129" s="506"/>
      <c r="AZ129" s="506"/>
      <c r="BA129" s="520"/>
      <c r="BB129" s="521"/>
      <c r="BC129" s="522"/>
      <c r="BD129" s="522"/>
      <c r="BE129" s="523"/>
      <c r="BF129" s="501"/>
      <c r="BG129" s="512"/>
      <c r="BH129" s="501"/>
      <c r="BI129" s="501"/>
      <c r="BJ129" s="501"/>
      <c r="BK129" s="525"/>
      <c r="BL129" s="525"/>
    </row>
    <row customHeight="true" ht="13.333333333333332" r="130">
      <c r="A130" s="500">
        <v>46119</v>
      </c>
      <c r="B130" s="501" t="s">
        <v>1283</v>
      </c>
      <c r="C130" s="519"/>
      <c r="D130" s="501">
        <v>54.99</v>
      </c>
      <c r="E130" s="503">
        <v>0</v>
      </c>
      <c r="F130" s="503">
        <v>0</v>
      </c>
      <c r="G130" s="503">
        <v>0</v>
      </c>
      <c r="H130" s="501"/>
      <c r="I130" s="503"/>
      <c r="J130" s="505"/>
      <c r="K130" s="501"/>
      <c r="L130" s="501"/>
      <c r="M130" s="501"/>
      <c r="N130" s="503"/>
      <c r="O130" s="506"/>
      <c r="P130" s="506"/>
      <c r="Q130" s="501"/>
      <c r="R130" s="501"/>
      <c r="S130" s="501">
        <f>'意大利ERP数据'!Z129</f>
      </c>
      <c r="T130" s="501"/>
      <c r="U130" s="501"/>
      <c r="V130" s="503"/>
      <c r="W130" s="501"/>
      <c r="X130" s="505"/>
      <c r="Y130" s="501"/>
      <c r="Z130" s="501"/>
      <c r="AA130" s="501"/>
      <c r="AB130" s="501"/>
      <c r="AC130" s="501"/>
      <c r="AD130" s="507"/>
      <c r="AE130" s="501"/>
      <c r="AF130" s="501"/>
      <c r="AG130" s="501"/>
      <c r="AH130" s="508"/>
      <c r="AI130" s="501"/>
      <c r="AJ130" s="509"/>
      <c r="AK130" s="501"/>
      <c r="AL130" s="510"/>
      <c r="AM130" s="511"/>
      <c r="AN130" s="503"/>
      <c r="AO130" s="509"/>
      <c r="AP130" s="510"/>
      <c r="AQ130" s="503"/>
      <c r="AR130" s="506"/>
      <c r="AS130" s="506"/>
      <c r="AT130" s="509"/>
      <c r="AU130" s="513"/>
      <c r="AV130" s="513"/>
      <c r="AW130" s="514"/>
      <c r="AX130" s="509"/>
      <c r="AY130" s="506"/>
      <c r="AZ130" s="506"/>
      <c r="BA130" s="520"/>
      <c r="BB130" s="521"/>
      <c r="BC130" s="522"/>
      <c r="BD130" s="522"/>
      <c r="BE130" s="523"/>
      <c r="BF130" s="501"/>
      <c r="BG130" s="512"/>
      <c r="BH130" s="501"/>
      <c r="BI130" s="501"/>
      <c r="BJ130" s="501"/>
      <c r="BK130" s="525"/>
      <c r="BL130" s="525"/>
    </row>
    <row customHeight="true" ht="13.333333333333332" r="131">
      <c r="A131" s="500">
        <v>46120</v>
      </c>
      <c r="B131" s="501" t="s">
        <v>1284</v>
      </c>
      <c r="C131" s="519"/>
      <c r="D131" s="501">
        <v>54.99</v>
      </c>
      <c r="E131" s="503">
        <v>0</v>
      </c>
      <c r="F131" s="503">
        <v>0</v>
      </c>
      <c r="G131" s="503">
        <v>0</v>
      </c>
      <c r="H131" s="501"/>
      <c r="I131" s="503"/>
      <c r="J131" s="505"/>
      <c r="K131" s="501"/>
      <c r="L131" s="501"/>
      <c r="M131" s="501"/>
      <c r="N131" s="503"/>
      <c r="O131" s="506"/>
      <c r="P131" s="506"/>
      <c r="Q131" s="501"/>
      <c r="R131" s="501"/>
      <c r="S131" s="501">
        <f>'意大利ERP数据'!Z130</f>
      </c>
      <c r="T131" s="501"/>
      <c r="U131" s="501"/>
      <c r="V131" s="503"/>
      <c r="W131" s="501"/>
      <c r="X131" s="505"/>
      <c r="Y131" s="501"/>
      <c r="Z131" s="501"/>
      <c r="AA131" s="501"/>
      <c r="AB131" s="501"/>
      <c r="AC131" s="501"/>
      <c r="AD131" s="507"/>
      <c r="AE131" s="501"/>
      <c r="AF131" s="501"/>
      <c r="AG131" s="501"/>
      <c r="AH131" s="508"/>
      <c r="AI131" s="501"/>
      <c r="AJ131" s="509"/>
      <c r="AK131" s="501"/>
      <c r="AL131" s="510"/>
      <c r="AM131" s="511"/>
      <c r="AN131" s="503"/>
      <c r="AO131" s="509"/>
      <c r="AP131" s="510"/>
      <c r="AQ131" s="503"/>
      <c r="AR131" s="506"/>
      <c r="AS131" s="506"/>
      <c r="AT131" s="509"/>
      <c r="AU131" s="513"/>
      <c r="AV131" s="513"/>
      <c r="AW131" s="514"/>
      <c r="AX131" s="509"/>
      <c r="AY131" s="506"/>
      <c r="AZ131" s="506"/>
      <c r="BA131" s="520"/>
      <c r="BB131" s="521"/>
      <c r="BC131" s="522"/>
      <c r="BD131" s="522"/>
      <c r="BE131" s="523"/>
      <c r="BF131" s="501"/>
      <c r="BG131" s="512"/>
      <c r="BH131" s="501"/>
      <c r="BI131" s="501"/>
      <c r="BJ131" s="501"/>
      <c r="BK131" s="525"/>
      <c r="BL131" s="525"/>
    </row>
    <row customHeight="true" ht="13.333333333333332" r="132">
      <c r="A132" s="500">
        <v>46121</v>
      </c>
      <c r="B132" s="501" t="s">
        <v>1285</v>
      </c>
      <c r="C132" s="519"/>
      <c r="D132" s="501">
        <v>54.99</v>
      </c>
      <c r="E132" s="503">
        <v>0</v>
      </c>
      <c r="F132" s="503">
        <v>0</v>
      </c>
      <c r="G132" s="503">
        <v>0</v>
      </c>
      <c r="H132" s="501"/>
      <c r="I132" s="503"/>
      <c r="J132" s="505"/>
      <c r="K132" s="501"/>
      <c r="L132" s="501"/>
      <c r="M132" s="501"/>
      <c r="N132" s="503"/>
      <c r="O132" s="506"/>
      <c r="P132" s="506"/>
      <c r="Q132" s="501"/>
      <c r="R132" s="501"/>
      <c r="S132" s="501">
        <f>'意大利ERP数据'!Z131</f>
      </c>
      <c r="T132" s="501"/>
      <c r="U132" s="501"/>
      <c r="V132" s="503"/>
      <c r="W132" s="501"/>
      <c r="X132" s="505"/>
      <c r="Y132" s="501"/>
      <c r="Z132" s="501"/>
      <c r="AA132" s="501"/>
      <c r="AB132" s="501"/>
      <c r="AC132" s="501"/>
      <c r="AD132" s="507"/>
      <c r="AE132" s="501"/>
      <c r="AF132" s="501"/>
      <c r="AG132" s="501"/>
      <c r="AH132" s="508"/>
      <c r="AI132" s="501"/>
      <c r="AJ132" s="509"/>
      <c r="AK132" s="501"/>
      <c r="AL132" s="510"/>
      <c r="AM132" s="511"/>
      <c r="AN132" s="503"/>
      <c r="AO132" s="509"/>
      <c r="AP132" s="510"/>
      <c r="AQ132" s="503"/>
      <c r="AR132" s="506"/>
      <c r="AS132" s="506"/>
      <c r="AT132" s="509"/>
      <c r="AU132" s="513"/>
      <c r="AV132" s="513"/>
      <c r="AW132" s="514"/>
      <c r="AX132" s="509"/>
      <c r="AY132" s="506"/>
      <c r="AZ132" s="506"/>
      <c r="BA132" s="520"/>
      <c r="BB132" s="521"/>
      <c r="BC132" s="522"/>
      <c r="BD132" s="522"/>
      <c r="BE132" s="523"/>
      <c r="BF132" s="501"/>
      <c r="BG132" s="512"/>
      <c r="BH132" s="501"/>
      <c r="BI132" s="501"/>
      <c r="BJ132" s="501"/>
      <c r="BK132" s="525"/>
      <c r="BL132" s="525"/>
    </row>
    <row customHeight="true" ht="13.333333333333332" r="133">
      <c r="A133" s="500">
        <v>46122</v>
      </c>
      <c r="B133" s="501" t="s">
        <v>1286</v>
      </c>
      <c r="C133" s="502"/>
      <c r="D133" s="501">
        <v>54.99</v>
      </c>
      <c r="E133" s="503">
        <v>0</v>
      </c>
      <c r="F133" s="503">
        <v>0</v>
      </c>
      <c r="G133" s="503">
        <v>0</v>
      </c>
      <c r="H133" s="501"/>
      <c r="I133" s="503"/>
      <c r="J133" s="505"/>
      <c r="K133" s="501"/>
      <c r="L133" s="501"/>
      <c r="M133" s="501"/>
      <c r="N133" s="503"/>
      <c r="O133" s="506"/>
      <c r="P133" s="506"/>
      <c r="Q133" s="501"/>
      <c r="R133" s="501"/>
      <c r="S133" s="501">
        <f>'意大利ERP数据'!Z132</f>
      </c>
      <c r="T133" s="501"/>
      <c r="U133" s="501"/>
      <c r="V133" s="503"/>
      <c r="W133" s="501"/>
      <c r="X133" s="505"/>
      <c r="Y133" s="501"/>
      <c r="Z133" s="501"/>
      <c r="AA133" s="501"/>
      <c r="AB133" s="501"/>
      <c r="AC133" s="501"/>
      <c r="AD133" s="507"/>
      <c r="AE133" s="501"/>
      <c r="AF133" s="501"/>
      <c r="AG133" s="501"/>
      <c r="AH133" s="508"/>
      <c r="AI133" s="501"/>
      <c r="AJ133" s="509"/>
      <c r="AK133" s="501"/>
      <c r="AL133" s="510"/>
      <c r="AM133" s="511"/>
      <c r="AN133" s="503"/>
      <c r="AO133" s="509"/>
      <c r="AP133" s="510"/>
      <c r="AQ133" s="503"/>
      <c r="AR133" s="506"/>
      <c r="AS133" s="506"/>
      <c r="AT133" s="509"/>
      <c r="AU133" s="513"/>
      <c r="AV133" s="513"/>
      <c r="AW133" s="514"/>
      <c r="AX133" s="509"/>
      <c r="AY133" s="506"/>
      <c r="AZ133" s="506"/>
      <c r="BA133" s="520"/>
      <c r="BB133" s="521"/>
      <c r="BC133" s="522"/>
      <c r="BD133" s="522"/>
      <c r="BE133" s="523"/>
      <c r="BF133" s="501"/>
      <c r="BG133" s="512"/>
      <c r="BH133" s="501"/>
      <c r="BI133" s="501"/>
      <c r="BJ133" s="501"/>
      <c r="BK133" s="525"/>
      <c r="BL133" s="525"/>
    </row>
    <row customHeight="true" ht="13.333333333333332" r="134">
      <c r="A134" s="500">
        <v>46123</v>
      </c>
      <c r="B134" s="501" t="s">
        <v>1287</v>
      </c>
      <c r="C134" s="519"/>
      <c r="D134" s="501">
        <v>54.99</v>
      </c>
      <c r="E134" s="503">
        <v>0</v>
      </c>
      <c r="F134" s="503">
        <v>0</v>
      </c>
      <c r="G134" s="503">
        <v>0</v>
      </c>
      <c r="H134" s="501"/>
      <c r="I134" s="503"/>
      <c r="J134" s="505"/>
      <c r="K134" s="501"/>
      <c r="L134" s="501"/>
      <c r="M134" s="501"/>
      <c r="N134" s="503"/>
      <c r="O134" s="506"/>
      <c r="P134" s="506"/>
      <c r="Q134" s="501"/>
      <c r="R134" s="501"/>
      <c r="S134" s="501">
        <f>'意大利ERP数据'!Z133</f>
      </c>
      <c r="T134" s="501"/>
      <c r="U134" s="501"/>
      <c r="V134" s="503"/>
      <c r="W134" s="501"/>
      <c r="X134" s="505"/>
      <c r="Y134" s="501"/>
      <c r="Z134" s="501"/>
      <c r="AA134" s="501"/>
      <c r="AB134" s="501"/>
      <c r="AC134" s="501"/>
      <c r="AD134" s="507"/>
      <c r="AE134" s="501"/>
      <c r="AF134" s="501"/>
      <c r="AG134" s="501"/>
      <c r="AH134" s="508"/>
      <c r="AI134" s="501"/>
      <c r="AJ134" s="509"/>
      <c r="AK134" s="501"/>
      <c r="AL134" s="510"/>
      <c r="AM134" s="511"/>
      <c r="AN134" s="503"/>
      <c r="AO134" s="509"/>
      <c r="AP134" s="510"/>
      <c r="AQ134" s="503"/>
      <c r="AR134" s="506"/>
      <c r="AS134" s="506"/>
      <c r="AT134" s="509"/>
      <c r="AU134" s="513"/>
      <c r="AV134" s="513"/>
      <c r="AW134" s="514"/>
      <c r="AX134" s="509"/>
      <c r="AY134" s="506"/>
      <c r="AZ134" s="506"/>
      <c r="BA134" s="520"/>
      <c r="BB134" s="521"/>
      <c r="BC134" s="522"/>
      <c r="BD134" s="522"/>
      <c r="BE134" s="523"/>
      <c r="BF134" s="501"/>
      <c r="BG134" s="512"/>
      <c r="BH134" s="501"/>
      <c r="BI134" s="501"/>
      <c r="BJ134" s="501"/>
      <c r="BK134" s="525"/>
      <c r="BL134" s="525"/>
    </row>
    <row customHeight="true" ht="13.333333333333332" r="135">
      <c r="A135" s="500">
        <v>46124</v>
      </c>
      <c r="B135" s="501" t="s">
        <v>1288</v>
      </c>
      <c r="C135" s="519"/>
      <c r="D135" s="501">
        <v>54.99</v>
      </c>
      <c r="E135" s="503">
        <v>0</v>
      </c>
      <c r="F135" s="503">
        <v>0</v>
      </c>
      <c r="G135" s="503">
        <v>0</v>
      </c>
      <c r="H135" s="501"/>
      <c r="I135" s="503"/>
      <c r="J135" s="505"/>
      <c r="K135" s="501"/>
      <c r="L135" s="501"/>
      <c r="M135" s="501"/>
      <c r="N135" s="503"/>
      <c r="O135" s="506"/>
      <c r="P135" s="506"/>
      <c r="Q135" s="501"/>
      <c r="R135" s="501"/>
      <c r="S135" s="501">
        <f>'意大利ERP数据'!Z134</f>
      </c>
      <c r="T135" s="501"/>
      <c r="U135" s="501"/>
      <c r="V135" s="503"/>
      <c r="W135" s="501"/>
      <c r="X135" s="505"/>
      <c r="Y135" s="501"/>
      <c r="Z135" s="501"/>
      <c r="AA135" s="501"/>
      <c r="AB135" s="501"/>
      <c r="AC135" s="501"/>
      <c r="AD135" s="507"/>
      <c r="AE135" s="501"/>
      <c r="AF135" s="501"/>
      <c r="AG135" s="501"/>
      <c r="AH135" s="508"/>
      <c r="AI135" s="501"/>
      <c r="AJ135" s="509"/>
      <c r="AK135" s="501"/>
      <c r="AL135" s="510"/>
      <c r="AM135" s="511"/>
      <c r="AN135" s="503"/>
      <c r="AO135" s="509"/>
      <c r="AP135" s="510"/>
      <c r="AQ135" s="503"/>
      <c r="AR135" s="506"/>
      <c r="AS135" s="506"/>
      <c r="AT135" s="509"/>
      <c r="AU135" s="513"/>
      <c r="AV135" s="513"/>
      <c r="AW135" s="514"/>
      <c r="AX135" s="509"/>
      <c r="AY135" s="506"/>
      <c r="AZ135" s="506"/>
      <c r="BA135" s="520"/>
      <c r="BB135" s="521"/>
      <c r="BC135" s="522"/>
      <c r="BD135" s="522"/>
      <c r="BE135" s="523"/>
      <c r="BF135" s="501"/>
      <c r="BG135" s="512"/>
      <c r="BH135" s="501"/>
      <c r="BI135" s="501"/>
      <c r="BJ135" s="501"/>
      <c r="BK135" s="525"/>
      <c r="BL135" s="525"/>
    </row>
    <row customHeight="true" ht="13.333333333333332" r="136">
      <c r="A136" s="500">
        <v>46125</v>
      </c>
      <c r="B136" s="501" t="s">
        <v>1281</v>
      </c>
      <c r="C136" s="519"/>
      <c r="D136" s="501">
        <v>54.99</v>
      </c>
      <c r="E136" s="503">
        <v>0</v>
      </c>
      <c r="F136" s="503">
        <v>0</v>
      </c>
      <c r="G136" s="503">
        <v>0</v>
      </c>
      <c r="H136" s="501"/>
      <c r="I136" s="503"/>
      <c r="J136" s="505"/>
      <c r="K136" s="501"/>
      <c r="L136" s="501"/>
      <c r="M136" s="501"/>
      <c r="N136" s="503"/>
      <c r="O136" s="506"/>
      <c r="P136" s="506"/>
      <c r="Q136" s="501"/>
      <c r="R136" s="501"/>
      <c r="S136" s="501">
        <f>'意大利ERP数据'!Z135</f>
      </c>
      <c r="T136" s="501"/>
      <c r="U136" s="501"/>
      <c r="V136" s="503"/>
      <c r="W136" s="501"/>
      <c r="X136" s="505"/>
      <c r="Y136" s="501"/>
      <c r="Z136" s="501"/>
      <c r="AA136" s="501"/>
      <c r="AB136" s="501"/>
      <c r="AC136" s="501"/>
      <c r="AD136" s="507"/>
      <c r="AE136" s="501"/>
      <c r="AF136" s="501"/>
      <c r="AG136" s="501"/>
      <c r="AH136" s="508"/>
      <c r="AI136" s="501"/>
      <c r="AJ136" s="509"/>
      <c r="AK136" s="501"/>
      <c r="AL136" s="510"/>
      <c r="AM136" s="511"/>
      <c r="AN136" s="503"/>
      <c r="AO136" s="509"/>
      <c r="AP136" s="510"/>
      <c r="AQ136" s="503"/>
      <c r="AR136" s="506"/>
      <c r="AS136" s="506"/>
      <c r="AT136" s="509"/>
      <c r="AU136" s="513"/>
      <c r="AV136" s="513"/>
      <c r="AW136" s="514"/>
      <c r="AX136" s="509"/>
      <c r="AY136" s="506"/>
      <c r="AZ136" s="506"/>
      <c r="BA136" s="520"/>
      <c r="BB136" s="521"/>
      <c r="BC136" s="522"/>
      <c r="BD136" s="522"/>
      <c r="BE136" s="523"/>
      <c r="BF136" s="501"/>
      <c r="BG136" s="512"/>
      <c r="BH136" s="501"/>
      <c r="BI136" s="501"/>
      <c r="BJ136" s="501"/>
      <c r="BK136" s="525"/>
      <c r="BL136" s="525"/>
    </row>
    <row customHeight="true" ht="13.333333333333332" r="137">
      <c r="A137" s="500">
        <v>46126</v>
      </c>
      <c r="B137" s="501" t="s">
        <v>1283</v>
      </c>
      <c r="C137" s="519"/>
      <c r="D137" s="501">
        <v>54.99</v>
      </c>
      <c r="E137" s="503">
        <v>0</v>
      </c>
      <c r="F137" s="503">
        <v>0</v>
      </c>
      <c r="G137" s="503">
        <v>0</v>
      </c>
      <c r="H137" s="501"/>
      <c r="I137" s="503"/>
      <c r="J137" s="505"/>
      <c r="K137" s="501"/>
      <c r="L137" s="501"/>
      <c r="M137" s="501"/>
      <c r="N137" s="503"/>
      <c r="O137" s="506"/>
      <c r="P137" s="506"/>
      <c r="Q137" s="501"/>
      <c r="R137" s="501"/>
      <c r="S137" s="501">
        <f>'意大利ERP数据'!Z136</f>
      </c>
      <c r="T137" s="501"/>
      <c r="U137" s="501"/>
      <c r="V137" s="503"/>
      <c r="W137" s="501"/>
      <c r="X137" s="505"/>
      <c r="Y137" s="501"/>
      <c r="Z137" s="501"/>
      <c r="AA137" s="501"/>
      <c r="AB137" s="501"/>
      <c r="AC137" s="501"/>
      <c r="AD137" s="507"/>
      <c r="AE137" s="501"/>
      <c r="AF137" s="501"/>
      <c r="AG137" s="501"/>
      <c r="AH137" s="508"/>
      <c r="AI137" s="501"/>
      <c r="AJ137" s="509"/>
      <c r="AK137" s="501"/>
      <c r="AL137" s="510"/>
      <c r="AM137" s="511"/>
      <c r="AN137" s="503"/>
      <c r="AO137" s="509"/>
      <c r="AP137" s="510"/>
      <c r="AQ137" s="503"/>
      <c r="AR137" s="506"/>
      <c r="AS137" s="506"/>
      <c r="AT137" s="509"/>
      <c r="AU137" s="513"/>
      <c r="AV137" s="513"/>
      <c r="AW137" s="514"/>
      <c r="AX137" s="509"/>
      <c r="AY137" s="506"/>
      <c r="AZ137" s="506"/>
      <c r="BA137" s="520"/>
      <c r="BB137" s="521"/>
      <c r="BC137" s="522"/>
      <c r="BD137" s="522"/>
      <c r="BE137" s="523"/>
      <c r="BF137" s="501"/>
      <c r="BG137" s="512"/>
      <c r="BH137" s="501"/>
      <c r="BI137" s="501"/>
      <c r="BJ137" s="501"/>
      <c r="BK137" s="525"/>
      <c r="BL137" s="525"/>
    </row>
    <row customHeight="true" ht="13.333333333333332" r="138">
      <c r="A138" s="500">
        <v>46127</v>
      </c>
      <c r="B138" s="501" t="s">
        <v>1284</v>
      </c>
      <c r="C138" s="519"/>
      <c r="D138" s="501">
        <v>54.99</v>
      </c>
      <c r="E138" s="503">
        <v>0</v>
      </c>
      <c r="F138" s="503">
        <v>0</v>
      </c>
      <c r="G138" s="503">
        <v>0</v>
      </c>
      <c r="H138" s="501"/>
      <c r="I138" s="503"/>
      <c r="J138" s="505"/>
      <c r="K138" s="501"/>
      <c r="L138" s="501"/>
      <c r="M138" s="501"/>
      <c r="N138" s="503"/>
      <c r="O138" s="506"/>
      <c r="P138" s="506"/>
      <c r="Q138" s="501"/>
      <c r="R138" s="501"/>
      <c r="S138" s="501">
        <f>'意大利ERP数据'!Z137</f>
      </c>
      <c r="T138" s="501"/>
      <c r="U138" s="501"/>
      <c r="V138" s="503"/>
      <c r="W138" s="501"/>
      <c r="X138" s="505"/>
      <c r="Y138" s="501"/>
      <c r="Z138" s="501"/>
      <c r="AA138" s="501"/>
      <c r="AB138" s="501"/>
      <c r="AC138" s="501"/>
      <c r="AD138" s="507"/>
      <c r="AE138" s="501"/>
      <c r="AF138" s="501"/>
      <c r="AG138" s="501"/>
      <c r="AH138" s="508"/>
      <c r="AI138" s="501"/>
      <c r="AJ138" s="509"/>
      <c r="AK138" s="501"/>
      <c r="AL138" s="510"/>
      <c r="AM138" s="511"/>
      <c r="AN138" s="503"/>
      <c r="AO138" s="509"/>
      <c r="AP138" s="510"/>
      <c r="AQ138" s="503"/>
      <c r="AR138" s="506"/>
      <c r="AS138" s="506"/>
      <c r="AT138" s="509"/>
      <c r="AU138" s="513"/>
      <c r="AV138" s="513"/>
      <c r="AW138" s="514"/>
      <c r="AX138" s="509"/>
      <c r="AY138" s="506"/>
      <c r="AZ138" s="506"/>
      <c r="BA138" s="520"/>
      <c r="BB138" s="521"/>
      <c r="BC138" s="522"/>
      <c r="BD138" s="522"/>
      <c r="BE138" s="523"/>
      <c r="BF138" s="501"/>
      <c r="BG138" s="512"/>
      <c r="BH138" s="501"/>
      <c r="BI138" s="501"/>
      <c r="BJ138" s="501"/>
      <c r="BK138" s="525"/>
      <c r="BL138" s="525"/>
    </row>
    <row customHeight="true" ht="13.333333333333332" r="139">
      <c r="A139" s="500">
        <v>46128</v>
      </c>
      <c r="B139" s="501" t="s">
        <v>1285</v>
      </c>
      <c r="C139" s="519"/>
      <c r="D139" s="501">
        <v>54.99</v>
      </c>
      <c r="E139" s="503">
        <v>0</v>
      </c>
      <c r="F139" s="503">
        <v>0</v>
      </c>
      <c r="G139" s="503">
        <v>0</v>
      </c>
      <c r="H139" s="501"/>
      <c r="I139" s="503"/>
      <c r="J139" s="505"/>
      <c r="K139" s="501"/>
      <c r="L139" s="501"/>
      <c r="M139" s="501"/>
      <c r="N139" s="503"/>
      <c r="O139" s="506"/>
      <c r="P139" s="506"/>
      <c r="Q139" s="501"/>
      <c r="R139" s="501"/>
      <c r="S139" s="501">
        <f>'意大利ERP数据'!Z138</f>
      </c>
      <c r="T139" s="501"/>
      <c r="U139" s="501"/>
      <c r="V139" s="503"/>
      <c r="W139" s="501"/>
      <c r="X139" s="505"/>
      <c r="Y139" s="501"/>
      <c r="Z139" s="501"/>
      <c r="AA139" s="501"/>
      <c r="AB139" s="501"/>
      <c r="AC139" s="501"/>
      <c r="AD139" s="507"/>
      <c r="AE139" s="501"/>
      <c r="AF139" s="501"/>
      <c r="AG139" s="501"/>
      <c r="AH139" s="508"/>
      <c r="AI139" s="501"/>
      <c r="AJ139" s="509"/>
      <c r="AK139" s="501"/>
      <c r="AL139" s="510"/>
      <c r="AM139" s="511"/>
      <c r="AN139" s="503"/>
      <c r="AO139" s="509"/>
      <c r="AP139" s="510"/>
      <c r="AQ139" s="503"/>
      <c r="AR139" s="506"/>
      <c r="AS139" s="506"/>
      <c r="AT139" s="509"/>
      <c r="AU139" s="513"/>
      <c r="AV139" s="513"/>
      <c r="AW139" s="514"/>
      <c r="AX139" s="509"/>
      <c r="AY139" s="506"/>
      <c r="AZ139" s="506"/>
      <c r="BA139" s="520"/>
      <c r="BB139" s="521"/>
      <c r="BC139" s="522"/>
      <c r="BD139" s="522"/>
      <c r="BE139" s="523"/>
      <c r="BF139" s="501"/>
      <c r="BG139" s="512"/>
      <c r="BH139" s="501"/>
      <c r="BI139" s="501"/>
      <c r="BJ139" s="501"/>
      <c r="BK139" s="525"/>
      <c r="BL139" s="525"/>
    </row>
    <row customHeight="true" ht="13.333333333333332" r="140">
      <c r="A140" s="500">
        <v>46129</v>
      </c>
      <c r="B140" s="501" t="s">
        <v>1286</v>
      </c>
      <c r="C140" s="519"/>
      <c r="D140" s="501">
        <v>54.99</v>
      </c>
      <c r="E140" s="503">
        <v>0</v>
      </c>
      <c r="F140" s="503">
        <v>0</v>
      </c>
      <c r="G140" s="503">
        <v>0</v>
      </c>
      <c r="H140" s="501"/>
      <c r="I140" s="503"/>
      <c r="J140" s="505"/>
      <c r="K140" s="501"/>
      <c r="L140" s="501"/>
      <c r="M140" s="501"/>
      <c r="N140" s="503"/>
      <c r="O140" s="506"/>
      <c r="P140" s="506"/>
      <c r="Q140" s="501"/>
      <c r="R140" s="501"/>
      <c r="S140" s="501">
        <f>'意大利ERP数据'!Z139</f>
      </c>
      <c r="T140" s="501"/>
      <c r="U140" s="501"/>
      <c r="V140" s="503"/>
      <c r="W140" s="501"/>
      <c r="X140" s="505"/>
      <c r="Y140" s="501"/>
      <c r="Z140" s="501"/>
      <c r="AA140" s="501"/>
      <c r="AB140" s="501"/>
      <c r="AC140" s="501"/>
      <c r="AD140" s="507"/>
      <c r="AE140" s="501"/>
      <c r="AF140" s="501"/>
      <c r="AG140" s="501"/>
      <c r="AH140" s="508"/>
      <c r="AI140" s="501"/>
      <c r="AJ140" s="509"/>
      <c r="AK140" s="501"/>
      <c r="AL140" s="510"/>
      <c r="AM140" s="511"/>
      <c r="AN140" s="503"/>
      <c r="AO140" s="509"/>
      <c r="AP140" s="510"/>
      <c r="AQ140" s="503"/>
      <c r="AR140" s="506"/>
      <c r="AS140" s="506"/>
      <c r="AT140" s="509"/>
      <c r="AU140" s="513"/>
      <c r="AV140" s="513"/>
      <c r="AW140" s="514"/>
      <c r="AX140" s="509"/>
      <c r="AY140" s="506"/>
      <c r="AZ140" s="506"/>
      <c r="BA140" s="520"/>
      <c r="BB140" s="521"/>
      <c r="BC140" s="522"/>
      <c r="BD140" s="522"/>
      <c r="BE140" s="523"/>
      <c r="BF140" s="501"/>
      <c r="BG140" s="512"/>
      <c r="BH140" s="501"/>
      <c r="BI140" s="501"/>
      <c r="BJ140" s="501"/>
      <c r="BK140" s="525"/>
      <c r="BL140" s="525"/>
    </row>
    <row customHeight="true" ht="13.333333333333332" r="141">
      <c r="A141" s="500">
        <v>46130</v>
      </c>
      <c r="B141" s="501" t="s">
        <v>1287</v>
      </c>
      <c r="C141" s="519"/>
      <c r="D141" s="501">
        <v>54.99</v>
      </c>
      <c r="E141" s="503">
        <v>0</v>
      </c>
      <c r="F141" s="503">
        <v>0</v>
      </c>
      <c r="G141" s="503">
        <v>0</v>
      </c>
      <c r="H141" s="501"/>
      <c r="I141" s="503"/>
      <c r="J141" s="505"/>
      <c r="K141" s="501"/>
      <c r="L141" s="501"/>
      <c r="M141" s="501"/>
      <c r="N141" s="503"/>
      <c r="O141" s="506"/>
      <c r="P141" s="506"/>
      <c r="Q141" s="501"/>
      <c r="R141" s="501"/>
      <c r="S141" s="501">
        <f>'意大利ERP数据'!Z140</f>
      </c>
      <c r="T141" s="501"/>
      <c r="U141" s="501"/>
      <c r="V141" s="503"/>
      <c r="W141" s="501"/>
      <c r="X141" s="505"/>
      <c r="Y141" s="501"/>
      <c r="Z141" s="501"/>
      <c r="AA141" s="501"/>
      <c r="AB141" s="501"/>
      <c r="AC141" s="501"/>
      <c r="AD141" s="507"/>
      <c r="AE141" s="501"/>
      <c r="AF141" s="501"/>
      <c r="AG141" s="501"/>
      <c r="AH141" s="508"/>
      <c r="AI141" s="501"/>
      <c r="AJ141" s="509"/>
      <c r="AK141" s="501"/>
      <c r="AL141" s="510"/>
      <c r="AM141" s="511"/>
      <c r="AN141" s="503"/>
      <c r="AO141" s="509"/>
      <c r="AP141" s="510"/>
      <c r="AQ141" s="503"/>
      <c r="AR141" s="506"/>
      <c r="AS141" s="506"/>
      <c r="AT141" s="509"/>
      <c r="AU141" s="513"/>
      <c r="AV141" s="513"/>
      <c r="AW141" s="514"/>
      <c r="AX141" s="509"/>
      <c r="AY141" s="506"/>
      <c r="AZ141" s="506"/>
      <c r="BA141" s="520"/>
      <c r="BB141" s="521"/>
      <c r="BC141" s="522"/>
      <c r="BD141" s="522"/>
      <c r="BE141" s="523"/>
      <c r="BF141" s="501"/>
      <c r="BG141" s="512"/>
      <c r="BH141" s="501"/>
      <c r="BI141" s="501"/>
      <c r="BJ141" s="501"/>
      <c r="BK141" s="525"/>
      <c r="BL141" s="525"/>
    </row>
    <row customHeight="true" ht="13.333333333333332" r="142">
      <c r="A142" s="500">
        <v>46131</v>
      </c>
      <c r="B142" s="501" t="s">
        <v>1288</v>
      </c>
      <c r="C142" s="519"/>
      <c r="D142" s="501">
        <v>54.99</v>
      </c>
      <c r="E142" s="503">
        <v>0</v>
      </c>
      <c r="F142" s="503">
        <v>0</v>
      </c>
      <c r="G142" s="503">
        <v>0</v>
      </c>
      <c r="H142" s="501"/>
      <c r="I142" s="503"/>
      <c r="J142" s="505"/>
      <c r="K142" s="501"/>
      <c r="L142" s="501"/>
      <c r="M142" s="501"/>
      <c r="N142" s="503"/>
      <c r="O142" s="506"/>
      <c r="P142" s="506"/>
      <c r="Q142" s="501"/>
      <c r="R142" s="501"/>
      <c r="S142" s="501">
        <f>'意大利ERP数据'!Z141</f>
      </c>
      <c r="T142" s="501"/>
      <c r="U142" s="501"/>
      <c r="V142" s="503"/>
      <c r="W142" s="501"/>
      <c r="X142" s="505"/>
      <c r="Y142" s="501"/>
      <c r="Z142" s="501"/>
      <c r="AA142" s="501"/>
      <c r="AB142" s="501"/>
      <c r="AC142" s="501"/>
      <c r="AD142" s="507"/>
      <c r="AE142" s="501"/>
      <c r="AF142" s="501"/>
      <c r="AG142" s="501"/>
      <c r="AH142" s="508"/>
      <c r="AI142" s="501"/>
      <c r="AJ142" s="509"/>
      <c r="AK142" s="501"/>
      <c r="AL142" s="510"/>
      <c r="AM142" s="511"/>
      <c r="AN142" s="503"/>
      <c r="AO142" s="509"/>
      <c r="AP142" s="510"/>
      <c r="AQ142" s="503"/>
      <c r="AR142" s="506"/>
      <c r="AS142" s="506"/>
      <c r="AT142" s="509"/>
      <c r="AU142" s="513"/>
      <c r="AV142" s="513"/>
      <c r="AW142" s="514"/>
      <c r="AX142" s="509"/>
      <c r="AY142" s="506"/>
      <c r="AZ142" s="506"/>
      <c r="BA142" s="520"/>
      <c r="BB142" s="521"/>
      <c r="BC142" s="522"/>
      <c r="BD142" s="522"/>
      <c r="BE142" s="523"/>
      <c r="BF142" s="501"/>
      <c r="BG142" s="512"/>
      <c r="BH142" s="501"/>
      <c r="BI142" s="501"/>
      <c r="BJ142" s="501"/>
      <c r="BK142" s="525"/>
      <c r="BL142" s="525"/>
    </row>
    <row customHeight="true" ht="13.333333333333332" r="143">
      <c r="A143" s="500">
        <v>46132</v>
      </c>
      <c r="B143" s="501" t="s">
        <v>1281</v>
      </c>
      <c r="C143" s="519"/>
      <c r="D143" s="501">
        <v>54.99</v>
      </c>
      <c r="E143" s="503">
        <v>0</v>
      </c>
      <c r="F143" s="503">
        <v>0</v>
      </c>
      <c r="G143" s="503">
        <v>0</v>
      </c>
      <c r="H143" s="501"/>
      <c r="I143" s="503"/>
      <c r="J143" s="505"/>
      <c r="K143" s="501"/>
      <c r="L143" s="501"/>
      <c r="M143" s="501"/>
      <c r="N143" s="503"/>
      <c r="O143" s="506"/>
      <c r="P143" s="506"/>
      <c r="Q143" s="501"/>
      <c r="R143" s="501"/>
      <c r="S143" s="501">
        <f>'意大利ERP数据'!Z142</f>
      </c>
      <c r="T143" s="501"/>
      <c r="U143" s="501"/>
      <c r="V143" s="503"/>
      <c r="W143" s="501"/>
      <c r="X143" s="505"/>
      <c r="Y143" s="501"/>
      <c r="Z143" s="501"/>
      <c r="AA143" s="501"/>
      <c r="AB143" s="501"/>
      <c r="AC143" s="501"/>
      <c r="AD143" s="507"/>
      <c r="AE143" s="501"/>
      <c r="AF143" s="501"/>
      <c r="AG143" s="501"/>
      <c r="AH143" s="508"/>
      <c r="AI143" s="501"/>
      <c r="AJ143" s="509"/>
      <c r="AK143" s="501"/>
      <c r="AL143" s="510"/>
      <c r="AM143" s="511"/>
      <c r="AN143" s="503"/>
      <c r="AO143" s="509"/>
      <c r="AP143" s="510"/>
      <c r="AQ143" s="503"/>
      <c r="AR143" s="506"/>
      <c r="AS143" s="506"/>
      <c r="AT143" s="509"/>
      <c r="AU143" s="513"/>
      <c r="AV143" s="513"/>
      <c r="AW143" s="514"/>
      <c r="AX143" s="509"/>
      <c r="AY143" s="506"/>
      <c r="AZ143" s="506"/>
      <c r="BA143" s="520"/>
      <c r="BB143" s="521"/>
      <c r="BC143" s="522"/>
      <c r="BD143" s="522"/>
      <c r="BE143" s="523"/>
      <c r="BF143" s="501"/>
      <c r="BG143" s="512"/>
      <c r="BH143" s="501"/>
      <c r="BI143" s="501"/>
      <c r="BJ143" s="501"/>
      <c r="BK143" s="525"/>
      <c r="BL143" s="525"/>
    </row>
    <row customHeight="true" ht="13.333333333333332" r="144">
      <c r="A144" s="500">
        <v>46133</v>
      </c>
      <c r="B144" s="501" t="s">
        <v>1283</v>
      </c>
      <c r="C144" s="519"/>
      <c r="D144" s="501">
        <v>54.99</v>
      </c>
      <c r="E144" s="503">
        <v>0</v>
      </c>
      <c r="F144" s="503">
        <v>0</v>
      </c>
      <c r="G144" s="503">
        <v>0</v>
      </c>
      <c r="H144" s="501"/>
      <c r="I144" s="503"/>
      <c r="J144" s="505"/>
      <c r="K144" s="501"/>
      <c r="L144" s="501"/>
      <c r="M144" s="501"/>
      <c r="N144" s="503"/>
      <c r="O144" s="506"/>
      <c r="P144" s="506"/>
      <c r="Q144" s="501"/>
      <c r="R144" s="501"/>
      <c r="S144" s="501">
        <f>'意大利ERP数据'!Z143</f>
      </c>
      <c r="T144" s="501"/>
      <c r="U144" s="501"/>
      <c r="V144" s="503"/>
      <c r="W144" s="501"/>
      <c r="X144" s="505"/>
      <c r="Y144" s="501"/>
      <c r="Z144" s="501"/>
      <c r="AA144" s="501"/>
      <c r="AB144" s="501"/>
      <c r="AC144" s="501"/>
      <c r="AD144" s="507"/>
      <c r="AE144" s="501"/>
      <c r="AF144" s="501"/>
      <c r="AG144" s="501"/>
      <c r="AH144" s="508"/>
      <c r="AI144" s="501"/>
      <c r="AJ144" s="509"/>
      <c r="AK144" s="501"/>
      <c r="AL144" s="510"/>
      <c r="AM144" s="511"/>
      <c r="AN144" s="503"/>
      <c r="AO144" s="509"/>
      <c r="AP144" s="510"/>
      <c r="AQ144" s="503"/>
      <c r="AR144" s="506"/>
      <c r="AS144" s="506"/>
      <c r="AT144" s="509"/>
      <c r="AU144" s="513"/>
      <c r="AV144" s="513"/>
      <c r="AW144" s="514"/>
      <c r="AX144" s="509"/>
      <c r="AY144" s="506"/>
      <c r="AZ144" s="506"/>
      <c r="BA144" s="520"/>
      <c r="BB144" s="521"/>
      <c r="BC144" s="522"/>
      <c r="BD144" s="522"/>
      <c r="BE144" s="523"/>
      <c r="BF144" s="501"/>
      <c r="BG144" s="512"/>
      <c r="BH144" s="501"/>
      <c r="BI144" s="501"/>
      <c r="BJ144" s="501"/>
      <c r="BK144" s="525"/>
      <c r="BL144" s="525"/>
    </row>
    <row customHeight="true" ht="13.333333333333332" r="145">
      <c r="A145" s="500">
        <v>46134</v>
      </c>
      <c r="B145" s="501" t="s">
        <v>1284</v>
      </c>
      <c r="C145" s="519"/>
      <c r="D145" s="501">
        <v>54.99</v>
      </c>
      <c r="E145" s="503">
        <v>0</v>
      </c>
      <c r="F145" s="503">
        <v>0</v>
      </c>
      <c r="G145" s="503">
        <v>0</v>
      </c>
      <c r="H145" s="501"/>
      <c r="I145" s="503"/>
      <c r="J145" s="505"/>
      <c r="K145" s="501"/>
      <c r="L145" s="501"/>
      <c r="M145" s="501"/>
      <c r="N145" s="503"/>
      <c r="O145" s="506"/>
      <c r="P145" s="506"/>
      <c r="Q145" s="501"/>
      <c r="R145" s="501"/>
      <c r="S145" s="501">
        <f>'意大利ERP数据'!Z144</f>
      </c>
      <c r="T145" s="501"/>
      <c r="U145" s="501"/>
      <c r="V145" s="503"/>
      <c r="W145" s="501"/>
      <c r="X145" s="505"/>
      <c r="Y145" s="501"/>
      <c r="Z145" s="501"/>
      <c r="AA145" s="501"/>
      <c r="AB145" s="501"/>
      <c r="AC145" s="501"/>
      <c r="AD145" s="507"/>
      <c r="AE145" s="501"/>
      <c r="AF145" s="501"/>
      <c r="AG145" s="501"/>
      <c r="AH145" s="508"/>
      <c r="AI145" s="501"/>
      <c r="AJ145" s="509"/>
      <c r="AK145" s="501"/>
      <c r="AL145" s="510"/>
      <c r="AM145" s="511"/>
      <c r="AN145" s="503"/>
      <c r="AO145" s="509"/>
      <c r="AP145" s="510"/>
      <c r="AQ145" s="503"/>
      <c r="AR145" s="506"/>
      <c r="AS145" s="506"/>
      <c r="AT145" s="509"/>
      <c r="AU145" s="513"/>
      <c r="AV145" s="513"/>
      <c r="AW145" s="514"/>
      <c r="AX145" s="509"/>
      <c r="AY145" s="506"/>
      <c r="AZ145" s="506"/>
      <c r="BA145" s="520"/>
      <c r="BB145" s="521"/>
      <c r="BC145" s="522"/>
      <c r="BD145" s="522"/>
      <c r="BE145" s="523"/>
      <c r="BF145" s="501"/>
      <c r="BG145" s="512"/>
      <c r="BH145" s="501"/>
      <c r="BI145" s="501"/>
      <c r="BJ145" s="501"/>
      <c r="BK145" s="525"/>
      <c r="BL145" s="525"/>
    </row>
    <row customHeight="true" ht="13.333333333333332" r="146">
      <c r="A146" s="500">
        <v>46135</v>
      </c>
      <c r="B146" s="501" t="s">
        <v>1285</v>
      </c>
      <c r="C146" s="519"/>
      <c r="D146" s="501">
        <v>54.99</v>
      </c>
      <c r="E146" s="503">
        <v>0</v>
      </c>
      <c r="F146" s="503">
        <v>0</v>
      </c>
      <c r="G146" s="503">
        <v>0</v>
      </c>
      <c r="H146" s="501"/>
      <c r="I146" s="503"/>
      <c r="J146" s="505"/>
      <c r="K146" s="501"/>
      <c r="L146" s="501"/>
      <c r="M146" s="501"/>
      <c r="N146" s="503"/>
      <c r="O146" s="506"/>
      <c r="P146" s="506"/>
      <c r="Q146" s="501"/>
      <c r="R146" s="501"/>
      <c r="S146" s="501">
        <f>'意大利ERP数据'!Z145</f>
      </c>
      <c r="T146" s="501"/>
      <c r="U146" s="501"/>
      <c r="V146" s="503"/>
      <c r="W146" s="501"/>
      <c r="X146" s="505"/>
      <c r="Y146" s="501"/>
      <c r="Z146" s="501"/>
      <c r="AA146" s="501"/>
      <c r="AB146" s="501"/>
      <c r="AC146" s="501"/>
      <c r="AD146" s="507"/>
      <c r="AE146" s="501"/>
      <c r="AF146" s="501"/>
      <c r="AG146" s="501"/>
      <c r="AH146" s="508"/>
      <c r="AI146" s="501"/>
      <c r="AJ146" s="509"/>
      <c r="AK146" s="501"/>
      <c r="AL146" s="510"/>
      <c r="AM146" s="511"/>
      <c r="AN146" s="503"/>
      <c r="AO146" s="509"/>
      <c r="AP146" s="510"/>
      <c r="AQ146" s="503"/>
      <c r="AR146" s="506"/>
      <c r="AS146" s="506"/>
      <c r="AT146" s="509"/>
      <c r="AU146" s="513"/>
      <c r="AV146" s="513"/>
      <c r="AW146" s="514"/>
      <c r="AX146" s="509"/>
      <c r="AY146" s="506"/>
      <c r="AZ146" s="506"/>
      <c r="BA146" s="520"/>
      <c r="BB146" s="521"/>
      <c r="BC146" s="522"/>
      <c r="BD146" s="522"/>
      <c r="BE146" s="523"/>
      <c r="BF146" s="501"/>
      <c r="BG146" s="512"/>
      <c r="BH146" s="501"/>
      <c r="BI146" s="501"/>
      <c r="BJ146" s="501"/>
      <c r="BK146" s="525"/>
      <c r="BL146" s="525"/>
    </row>
    <row customHeight="true" ht="13.333333333333332" r="147">
      <c r="A147" s="500">
        <v>46136</v>
      </c>
      <c r="B147" s="501" t="s">
        <v>1286</v>
      </c>
      <c r="C147" s="519"/>
      <c r="D147" s="501">
        <v>54.99</v>
      </c>
      <c r="E147" s="503">
        <v>0</v>
      </c>
      <c r="F147" s="503">
        <v>0</v>
      </c>
      <c r="G147" s="503">
        <v>0</v>
      </c>
      <c r="H147" s="501"/>
      <c r="I147" s="503"/>
      <c r="J147" s="505"/>
      <c r="K147" s="501"/>
      <c r="L147" s="501"/>
      <c r="M147" s="501"/>
      <c r="N147" s="503"/>
      <c r="O147" s="506"/>
      <c r="P147" s="506"/>
      <c r="Q147" s="501"/>
      <c r="R147" s="501"/>
      <c r="S147" s="501">
        <f>'意大利ERP数据'!Z146</f>
      </c>
      <c r="T147" s="501"/>
      <c r="U147" s="501"/>
      <c r="V147" s="503"/>
      <c r="W147" s="501"/>
      <c r="X147" s="505"/>
      <c r="Y147" s="501"/>
      <c r="Z147" s="501"/>
      <c r="AA147" s="501"/>
      <c r="AB147" s="501"/>
      <c r="AC147" s="501"/>
      <c r="AD147" s="507"/>
      <c r="AE147" s="501"/>
      <c r="AF147" s="501"/>
      <c r="AG147" s="501"/>
      <c r="AH147" s="508"/>
      <c r="AI147" s="501"/>
      <c r="AJ147" s="509"/>
      <c r="AK147" s="501"/>
      <c r="AL147" s="510"/>
      <c r="AM147" s="511"/>
      <c r="AN147" s="503"/>
      <c r="AO147" s="509"/>
      <c r="AP147" s="510"/>
      <c r="AQ147" s="503"/>
      <c r="AR147" s="506"/>
      <c r="AS147" s="506"/>
      <c r="AT147" s="509"/>
      <c r="AU147" s="513"/>
      <c r="AV147" s="513"/>
      <c r="AW147" s="514"/>
      <c r="AX147" s="509"/>
      <c r="AY147" s="506"/>
      <c r="AZ147" s="506"/>
      <c r="BA147" s="520"/>
      <c r="BB147" s="521"/>
      <c r="BC147" s="522"/>
      <c r="BD147" s="522"/>
      <c r="BE147" s="523"/>
      <c r="BF147" s="501"/>
      <c r="BG147" s="512"/>
      <c r="BH147" s="501"/>
      <c r="BI147" s="501"/>
      <c r="BJ147" s="501"/>
      <c r="BK147" s="525"/>
      <c r="BL147" s="525"/>
    </row>
    <row customHeight="true" ht="13.333333333333332" r="148">
      <c r="A148" s="500">
        <v>46137</v>
      </c>
      <c r="B148" s="501" t="s">
        <v>1287</v>
      </c>
      <c r="C148" s="519"/>
      <c r="D148" s="501">
        <v>54.99</v>
      </c>
      <c r="E148" s="503">
        <v>0</v>
      </c>
      <c r="F148" s="503">
        <v>0</v>
      </c>
      <c r="G148" s="503">
        <v>0</v>
      </c>
      <c r="H148" s="501"/>
      <c r="I148" s="503"/>
      <c r="J148" s="505"/>
      <c r="K148" s="501"/>
      <c r="L148" s="501"/>
      <c r="M148" s="501"/>
      <c r="N148" s="503"/>
      <c r="O148" s="506"/>
      <c r="P148" s="506"/>
      <c r="Q148" s="501"/>
      <c r="R148" s="501"/>
      <c r="S148" s="501">
        <f>'意大利ERP数据'!Z147</f>
      </c>
      <c r="T148" s="501"/>
      <c r="U148" s="501"/>
      <c r="V148" s="503"/>
      <c r="W148" s="501"/>
      <c r="X148" s="505"/>
      <c r="Y148" s="501"/>
      <c r="Z148" s="501"/>
      <c r="AA148" s="501"/>
      <c r="AB148" s="501"/>
      <c r="AC148" s="501"/>
      <c r="AD148" s="507"/>
      <c r="AE148" s="501"/>
      <c r="AF148" s="501"/>
      <c r="AG148" s="501"/>
      <c r="AH148" s="508"/>
      <c r="AI148" s="501"/>
      <c r="AJ148" s="509"/>
      <c r="AK148" s="501"/>
      <c r="AL148" s="510"/>
      <c r="AM148" s="511"/>
      <c r="AN148" s="503"/>
      <c r="AO148" s="509"/>
      <c r="AP148" s="510"/>
      <c r="AQ148" s="503"/>
      <c r="AR148" s="506"/>
      <c r="AS148" s="506"/>
      <c r="AT148" s="509"/>
      <c r="AU148" s="513"/>
      <c r="AV148" s="513"/>
      <c r="AW148" s="514"/>
      <c r="AX148" s="509"/>
      <c r="AY148" s="506"/>
      <c r="AZ148" s="506"/>
      <c r="BA148" s="520"/>
      <c r="BB148" s="521"/>
      <c r="BC148" s="522"/>
      <c r="BD148" s="522"/>
      <c r="BE148" s="523"/>
      <c r="BF148" s="501"/>
      <c r="BG148" s="512"/>
      <c r="BH148" s="501"/>
      <c r="BI148" s="501"/>
      <c r="BJ148" s="501"/>
      <c r="BK148" s="525"/>
      <c r="BL148" s="525"/>
    </row>
    <row customHeight="true" ht="13.333333333333332" r="149">
      <c r="A149" s="500">
        <v>46138</v>
      </c>
      <c r="B149" s="501" t="s">
        <v>1288</v>
      </c>
      <c r="C149" s="519"/>
      <c r="D149" s="501">
        <v>54.99</v>
      </c>
      <c r="E149" s="503">
        <v>0</v>
      </c>
      <c r="F149" s="503">
        <v>0</v>
      </c>
      <c r="G149" s="503">
        <v>0</v>
      </c>
      <c r="H149" s="501"/>
      <c r="I149" s="503"/>
      <c r="J149" s="505"/>
      <c r="K149" s="501"/>
      <c r="L149" s="501"/>
      <c r="M149" s="501"/>
      <c r="N149" s="503"/>
      <c r="O149" s="506"/>
      <c r="P149" s="506"/>
      <c r="Q149" s="501"/>
      <c r="R149" s="501"/>
      <c r="S149" s="501">
        <f>'意大利ERP数据'!Z148</f>
      </c>
      <c r="T149" s="501"/>
      <c r="U149" s="501"/>
      <c r="V149" s="503"/>
      <c r="W149" s="501"/>
      <c r="X149" s="505"/>
      <c r="Y149" s="501"/>
      <c r="Z149" s="501"/>
      <c r="AA149" s="501"/>
      <c r="AB149" s="501"/>
      <c r="AC149" s="501"/>
      <c r="AD149" s="507"/>
      <c r="AE149" s="501"/>
      <c r="AF149" s="501"/>
      <c r="AG149" s="501"/>
      <c r="AH149" s="508"/>
      <c r="AI149" s="501"/>
      <c r="AJ149" s="509"/>
      <c r="AK149" s="501"/>
      <c r="AL149" s="510"/>
      <c r="AM149" s="511"/>
      <c r="AN149" s="503"/>
      <c r="AO149" s="509"/>
      <c r="AP149" s="510"/>
      <c r="AQ149" s="503"/>
      <c r="AR149" s="506"/>
      <c r="AS149" s="506"/>
      <c r="AT149" s="509"/>
      <c r="AU149" s="513"/>
      <c r="AV149" s="513"/>
      <c r="AW149" s="514"/>
      <c r="AX149" s="509"/>
      <c r="AY149" s="506"/>
      <c r="AZ149" s="506"/>
      <c r="BA149" s="520"/>
      <c r="BB149" s="521"/>
      <c r="BC149" s="522"/>
      <c r="BD149" s="522"/>
      <c r="BE149" s="523"/>
      <c r="BF149" s="501"/>
      <c r="BG149" s="512"/>
      <c r="BH149" s="501"/>
      <c r="BI149" s="501"/>
      <c r="BJ149" s="501"/>
      <c r="BK149" s="525"/>
      <c r="BL149" s="525"/>
    </row>
    <row customHeight="true" ht="13.333333333333332" r="150">
      <c r="A150" s="500">
        <v>46139</v>
      </c>
      <c r="B150" s="501" t="s">
        <v>1281</v>
      </c>
      <c r="C150" s="519"/>
      <c r="D150" s="501">
        <v>54.99</v>
      </c>
      <c r="E150" s="503">
        <v>0</v>
      </c>
      <c r="F150" s="503">
        <v>0</v>
      </c>
      <c r="G150" s="503">
        <v>0</v>
      </c>
      <c r="H150" s="501"/>
      <c r="I150" s="503"/>
      <c r="J150" s="505"/>
      <c r="K150" s="501"/>
      <c r="L150" s="501"/>
      <c r="M150" s="501"/>
      <c r="N150" s="503"/>
      <c r="O150" s="506"/>
      <c r="P150" s="506"/>
      <c r="Q150" s="501"/>
      <c r="R150" s="501"/>
      <c r="S150" s="501">
        <f>'意大利ERP数据'!Z149</f>
      </c>
      <c r="T150" s="501"/>
      <c r="U150" s="501"/>
      <c r="V150" s="503"/>
      <c r="W150" s="501"/>
      <c r="X150" s="505"/>
      <c r="Y150" s="501"/>
      <c r="Z150" s="501"/>
      <c r="AA150" s="501"/>
      <c r="AB150" s="501"/>
      <c r="AC150" s="501"/>
      <c r="AD150" s="507"/>
      <c r="AE150" s="501"/>
      <c r="AF150" s="501"/>
      <c r="AG150" s="501"/>
      <c r="AH150" s="508"/>
      <c r="AI150" s="501"/>
      <c r="AJ150" s="509"/>
      <c r="AK150" s="501"/>
      <c r="AL150" s="510"/>
      <c r="AM150" s="511"/>
      <c r="AN150" s="503"/>
      <c r="AO150" s="509"/>
      <c r="AP150" s="510"/>
      <c r="AQ150" s="503"/>
      <c r="AR150" s="506"/>
      <c r="AS150" s="506"/>
      <c r="AT150" s="509"/>
      <c r="AU150" s="513"/>
      <c r="AV150" s="513"/>
      <c r="AW150" s="514"/>
      <c r="AX150" s="509"/>
      <c r="AY150" s="506"/>
      <c r="AZ150" s="506"/>
      <c r="BA150" s="520"/>
      <c r="BB150" s="521"/>
      <c r="BC150" s="522"/>
      <c r="BD150" s="522"/>
      <c r="BE150" s="523"/>
      <c r="BF150" s="501"/>
      <c r="BG150" s="512"/>
      <c r="BH150" s="501"/>
      <c r="BI150" s="501"/>
      <c r="BJ150" s="501"/>
      <c r="BK150" s="525"/>
      <c r="BL150" s="525"/>
    </row>
    <row customHeight="true" ht="13.333333333333332" r="151">
      <c r="A151" s="500">
        <v>46140</v>
      </c>
      <c r="B151" s="501" t="s">
        <v>1283</v>
      </c>
      <c r="C151" s="519"/>
      <c r="D151" s="501">
        <v>54.99</v>
      </c>
      <c r="E151" s="503">
        <v>0</v>
      </c>
      <c r="F151" s="503">
        <v>0</v>
      </c>
      <c r="G151" s="503">
        <v>0</v>
      </c>
      <c r="H151" s="501"/>
      <c r="I151" s="503"/>
      <c r="J151" s="505"/>
      <c r="K151" s="501"/>
      <c r="L151" s="501"/>
      <c r="M151" s="501"/>
      <c r="N151" s="503"/>
      <c r="O151" s="506"/>
      <c r="P151" s="506"/>
      <c r="Q151" s="501"/>
      <c r="R151" s="501"/>
      <c r="S151" s="501">
        <f>'意大利ERP数据'!Z150</f>
      </c>
      <c r="T151" s="501"/>
      <c r="U151" s="501"/>
      <c r="V151" s="503"/>
      <c r="W151" s="501"/>
      <c r="X151" s="505"/>
      <c r="Y151" s="501"/>
      <c r="Z151" s="501"/>
      <c r="AA151" s="501"/>
      <c r="AB151" s="501"/>
      <c r="AC151" s="501"/>
      <c r="AD151" s="507"/>
      <c r="AE151" s="501"/>
      <c r="AF151" s="501"/>
      <c r="AG151" s="501"/>
      <c r="AH151" s="508"/>
      <c r="AI151" s="501"/>
      <c r="AJ151" s="509"/>
      <c r="AK151" s="501"/>
      <c r="AL151" s="510"/>
      <c r="AM151" s="511"/>
      <c r="AN151" s="503"/>
      <c r="AO151" s="509"/>
      <c r="AP151" s="510"/>
      <c r="AQ151" s="503"/>
      <c r="AR151" s="506"/>
      <c r="AS151" s="506"/>
      <c r="AT151" s="509"/>
      <c r="AU151" s="513"/>
      <c r="AV151" s="513"/>
      <c r="AW151" s="514"/>
      <c r="AX151" s="509"/>
      <c r="AY151" s="506"/>
      <c r="AZ151" s="506"/>
      <c r="BA151" s="520"/>
      <c r="BB151" s="521"/>
      <c r="BC151" s="522"/>
      <c r="BD151" s="522"/>
      <c r="BE151" s="523"/>
      <c r="BF151" s="501"/>
      <c r="BG151" s="512"/>
      <c r="BH151" s="501"/>
      <c r="BI151" s="501"/>
      <c r="BJ151" s="501"/>
      <c r="BK151" s="525"/>
      <c r="BL151" s="525"/>
    </row>
    <row customHeight="true" ht="13.333333333333332" r="152">
      <c r="A152" s="500">
        <v>46141</v>
      </c>
      <c r="B152" s="501" t="s">
        <v>1284</v>
      </c>
      <c r="C152" s="519"/>
      <c r="D152" s="501">
        <v>54.99</v>
      </c>
      <c r="E152" s="503">
        <v>0</v>
      </c>
      <c r="F152" s="503">
        <v>0</v>
      </c>
      <c r="G152" s="503">
        <v>0</v>
      </c>
      <c r="H152" s="501"/>
      <c r="I152" s="503"/>
      <c r="J152" s="505"/>
      <c r="K152" s="501"/>
      <c r="L152" s="501"/>
      <c r="M152" s="501"/>
      <c r="N152" s="503"/>
      <c r="O152" s="506"/>
      <c r="P152" s="506"/>
      <c r="Q152" s="501"/>
      <c r="R152" s="501"/>
      <c r="S152" s="501">
        <f>'意大利ERP数据'!Z151</f>
      </c>
      <c r="T152" s="501"/>
      <c r="U152" s="501"/>
      <c r="V152" s="503"/>
      <c r="W152" s="501"/>
      <c r="X152" s="505"/>
      <c r="Y152" s="501"/>
      <c r="Z152" s="501"/>
      <c r="AA152" s="501"/>
      <c r="AB152" s="501"/>
      <c r="AC152" s="501"/>
      <c r="AD152" s="507"/>
      <c r="AE152" s="501"/>
      <c r="AF152" s="501"/>
      <c r="AG152" s="501"/>
      <c r="AH152" s="508"/>
      <c r="AI152" s="501"/>
      <c r="AJ152" s="509"/>
      <c r="AK152" s="501"/>
      <c r="AL152" s="510"/>
      <c r="AM152" s="511"/>
      <c r="AN152" s="503"/>
      <c r="AO152" s="509"/>
      <c r="AP152" s="510"/>
      <c r="AQ152" s="503"/>
      <c r="AR152" s="506"/>
      <c r="AS152" s="506"/>
      <c r="AT152" s="509"/>
      <c r="AU152" s="513"/>
      <c r="AV152" s="513"/>
      <c r="AW152" s="514"/>
      <c r="AX152" s="509"/>
      <c r="AY152" s="506"/>
      <c r="AZ152" s="506"/>
      <c r="BA152" s="520"/>
      <c r="BB152" s="521"/>
      <c r="BC152" s="522"/>
      <c r="BD152" s="522"/>
      <c r="BE152" s="523"/>
      <c r="BF152" s="501"/>
      <c r="BG152" s="512"/>
      <c r="BH152" s="501"/>
      <c r="BI152" s="501"/>
      <c r="BJ152" s="501"/>
      <c r="BK152" s="525"/>
      <c r="BL152" s="525"/>
    </row>
    <row customHeight="true" ht="13.333333333333332" r="153">
      <c r="A153" s="500">
        <v>46142</v>
      </c>
      <c r="B153" s="501" t="s">
        <v>1285</v>
      </c>
      <c r="C153" s="519"/>
      <c r="D153" s="501">
        <v>54.99</v>
      </c>
      <c r="E153" s="503">
        <v>0</v>
      </c>
      <c r="F153" s="503">
        <v>0</v>
      </c>
      <c r="G153" s="503">
        <v>0</v>
      </c>
      <c r="H153" s="501"/>
      <c r="I153" s="503"/>
      <c r="J153" s="505"/>
      <c r="K153" s="501"/>
      <c r="L153" s="501"/>
      <c r="M153" s="501"/>
      <c r="N153" s="503"/>
      <c r="O153" s="506"/>
      <c r="P153" s="506"/>
      <c r="Q153" s="501"/>
      <c r="R153" s="501"/>
      <c r="S153" s="501">
        <f>'意大利ERP数据'!Z152</f>
      </c>
      <c r="T153" s="501"/>
      <c r="U153" s="501"/>
      <c r="V153" s="503"/>
      <c r="W153" s="501"/>
      <c r="X153" s="505"/>
      <c r="Y153" s="501"/>
      <c r="Z153" s="501"/>
      <c r="AA153" s="501"/>
      <c r="AB153" s="501"/>
      <c r="AC153" s="501"/>
      <c r="AD153" s="507"/>
      <c r="AE153" s="501"/>
      <c r="AF153" s="501"/>
      <c r="AG153" s="501"/>
      <c r="AH153" s="508"/>
      <c r="AI153" s="501"/>
      <c r="AJ153" s="509"/>
      <c r="AK153" s="501"/>
      <c r="AL153" s="510"/>
      <c r="AM153" s="511"/>
      <c r="AN153" s="503"/>
      <c r="AO153" s="509"/>
      <c r="AP153" s="510"/>
      <c r="AQ153" s="503"/>
      <c r="AR153" s="506"/>
      <c r="AS153" s="506"/>
      <c r="AT153" s="509"/>
      <c r="AU153" s="513"/>
      <c r="AV153" s="513"/>
      <c r="AW153" s="514"/>
      <c r="AX153" s="509"/>
      <c r="AY153" s="506"/>
      <c r="AZ153" s="506"/>
      <c r="BA153" s="520"/>
      <c r="BB153" s="521"/>
      <c r="BC153" s="522"/>
      <c r="BD153" s="522"/>
      <c r="BE153" s="523"/>
      <c r="BF153" s="501"/>
      <c r="BG153" s="512"/>
      <c r="BH153" s="501"/>
      <c r="BI153" s="501"/>
      <c r="BJ153" s="501"/>
      <c r="BK153" s="525"/>
      <c r="BL153" s="525"/>
    </row>
    <row customHeight="true" ht="13.333333333333332" r="154">
      <c r="A154" s="500">
        <v>46143</v>
      </c>
      <c r="B154" s="501" t="s">
        <v>1286</v>
      </c>
      <c r="C154" s="519"/>
      <c r="D154" s="501">
        <v>54.99</v>
      </c>
      <c r="E154" s="503">
        <v>0</v>
      </c>
      <c r="F154" s="503">
        <v>0</v>
      </c>
      <c r="G154" s="503">
        <v>0</v>
      </c>
      <c r="H154" s="501"/>
      <c r="I154" s="503"/>
      <c r="J154" s="505"/>
      <c r="K154" s="501"/>
      <c r="L154" s="501"/>
      <c r="M154" s="501"/>
      <c r="N154" s="503"/>
      <c r="O154" s="506"/>
      <c r="P154" s="506"/>
      <c r="Q154" s="501"/>
      <c r="R154" s="501"/>
      <c r="S154" s="501">
        <f>'意大利ERP数据'!Z153</f>
      </c>
      <c r="T154" s="501"/>
      <c r="U154" s="501"/>
      <c r="V154" s="503"/>
      <c r="W154" s="501"/>
      <c r="X154" s="505"/>
      <c r="Y154" s="501"/>
      <c r="Z154" s="501"/>
      <c r="AA154" s="501"/>
      <c r="AB154" s="501"/>
      <c r="AC154" s="501"/>
      <c r="AD154" s="507"/>
      <c r="AE154" s="501"/>
      <c r="AF154" s="501"/>
      <c r="AG154" s="501"/>
      <c r="AH154" s="508"/>
      <c r="AI154" s="501"/>
      <c r="AJ154" s="509"/>
      <c r="AK154" s="501"/>
      <c r="AL154" s="510"/>
      <c r="AM154" s="511"/>
      <c r="AN154" s="503"/>
      <c r="AO154" s="509"/>
      <c r="AP154" s="510"/>
      <c r="AQ154" s="503"/>
      <c r="AR154" s="506"/>
      <c r="AS154" s="506"/>
      <c r="AT154" s="509"/>
      <c r="AU154" s="513"/>
      <c r="AV154" s="513"/>
      <c r="AW154" s="514"/>
      <c r="AX154" s="509"/>
      <c r="AY154" s="506"/>
      <c r="AZ154" s="506"/>
      <c r="BA154" s="520"/>
      <c r="BB154" s="521"/>
      <c r="BC154" s="522"/>
      <c r="BD154" s="522"/>
      <c r="BE154" s="523"/>
      <c r="BF154" s="501"/>
      <c r="BG154" s="512"/>
      <c r="BH154" s="501"/>
      <c r="BI154" s="501"/>
      <c r="BJ154" s="501"/>
      <c r="BK154" s="525"/>
      <c r="BL154" s="525"/>
    </row>
    <row customHeight="true" ht="13.333333333333332" r="155">
      <c r="A155" s="500">
        <v>46144</v>
      </c>
      <c r="B155" s="501" t="s">
        <v>1287</v>
      </c>
      <c r="C155" s="519"/>
      <c r="D155" s="501">
        <v>54.99</v>
      </c>
      <c r="E155" s="503">
        <v>0</v>
      </c>
      <c r="F155" s="503">
        <v>0</v>
      </c>
      <c r="G155" s="503">
        <v>0</v>
      </c>
      <c r="H155" s="501"/>
      <c r="I155" s="503"/>
      <c r="J155" s="505"/>
      <c r="K155" s="501"/>
      <c r="L155" s="501"/>
      <c r="M155" s="501"/>
      <c r="N155" s="503"/>
      <c r="O155" s="506"/>
      <c r="P155" s="506"/>
      <c r="Q155" s="501"/>
      <c r="R155" s="501"/>
      <c r="S155" s="501">
        <f>'意大利ERP数据'!Z154</f>
      </c>
      <c r="T155" s="501"/>
      <c r="U155" s="501"/>
      <c r="V155" s="503"/>
      <c r="W155" s="501"/>
      <c r="X155" s="505"/>
      <c r="Y155" s="501"/>
      <c r="Z155" s="501"/>
      <c r="AA155" s="501"/>
      <c r="AB155" s="501"/>
      <c r="AC155" s="501"/>
      <c r="AD155" s="507"/>
      <c r="AE155" s="501"/>
      <c r="AF155" s="501"/>
      <c r="AG155" s="501"/>
      <c r="AH155" s="508"/>
      <c r="AI155" s="501"/>
      <c r="AJ155" s="509"/>
      <c r="AK155" s="501"/>
      <c r="AL155" s="510"/>
      <c r="AM155" s="511"/>
      <c r="AN155" s="503"/>
      <c r="AO155" s="509"/>
      <c r="AP155" s="510"/>
      <c r="AQ155" s="503"/>
      <c r="AR155" s="506"/>
      <c r="AS155" s="506"/>
      <c r="AT155" s="509"/>
      <c r="AU155" s="513"/>
      <c r="AV155" s="513"/>
      <c r="AW155" s="514"/>
      <c r="AX155" s="509"/>
      <c r="AY155" s="506"/>
      <c r="AZ155" s="506"/>
      <c r="BA155" s="520"/>
      <c r="BB155" s="521"/>
      <c r="BC155" s="522"/>
      <c r="BD155" s="522"/>
      <c r="BE155" s="523"/>
      <c r="BF155" s="501"/>
      <c r="BG155" s="512"/>
      <c r="BH155" s="501"/>
      <c r="BI155" s="501"/>
      <c r="BJ155" s="501"/>
      <c r="BK155" s="525"/>
      <c r="BL155" s="525"/>
    </row>
    <row customHeight="true" ht="13.333333333333332" r="156">
      <c r="A156" s="500">
        <v>46145</v>
      </c>
      <c r="B156" s="501" t="s">
        <v>1288</v>
      </c>
      <c r="C156" s="519"/>
      <c r="D156" s="501">
        <v>54.99</v>
      </c>
      <c r="E156" s="503">
        <v>0</v>
      </c>
      <c r="F156" s="503">
        <v>0</v>
      </c>
      <c r="G156" s="503">
        <v>0</v>
      </c>
      <c r="H156" s="501"/>
      <c r="I156" s="503"/>
      <c r="J156" s="505"/>
      <c r="K156" s="501"/>
      <c r="L156" s="501"/>
      <c r="M156" s="501"/>
      <c r="N156" s="503"/>
      <c r="O156" s="506"/>
      <c r="P156" s="506"/>
      <c r="Q156" s="501"/>
      <c r="R156" s="501"/>
      <c r="S156" s="501">
        <f>'意大利ERP数据'!Z155</f>
      </c>
      <c r="T156" s="501"/>
      <c r="U156" s="501"/>
      <c r="V156" s="503"/>
      <c r="W156" s="501"/>
      <c r="X156" s="505"/>
      <c r="Y156" s="501"/>
      <c r="Z156" s="501"/>
      <c r="AA156" s="501"/>
      <c r="AB156" s="501"/>
      <c r="AC156" s="501"/>
      <c r="AD156" s="507"/>
      <c r="AE156" s="501"/>
      <c r="AF156" s="501"/>
      <c r="AG156" s="501"/>
      <c r="AH156" s="508"/>
      <c r="AI156" s="501"/>
      <c r="AJ156" s="509"/>
      <c r="AK156" s="501"/>
      <c r="AL156" s="510"/>
      <c r="AM156" s="511"/>
      <c r="AN156" s="503"/>
      <c r="AO156" s="509"/>
      <c r="AP156" s="510"/>
      <c r="AQ156" s="503"/>
      <c r="AR156" s="506"/>
      <c r="AS156" s="506"/>
      <c r="AT156" s="509"/>
      <c r="AU156" s="513"/>
      <c r="AV156" s="513"/>
      <c r="AW156" s="514"/>
      <c r="AX156" s="509"/>
      <c r="AY156" s="506"/>
      <c r="AZ156" s="506"/>
      <c r="BA156" s="520"/>
      <c r="BB156" s="521"/>
      <c r="BC156" s="522"/>
      <c r="BD156" s="522"/>
      <c r="BE156" s="523"/>
      <c r="BF156" s="501"/>
      <c r="BG156" s="512"/>
      <c r="BH156" s="501"/>
      <c r="BI156" s="501"/>
      <c r="BJ156" s="501"/>
      <c r="BK156" s="525"/>
      <c r="BL156" s="525"/>
    </row>
    <row customHeight="true" ht="13.333333333333332" r="157">
      <c r="A157" s="500">
        <v>46146</v>
      </c>
      <c r="B157" s="501" t="s">
        <v>1281</v>
      </c>
      <c r="C157" s="519"/>
      <c r="D157" s="501">
        <v>54.99</v>
      </c>
      <c r="E157" s="503">
        <v>0</v>
      </c>
      <c r="F157" s="503">
        <v>0</v>
      </c>
      <c r="G157" s="503">
        <v>0</v>
      </c>
      <c r="H157" s="501"/>
      <c r="I157" s="503"/>
      <c r="J157" s="505"/>
      <c r="K157" s="501"/>
      <c r="L157" s="501"/>
      <c r="M157" s="501"/>
      <c r="N157" s="503"/>
      <c r="O157" s="506"/>
      <c r="P157" s="506"/>
      <c r="Q157" s="501"/>
      <c r="R157" s="501"/>
      <c r="S157" s="501">
        <f>'意大利ERP数据'!Z156</f>
      </c>
      <c r="T157" s="501"/>
      <c r="U157" s="501"/>
      <c r="V157" s="503"/>
      <c r="W157" s="501"/>
      <c r="X157" s="505"/>
      <c r="Y157" s="501"/>
      <c r="Z157" s="501"/>
      <c r="AA157" s="501"/>
      <c r="AB157" s="501"/>
      <c r="AC157" s="501"/>
      <c r="AD157" s="507"/>
      <c r="AE157" s="501"/>
      <c r="AF157" s="501"/>
      <c r="AG157" s="501"/>
      <c r="AH157" s="508"/>
      <c r="AI157" s="501"/>
      <c r="AJ157" s="509"/>
      <c r="AK157" s="501"/>
      <c r="AL157" s="510"/>
      <c r="AM157" s="511"/>
      <c r="AN157" s="503"/>
      <c r="AO157" s="509"/>
      <c r="AP157" s="510"/>
      <c r="AQ157" s="503"/>
      <c r="AR157" s="506"/>
      <c r="AS157" s="506"/>
      <c r="AT157" s="509"/>
      <c r="AU157" s="513"/>
      <c r="AV157" s="513"/>
      <c r="AW157" s="514"/>
      <c r="AX157" s="509"/>
      <c r="AY157" s="506"/>
      <c r="AZ157" s="506"/>
      <c r="BA157" s="520"/>
      <c r="BB157" s="521"/>
      <c r="BC157" s="522"/>
      <c r="BD157" s="522"/>
      <c r="BE157" s="523"/>
      <c r="BF157" s="501"/>
      <c r="BG157" s="512"/>
      <c r="BH157" s="501"/>
      <c r="BI157" s="501"/>
      <c r="BJ157" s="501"/>
      <c r="BK157" s="525"/>
      <c r="BL157" s="525"/>
    </row>
    <row customHeight="true" ht="13.333333333333332" r="158">
      <c r="A158" s="500">
        <v>46147</v>
      </c>
      <c r="B158" s="501" t="s">
        <v>1283</v>
      </c>
      <c r="C158" s="519"/>
      <c r="D158" s="501">
        <v>54.99</v>
      </c>
      <c r="E158" s="503">
        <v>0</v>
      </c>
      <c r="F158" s="503">
        <v>0</v>
      </c>
      <c r="G158" s="503">
        <v>0</v>
      </c>
      <c r="H158" s="501"/>
      <c r="I158" s="503"/>
      <c r="J158" s="505"/>
      <c r="K158" s="501"/>
      <c r="L158" s="501"/>
      <c r="M158" s="501"/>
      <c r="N158" s="503"/>
      <c r="O158" s="506"/>
      <c r="P158" s="506"/>
      <c r="Q158" s="501"/>
      <c r="R158" s="501"/>
      <c r="S158" s="501">
        <f>'意大利ERP数据'!Z157</f>
      </c>
      <c r="T158" s="501"/>
      <c r="U158" s="501"/>
      <c r="V158" s="503"/>
      <c r="W158" s="501"/>
      <c r="X158" s="505"/>
      <c r="Y158" s="501"/>
      <c r="Z158" s="501"/>
      <c r="AA158" s="501"/>
      <c r="AB158" s="501"/>
      <c r="AC158" s="501"/>
      <c r="AD158" s="507"/>
      <c r="AE158" s="501"/>
      <c r="AF158" s="501"/>
      <c r="AG158" s="501"/>
      <c r="AH158" s="508"/>
      <c r="AI158" s="501"/>
      <c r="AJ158" s="509"/>
      <c r="AK158" s="501"/>
      <c r="AL158" s="510"/>
      <c r="AM158" s="511"/>
      <c r="AN158" s="503"/>
      <c r="AO158" s="509"/>
      <c r="AP158" s="510"/>
      <c r="AQ158" s="503"/>
      <c r="AR158" s="506"/>
      <c r="AS158" s="506"/>
      <c r="AT158" s="509"/>
      <c r="AU158" s="513"/>
      <c r="AV158" s="513"/>
      <c r="AW158" s="514"/>
      <c r="AX158" s="509"/>
      <c r="AY158" s="506"/>
      <c r="AZ158" s="506"/>
      <c r="BA158" s="520"/>
      <c r="BB158" s="521"/>
      <c r="BC158" s="522"/>
      <c r="BD158" s="522"/>
      <c r="BE158" s="523"/>
      <c r="BF158" s="501"/>
      <c r="BG158" s="512"/>
      <c r="BH158" s="501"/>
      <c r="BI158" s="501"/>
      <c r="BJ158" s="501"/>
      <c r="BK158" s="525"/>
      <c r="BL158" s="525"/>
    </row>
    <row customHeight="true" ht="13.333333333333332" r="159">
      <c r="A159" s="500">
        <v>46148</v>
      </c>
      <c r="B159" s="501" t="s">
        <v>1284</v>
      </c>
      <c r="C159" s="519"/>
      <c r="D159" s="501">
        <v>54.99</v>
      </c>
      <c r="E159" s="503">
        <v>0</v>
      </c>
      <c r="F159" s="503">
        <v>0</v>
      </c>
      <c r="G159" s="503">
        <v>0</v>
      </c>
      <c r="H159" s="501"/>
      <c r="I159" s="503"/>
      <c r="J159" s="505"/>
      <c r="K159" s="501"/>
      <c r="L159" s="501"/>
      <c r="M159" s="501"/>
      <c r="N159" s="503"/>
      <c r="O159" s="506"/>
      <c r="P159" s="506"/>
      <c r="Q159" s="501"/>
      <c r="R159" s="501"/>
      <c r="S159" s="501">
        <f>'意大利ERP数据'!Z158</f>
      </c>
      <c r="T159" s="501"/>
      <c r="U159" s="501"/>
      <c r="V159" s="503"/>
      <c r="W159" s="501"/>
      <c r="X159" s="505"/>
      <c r="Y159" s="501"/>
      <c r="Z159" s="501"/>
      <c r="AA159" s="501"/>
      <c r="AB159" s="501"/>
      <c r="AC159" s="501"/>
      <c r="AD159" s="507"/>
      <c r="AE159" s="501"/>
      <c r="AF159" s="501"/>
      <c r="AG159" s="501"/>
      <c r="AH159" s="508"/>
      <c r="AI159" s="501"/>
      <c r="AJ159" s="509"/>
      <c r="AK159" s="501"/>
      <c r="AL159" s="510"/>
      <c r="AM159" s="511"/>
      <c r="AN159" s="503"/>
      <c r="AO159" s="509"/>
      <c r="AP159" s="510"/>
      <c r="AQ159" s="503"/>
      <c r="AR159" s="506"/>
      <c r="AS159" s="506"/>
      <c r="AT159" s="509"/>
      <c r="AU159" s="513"/>
      <c r="AV159" s="513"/>
      <c r="AW159" s="514"/>
      <c r="AX159" s="509"/>
      <c r="AY159" s="506"/>
      <c r="AZ159" s="506"/>
      <c r="BA159" s="520"/>
      <c r="BB159" s="521"/>
      <c r="BC159" s="522"/>
      <c r="BD159" s="522"/>
      <c r="BE159" s="523"/>
      <c r="BF159" s="501"/>
      <c r="BG159" s="512"/>
      <c r="BH159" s="501"/>
      <c r="BI159" s="501"/>
      <c r="BJ159" s="501"/>
      <c r="BK159" s="525"/>
      <c r="BL159" s="525"/>
    </row>
    <row customHeight="true" ht="13.333333333333332" r="160">
      <c r="A160" s="500">
        <v>46149</v>
      </c>
      <c r="B160" s="501" t="s">
        <v>1285</v>
      </c>
      <c r="C160" s="519"/>
      <c r="D160" s="501">
        <v>54.99</v>
      </c>
      <c r="E160" s="503">
        <v>0</v>
      </c>
      <c r="F160" s="503">
        <v>0</v>
      </c>
      <c r="G160" s="503">
        <v>0</v>
      </c>
      <c r="H160" s="501"/>
      <c r="I160" s="503"/>
      <c r="J160" s="505"/>
      <c r="K160" s="501"/>
      <c r="L160" s="501"/>
      <c r="M160" s="501"/>
      <c r="N160" s="503"/>
      <c r="O160" s="506"/>
      <c r="P160" s="506"/>
      <c r="Q160" s="501"/>
      <c r="R160" s="501"/>
      <c r="S160" s="501">
        <f>'意大利ERP数据'!Z159</f>
      </c>
      <c r="T160" s="501"/>
      <c r="U160" s="501"/>
      <c r="V160" s="503"/>
      <c r="W160" s="501"/>
      <c r="X160" s="505"/>
      <c r="Y160" s="501"/>
      <c r="Z160" s="501"/>
      <c r="AA160" s="501"/>
      <c r="AB160" s="501"/>
      <c r="AC160" s="501"/>
      <c r="AD160" s="507"/>
      <c r="AE160" s="501"/>
      <c r="AF160" s="501"/>
      <c r="AG160" s="501"/>
      <c r="AH160" s="508"/>
      <c r="AI160" s="501"/>
      <c r="AJ160" s="509"/>
      <c r="AK160" s="501"/>
      <c r="AL160" s="510"/>
      <c r="AM160" s="511"/>
      <c r="AN160" s="503"/>
      <c r="AO160" s="509"/>
      <c r="AP160" s="510"/>
      <c r="AQ160" s="503"/>
      <c r="AR160" s="506"/>
      <c r="AS160" s="506"/>
      <c r="AT160" s="509"/>
      <c r="AU160" s="513"/>
      <c r="AV160" s="513"/>
      <c r="AW160" s="514"/>
      <c r="AX160" s="509"/>
      <c r="AY160" s="506"/>
      <c r="AZ160" s="506"/>
      <c r="BA160" s="520"/>
      <c r="BB160" s="521"/>
      <c r="BC160" s="522"/>
      <c r="BD160" s="522"/>
      <c r="BE160" s="523"/>
      <c r="BF160" s="501"/>
      <c r="BG160" s="512"/>
      <c r="BH160" s="501"/>
      <c r="BI160" s="501"/>
      <c r="BJ160" s="501"/>
      <c r="BK160" s="525"/>
      <c r="BL160" s="525"/>
    </row>
    <row customHeight="true" ht="13.333333333333332" r="161">
      <c r="A161" s="500">
        <v>46150</v>
      </c>
      <c r="B161" s="501" t="s">
        <v>1286</v>
      </c>
      <c r="C161" s="519"/>
      <c r="D161" s="501">
        <v>54.99</v>
      </c>
      <c r="E161" s="503">
        <v>0</v>
      </c>
      <c r="F161" s="503">
        <v>0</v>
      </c>
      <c r="G161" s="503">
        <v>0</v>
      </c>
      <c r="H161" s="501"/>
      <c r="I161" s="503"/>
      <c r="J161" s="505"/>
      <c r="K161" s="501"/>
      <c r="L161" s="501"/>
      <c r="M161" s="501"/>
      <c r="N161" s="503"/>
      <c r="O161" s="506"/>
      <c r="P161" s="506"/>
      <c r="Q161" s="501"/>
      <c r="R161" s="501"/>
      <c r="S161" s="501">
        <f>'意大利ERP数据'!Z160</f>
      </c>
      <c r="T161" s="501"/>
      <c r="U161" s="501"/>
      <c r="V161" s="503"/>
      <c r="W161" s="501"/>
      <c r="X161" s="505"/>
      <c r="Y161" s="501"/>
      <c r="Z161" s="501"/>
      <c r="AA161" s="501"/>
      <c r="AB161" s="501"/>
      <c r="AC161" s="501"/>
      <c r="AD161" s="507"/>
      <c r="AE161" s="501"/>
      <c r="AF161" s="501"/>
      <c r="AG161" s="501"/>
      <c r="AH161" s="508"/>
      <c r="AI161" s="501"/>
      <c r="AJ161" s="509"/>
      <c r="AK161" s="501"/>
      <c r="AL161" s="510"/>
      <c r="AM161" s="511"/>
      <c r="AN161" s="503"/>
      <c r="AO161" s="509"/>
      <c r="AP161" s="510"/>
      <c r="AQ161" s="503"/>
      <c r="AR161" s="506"/>
      <c r="AS161" s="506"/>
      <c r="AT161" s="509"/>
      <c r="AU161" s="513"/>
      <c r="AV161" s="513"/>
      <c r="AW161" s="514"/>
      <c r="AX161" s="509"/>
      <c r="AY161" s="506"/>
      <c r="AZ161" s="506"/>
      <c r="BA161" s="520"/>
      <c r="BB161" s="521"/>
      <c r="BC161" s="522"/>
      <c r="BD161" s="522"/>
      <c r="BE161" s="523"/>
      <c r="BF161" s="501"/>
      <c r="BG161" s="512"/>
      <c r="BH161" s="501"/>
      <c r="BI161" s="501"/>
      <c r="BJ161" s="501"/>
      <c r="BK161" s="525"/>
      <c r="BL161" s="525"/>
    </row>
    <row customHeight="true" ht="20.74074074074074" r="162">
      <c r="A162" s="526" t="s">
        <v>1289</v>
      </c>
      <c r="B162" s="526"/>
      <c r="C162" s="526"/>
      <c r="D162" s="527">
        <v>139.99</v>
      </c>
      <c r="E162" s="528"/>
      <c r="F162" s="528"/>
      <c r="G162" s="528"/>
      <c r="H162" s="527"/>
      <c r="I162" s="528"/>
      <c r="J162" s="529"/>
      <c r="K162" s="527"/>
      <c r="L162" s="527"/>
      <c r="M162" s="527">
        <f>SUM(M44:M92)</f>
      </c>
      <c r="N162" s="509">
        <v>0.1746</v>
      </c>
      <c r="O162" s="530">
        <f>SUM(O44:O92)</f>
      </c>
      <c r="P162" s="530">
        <f>SUM(P44:P92)</f>
      </c>
      <c r="Q162" s="527">
        <f>SUM(Q44:Q92)</f>
      </c>
      <c r="R162" s="527"/>
      <c r="S162" s="501">
        <f>'意大利ERP数据'!Z161</f>
      </c>
      <c r="T162" s="527"/>
      <c r="U162" s="527"/>
      <c r="V162" s="528"/>
      <c r="W162" s="527"/>
      <c r="X162" s="529">
        <f>SUM(X44:X92)</f>
      </c>
      <c r="Y162" s="527"/>
      <c r="Z162" s="527"/>
      <c r="AA162" s="527"/>
      <c r="AB162" s="527"/>
      <c r="AC162" s="527"/>
      <c r="AD162" s="531"/>
      <c r="AE162" s="527"/>
      <c r="AF162" s="527"/>
      <c r="AG162" s="527"/>
      <c r="AH162" s="531">
        <f>SUM(AH44:AH92)</f>
      </c>
      <c r="AI162" s="527">
        <f>SUM(AI44:AI92)</f>
      </c>
      <c r="AJ162" s="509">
        <f>AI162/AH162</f>
      </c>
      <c r="AK162" s="527">
        <f>SUM(AK44:AK92)</f>
      </c>
      <c r="AL162" s="510">
        <f>AI162/AP162</f>
      </c>
      <c r="AM162" s="532">
        <f>AP162/(AK162*D162)</f>
      </c>
      <c r="AN162" s="509">
        <f>AK162/AI162</f>
      </c>
      <c r="AO162" s="509">
        <f>AK162/P162</f>
      </c>
      <c r="AP162" s="533">
        <f>SUM(AP44:AP92)</f>
      </c>
      <c r="AQ162" s="509">
        <f>AP162/X162</f>
      </c>
      <c r="AR162" s="534"/>
      <c r="AS162" s="534">
        <f>AP162/AK162</f>
      </c>
      <c r="AT162" s="532"/>
      <c r="AU162" s="535"/>
      <c r="AV162" s="535"/>
      <c r="AW162" s="535">
        <f>SUM(AW44:AW92)</f>
      </c>
      <c r="AX162" s="509">
        <f>AW162/X162</f>
      </c>
      <c r="AY162" s="530"/>
      <c r="AZ162" s="530">
        <f>SUM(AZ44:AZ92)</f>
      </c>
      <c r="BA162" s="530"/>
      <c r="BB162" s="529">
        <f>SUM(BB44:BB92)</f>
      </c>
      <c r="BC162" s="527">
        <f>SUM(BC44:BC92)</f>
      </c>
      <c r="BD162" s="527"/>
      <c r="BE162" s="532"/>
      <c r="BF162" s="536">
        <f>M162-AI162</f>
      </c>
      <c r="BG162" s="512">
        <f>O162/BF162</f>
      </c>
      <c r="BH162" s="527"/>
      <c r="BI162" s="537"/>
      <c r="BJ162" s="527"/>
      <c r="BK162" s="527"/>
      <c r="BL162" s="538"/>
    </row>
  </sheetData>
  <mergeCells>
    <mergeCell ref="Y1:AB1"/>
    <mergeCell ref="AH1:AS1"/>
    <mergeCell ref="AU1:BA1"/>
    <mergeCell ref="BB1:BG1"/>
    <mergeCell ref="BH1:BL1"/>
    <mergeCell ref="A162:C16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C1:AC2"/>
    <mergeCell ref="AD1:AD2"/>
    <mergeCell ref="AE1:AE2"/>
    <mergeCell ref="AF1:AF2"/>
    <mergeCell ref="AG1:AG2"/>
  </mergeCells>
  <conditionalFormatting sqref="R1:R1">
    <cfRule priority="1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{17BFA840-20F3-45C2-8A93-5BC5B34C063D}</x14:id>
        </ext>
      </extLst>
    </cfRule>
  </conditionalFormatting>
  <conditionalFormatting sqref="R1:R1">
    <cfRule priority="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{283A7C34-F652-4D5D-880E-3DE817FD86D6}</x14:id>
        </ext>
      </extLst>
    </cfRule>
  </conditionalFormatting>
  <conditionalFormatting sqref="S1:S1">
    <cfRule priority="3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{22A2E605-B75E-4AAD-B5C7-4FF2DB403DA6}</x14:id>
        </ext>
      </extLst>
    </cfRule>
  </conditionalFormatting>
  <conditionalFormatting sqref="S1:S1">
    <cfRule priority="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{0C993309-1D73-4ED0-B1C0-AEDDFF1962BD}</x14:id>
        </ext>
      </extLst>
    </cfRule>
  </conditionalFormatting>
  <conditionalFormatting sqref="M50:M50">
    <cfRule priority="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{44DF9AE7-4141-4EDE-A8EB-8025FFBECA03}</x14:id>
        </ext>
      </extLst>
    </cfRule>
  </conditionalFormatting>
  <conditionalFormatting sqref="BE60:BE60">
    <cfRule priority="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{83C1B459-0603-4D5E-A442-2F64E94C3783}</x14:id>
        </ext>
      </extLst>
    </cfRule>
  </conditionalFormatting>
  <conditionalFormatting sqref="AH55:AH55">
    <cfRule priority="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{C008DBB6-22B6-4470-AAC8-09CE8FCCB4FC}</x14:id>
        </ext>
      </extLst>
    </cfRule>
  </conditionalFormatting>
  <conditionalFormatting sqref="BD72:BD72">
    <cfRule priority="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{E711176E-BB0A-4146-8CC7-F1B451AE3C30}</x14:id>
        </ext>
      </extLst>
    </cfRule>
  </conditionalFormatting>
  <conditionalFormatting sqref="M74:M74">
    <cfRule priority="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{109D9E99-F588-4F8E-9679-E69AD99D9BB3}</x14:id>
        </ext>
      </extLst>
    </cfRule>
  </conditionalFormatting>
  <conditionalFormatting sqref="M52:M52">
    <cfRule priority="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{1BDED361-D2B5-4271-A1DA-91345A6C216B}</x14:id>
        </ext>
      </extLst>
    </cfRule>
  </conditionalFormatting>
  <conditionalFormatting sqref="N52:N52">
    <cfRule priority="1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{080F4932-B9B1-48EF-9761-380A55A57173}</x14:id>
        </ext>
      </extLst>
    </cfRule>
  </conditionalFormatting>
  <conditionalFormatting sqref="BE69:BE69">
    <cfRule priority="1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{40CC53E5-40AD-46D7-B103-36740B6F140B}</x14:id>
        </ext>
      </extLst>
    </cfRule>
  </conditionalFormatting>
  <conditionalFormatting sqref="N72:N72">
    <cfRule priority="1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{FD478501-DC01-4218-AF63-BA02E0A841BE}</x14:id>
        </ext>
      </extLst>
    </cfRule>
  </conditionalFormatting>
  <conditionalFormatting sqref="BE63:BE63">
    <cfRule priority="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{F32961D6-5401-464B-BED4-09D686E8D9D4}</x14:id>
        </ext>
      </extLst>
    </cfRule>
  </conditionalFormatting>
  <conditionalFormatting sqref="AH56:AH56">
    <cfRule priority="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{74CACED2-3974-4848-A5D5-3E5412AA130C}</x14:id>
        </ext>
      </extLst>
    </cfRule>
  </conditionalFormatting>
  <conditionalFormatting sqref="AI2:AI2">
    <cfRule priority="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{F8EC4308-674C-4A7D-95BE-65C989F95929}</x14:id>
        </ext>
      </extLst>
    </cfRule>
  </conditionalFormatting>
  <conditionalFormatting sqref="M60:M60">
    <cfRule priority="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{0B17791E-03ED-4408-955D-79CB01D51DF2}</x14:id>
        </ext>
      </extLst>
    </cfRule>
  </conditionalFormatting>
  <conditionalFormatting sqref="M67:M67">
    <cfRule priority="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{7084F994-DD2E-4225-9735-DA5584474D8E}</x14:id>
        </ext>
      </extLst>
    </cfRule>
  </conditionalFormatting>
  <conditionalFormatting sqref="AH66:AH66">
    <cfRule priority="1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{3286A04A-AC65-4B9C-B038-0C3EC7BCC80D}</x14:id>
        </ext>
      </extLst>
    </cfRule>
  </conditionalFormatting>
  <conditionalFormatting sqref="BE51:BE51">
    <cfRule priority="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{A9BE8D1B-4549-4ABE-AF8B-8E68B902E6AC}</x14:id>
        </ext>
      </extLst>
    </cfRule>
  </conditionalFormatting>
  <conditionalFormatting sqref="AH73:AH73">
    <cfRule priority="2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{284A0AE2-C29E-41E9-8221-F2E1F9403E0A}</x14:id>
        </ext>
      </extLst>
    </cfRule>
  </conditionalFormatting>
  <conditionalFormatting sqref="AH70:AH70">
    <cfRule priority="2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{F6B66249-CCD2-47E9-90EE-906E73A0EEA3}</x14:id>
        </ext>
      </extLst>
    </cfRule>
  </conditionalFormatting>
  <conditionalFormatting sqref="BD59:BD59">
    <cfRule priority="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{B9DD889F-D5D9-494B-B43A-1899DCE5A4A9}</x14:id>
        </ext>
      </extLst>
    </cfRule>
  </conditionalFormatting>
  <conditionalFormatting sqref="BD60:BD60">
    <cfRule priority="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{24C30882-9FF6-42CF-97F3-A7A6B452C16F}</x14:id>
        </ext>
      </extLst>
    </cfRule>
  </conditionalFormatting>
  <conditionalFormatting sqref="AH61:AH61">
    <cfRule priority="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{DF9D2DC0-986C-4995-A764-CDE9AA2AD65F}</x14:id>
        </ext>
      </extLst>
    </cfRule>
  </conditionalFormatting>
  <conditionalFormatting sqref="N93:N162">
    <cfRule priority="2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{649FD2FB-A114-4B4B-A088-DA40C8DDD931}</x14:id>
        </ext>
      </extLst>
    </cfRule>
  </conditionalFormatting>
  <conditionalFormatting sqref="AI62:AI62">
    <cfRule priority="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{15616541-7761-4238-84AA-7C36D16467D6}</x14:id>
        </ext>
      </extLst>
    </cfRule>
  </conditionalFormatting>
  <conditionalFormatting sqref="M3:M47">
    <cfRule priority="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{DBF9375A-3385-4475-89ED-FAA96DFFF682}</x14:id>
        </ext>
      </extLst>
    </cfRule>
  </conditionalFormatting>
  <conditionalFormatting sqref="AO2:AO2">
    <cfRule priority="29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{B2BF2981-F71F-4C3A-9E51-BF41E18A5A59}</x14:id>
        </ext>
      </extLst>
    </cfRule>
  </conditionalFormatting>
  <conditionalFormatting sqref="BD93:BD162">
    <cfRule priority="3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{B935C479-B15E-4BD4-B720-FE86D7174BE8}</x14:id>
        </ext>
      </extLst>
    </cfRule>
  </conditionalFormatting>
  <conditionalFormatting sqref="AH56:AH56">
    <cfRule priority="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{9A8714B4-3203-4CAB-A79F-B06C9B243BB6}</x14:id>
        </ext>
      </extLst>
    </cfRule>
  </conditionalFormatting>
  <conditionalFormatting sqref="AH71:AH71">
    <cfRule priority="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{67FD85C1-5344-46A7-9951-D245A2FFF430}</x14:id>
        </ext>
      </extLst>
    </cfRule>
  </conditionalFormatting>
  <conditionalFormatting sqref="BD75:BD92">
    <cfRule priority="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{72A9307B-EF8E-4E3A-AD44-5981E8353B6B}</x14:id>
        </ext>
      </extLst>
    </cfRule>
  </conditionalFormatting>
  <conditionalFormatting sqref="BE13:BE47">
    <cfRule priority="3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{4087B5A4-FD94-436E-8137-39424177B734}</x14:id>
        </ext>
      </extLst>
    </cfRule>
  </conditionalFormatting>
  <conditionalFormatting sqref="N50:N50">
    <cfRule priority="3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{09F8E69D-1F53-419D-B569-083E237FD4D4}</x14:id>
        </ext>
      </extLst>
    </cfRule>
  </conditionalFormatting>
  <conditionalFormatting sqref="AH65:AH65">
    <cfRule priority="3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{C6FC136F-68F5-4853-A0F1-A4C2B5CD843D}</x14:id>
        </ext>
      </extLst>
    </cfRule>
  </conditionalFormatting>
  <conditionalFormatting sqref="AH59:AH59">
    <cfRule priority="3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{AC0E5639-50A9-42A7-9925-B03F63978556}</x14:id>
        </ext>
      </extLst>
    </cfRule>
  </conditionalFormatting>
  <conditionalFormatting sqref="N64:N64">
    <cfRule priority="3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{BBFCD55C-482C-4722-A4DE-A3F81F202897}</x14:id>
        </ext>
      </extLst>
    </cfRule>
  </conditionalFormatting>
  <conditionalFormatting sqref="AH64:AH64">
    <cfRule priority="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{11CCE602-5256-4D44-A01C-81F20F148776}</x14:id>
        </ext>
      </extLst>
    </cfRule>
  </conditionalFormatting>
  <conditionalFormatting sqref="BE73:BE73">
    <cfRule priority="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{709CD18A-2A9B-484A-A07B-4368361D077F}</x14:id>
        </ext>
      </extLst>
    </cfRule>
  </conditionalFormatting>
  <conditionalFormatting sqref="BE48:BE48">
    <cfRule priority="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{3B25F21C-EA75-46E2-87E7-0345B69A5C0E}</x14:id>
        </ext>
      </extLst>
    </cfRule>
  </conditionalFormatting>
  <conditionalFormatting sqref="BD70:BD70">
    <cfRule priority="4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{CD12B2ED-7D85-47C7-A667-552387CFCBAE}</x14:id>
        </ext>
      </extLst>
    </cfRule>
  </conditionalFormatting>
  <conditionalFormatting sqref="BD8:BD8">
    <cfRule priority="4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{14663926-4BFC-497E-8932-311FD7C9938E}</x14:id>
        </ext>
      </extLst>
    </cfRule>
  </conditionalFormatting>
  <conditionalFormatting sqref="BD67:BD67">
    <cfRule priority="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{0F2DA427-CB02-4323-855D-C0DA78D4FD93}</x14:id>
        </ext>
      </extLst>
    </cfRule>
  </conditionalFormatting>
  <conditionalFormatting sqref="AH58:AH58">
    <cfRule priority="4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{E8DD7BBB-F8EE-46E0-A1BE-769636D33E5F}</x14:id>
        </ext>
      </extLst>
    </cfRule>
  </conditionalFormatting>
  <conditionalFormatting sqref="N54:N54">
    <cfRule priority="4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{E9C9FBA5-EA3F-493B-AC54-065755A2612F}</x14:id>
        </ext>
      </extLst>
    </cfRule>
  </conditionalFormatting>
  <conditionalFormatting sqref="N66:N66">
    <cfRule priority="4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{6BE18ADB-BFA4-41A8-B2DE-39B461B3E8AA}</x14:id>
        </ext>
      </extLst>
    </cfRule>
  </conditionalFormatting>
  <conditionalFormatting sqref="AN2:AN2">
    <cfRule priority="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{14DB0F69-654B-48E1-A078-4A1FAB7EEE44}</x14:id>
        </ext>
      </extLst>
    </cfRule>
  </conditionalFormatting>
  <conditionalFormatting sqref="BE12:BE12">
    <cfRule priority="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{E2C6AF6B-DDCC-4A11-93DF-6B2B45CC0D2A}</x14:id>
        </ext>
      </extLst>
    </cfRule>
  </conditionalFormatting>
  <conditionalFormatting sqref="BD66:BD66">
    <cfRule priority="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{4A5BF2EC-B796-4923-9227-DF3A7EE10142}</x14:id>
        </ext>
      </extLst>
    </cfRule>
  </conditionalFormatting>
  <conditionalFormatting sqref="AH71:AH71">
    <cfRule priority="5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{4D0E3D29-657D-444D-B8CB-7C1565D6F993}</x14:id>
        </ext>
      </extLst>
    </cfRule>
  </conditionalFormatting>
  <conditionalFormatting sqref="BD1:BD162">
    <cfRule priority="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{39A70755-BEC7-47AE-8789-1572BA4A0058}</x14:id>
        </ext>
      </extLst>
    </cfRule>
  </conditionalFormatting>
  <conditionalFormatting sqref="AH72:AH72">
    <cfRule priority="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{2D29CBFC-006A-4B63-87CB-D2E3BCA34E95}</x14:id>
        </ext>
      </extLst>
    </cfRule>
  </conditionalFormatting>
  <conditionalFormatting sqref="M65:M65">
    <cfRule priority="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{0DEBA6B7-268A-418D-91F5-EA43E4EDBE36}</x14:id>
        </ext>
      </extLst>
    </cfRule>
  </conditionalFormatting>
  <conditionalFormatting sqref="BD57:BD57">
    <cfRule priority="5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{C6BDA52C-2944-4DB2-81FC-80804451F094}</x14:id>
        </ext>
      </extLst>
    </cfRule>
  </conditionalFormatting>
  <conditionalFormatting sqref="AJ2:AJ2">
    <cfRule priority="5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{432F0639-7663-4C36-AA1E-E1517A8DCD05}</x14:id>
        </ext>
      </extLst>
    </cfRule>
  </conditionalFormatting>
  <conditionalFormatting sqref="AI70:AI70">
    <cfRule priority="5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{60FD8C4D-E874-4203-9781-2EBD6A72B983}</x14:id>
        </ext>
      </extLst>
    </cfRule>
  </conditionalFormatting>
  <conditionalFormatting sqref="AH48:AH48">
    <cfRule priority="5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{635FA3CD-501F-4993-8206-7E202D0AE89D}</x14:id>
        </ext>
      </extLst>
    </cfRule>
  </conditionalFormatting>
  <conditionalFormatting sqref="AI64:AI64">
    <cfRule priority="5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{10B024C1-EBDE-40C0-BC60-435FC52E0650}</x14:id>
        </ext>
      </extLst>
    </cfRule>
  </conditionalFormatting>
  <conditionalFormatting sqref="BE66:BE66">
    <cfRule priority="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{43F46C22-2917-4E09-AFA5-1B8831AA427A}</x14:id>
        </ext>
      </extLst>
    </cfRule>
  </conditionalFormatting>
  <conditionalFormatting sqref="AH57:AH57">
    <cfRule priority="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{E4272018-C592-48C3-B621-DB973BFABD30}</x14:id>
        </ext>
      </extLst>
    </cfRule>
  </conditionalFormatting>
  <conditionalFormatting sqref="BD69:BD69">
    <cfRule priority="6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{0644AE81-394E-4259-9178-3B2059F94819}</x14:id>
        </ext>
      </extLst>
    </cfRule>
  </conditionalFormatting>
  <conditionalFormatting sqref="AI60:AI60">
    <cfRule priority="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{211D17D0-7115-4090-BB2C-2F544CE32B0B}</x14:id>
        </ext>
      </extLst>
    </cfRule>
  </conditionalFormatting>
  <conditionalFormatting sqref="M55:M55">
    <cfRule priority="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{A5BE111B-B6F0-4A0A-8B6A-BD45461ED4E4}</x14:id>
        </ext>
      </extLst>
    </cfRule>
  </conditionalFormatting>
  <conditionalFormatting sqref="N61:N61">
    <cfRule priority="6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{20371781-70F2-42B6-ABB9-804DBF76E593}</x14:id>
        </ext>
      </extLst>
    </cfRule>
  </conditionalFormatting>
  <conditionalFormatting sqref="M71:M71">
    <cfRule priority="6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{589C0BFB-086A-4E61-8E60-CE33705882F1}</x14:id>
        </ext>
      </extLst>
    </cfRule>
  </conditionalFormatting>
  <conditionalFormatting sqref="AH50:AH50">
    <cfRule priority="6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{30CAA03F-21B8-4564-89AF-30503EAF0566}</x14:id>
        </ext>
      </extLst>
    </cfRule>
  </conditionalFormatting>
  <conditionalFormatting sqref="BD65:BD65">
    <cfRule priority="6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{9FFCD7EB-DE27-489B-B74B-D2F23DC220BB}</x14:id>
        </ext>
      </extLst>
    </cfRule>
  </conditionalFormatting>
  <conditionalFormatting sqref="BD53:BD53">
    <cfRule priority="6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{DBC14B33-0E26-49A9-98CA-5454DE8ADDDC}</x14:id>
        </ext>
      </extLst>
    </cfRule>
  </conditionalFormatting>
  <conditionalFormatting sqref="BE4:BE4">
    <cfRule priority="7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{9D78447A-D028-46D8-802C-FC4A3114245D}</x14:id>
        </ext>
      </extLst>
    </cfRule>
  </conditionalFormatting>
  <conditionalFormatting sqref="AH62:AH62">
    <cfRule priority="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{A2316142-37A3-4DEF-9012-F34AFDB330F2}</x14:id>
        </ext>
      </extLst>
    </cfRule>
  </conditionalFormatting>
  <conditionalFormatting sqref="AH93:AH162">
    <cfRule priority="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{E73B8763-0C58-4846-975F-90999BC858A0}</x14:id>
        </ext>
      </extLst>
    </cfRule>
  </conditionalFormatting>
  <conditionalFormatting sqref="BD10:BD10">
    <cfRule priority="7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{618429A9-FB99-40FB-A730-CA88BF11AF55}</x14:id>
        </ext>
      </extLst>
    </cfRule>
  </conditionalFormatting>
  <conditionalFormatting sqref="M72:M72">
    <cfRule priority="7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{7A88F7C8-843E-4C6C-96B0-44B286844E7A}</x14:id>
        </ext>
      </extLst>
    </cfRule>
  </conditionalFormatting>
  <conditionalFormatting sqref="AI52:AI52">
    <cfRule priority="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{34610420-148B-477F-BD90-73B40A2A4F4E}</x14:id>
        </ext>
      </extLst>
    </cfRule>
  </conditionalFormatting>
  <conditionalFormatting sqref="N1:N2">
    <cfRule priority="7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{F0900E95-0E0A-407D-B8E2-C820C88C201C}</x14:id>
        </ext>
      </extLst>
    </cfRule>
  </conditionalFormatting>
  <conditionalFormatting sqref="N63:N63">
    <cfRule priority="7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{AF739BFD-829F-4DED-A12F-42D91A02CDC6}</x14:id>
        </ext>
      </extLst>
    </cfRule>
  </conditionalFormatting>
  <conditionalFormatting sqref="AI75:AI92">
    <cfRule priority="7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{1A29D146-FB08-4985-8055-0D49436DFBCF}</x14:id>
        </ext>
      </extLst>
    </cfRule>
  </conditionalFormatting>
  <conditionalFormatting sqref="BD3:BD3">
    <cfRule priority="7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{109767ED-4742-4F72-BBA0-E7440519E137}</x14:id>
        </ext>
      </extLst>
    </cfRule>
  </conditionalFormatting>
  <conditionalFormatting sqref="AH49:AH49">
    <cfRule priority="8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{764F7248-33B6-42C0-81C2-D30D752AE0A5}</x14:id>
        </ext>
      </extLst>
    </cfRule>
  </conditionalFormatting>
  <conditionalFormatting sqref="AI74:AI74">
    <cfRule priority="8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{2783CD3C-90C3-484C-838C-64126FEB93E8}</x14:id>
        </ext>
      </extLst>
    </cfRule>
  </conditionalFormatting>
  <conditionalFormatting sqref="AH65:AH65">
    <cfRule priority="8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{E7C9F389-3055-429C-94B4-A2CA9568CFB8}</x14:id>
        </ext>
      </extLst>
    </cfRule>
  </conditionalFormatting>
  <conditionalFormatting sqref="AH70:AH70">
    <cfRule priority="8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{32228E91-4B5B-4BD6-8DD2-6BD42681CE63}</x14:id>
        </ext>
      </extLst>
    </cfRule>
  </conditionalFormatting>
  <conditionalFormatting sqref="AH49:AH49">
    <cfRule priority="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{02431BC7-7950-4B49-9479-5DCDA3ECD5E4}</x14:id>
        </ext>
      </extLst>
    </cfRule>
  </conditionalFormatting>
  <conditionalFormatting sqref="AH3:AH47">
    <cfRule priority="8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{8753CD40-D680-461C-ADF1-E5E9877A89A9}</x14:id>
        </ext>
      </extLst>
    </cfRule>
  </conditionalFormatting>
  <conditionalFormatting sqref="AH51:AH51">
    <cfRule priority="8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{6B3F686A-DF9F-4426-BEDB-1950599401BB}</x14:id>
        </ext>
      </extLst>
    </cfRule>
  </conditionalFormatting>
  <conditionalFormatting sqref="AH58:AH58">
    <cfRule priority="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{AEDFFF07-19F9-41C0-9744-5CF234AB423E}</x14:id>
        </ext>
      </extLst>
    </cfRule>
  </conditionalFormatting>
  <conditionalFormatting sqref="BE72:BE72">
    <cfRule priority="8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{BA966F7B-C925-4E5A-B496-5315E9FF6BCB}</x14:id>
        </ext>
      </extLst>
    </cfRule>
  </conditionalFormatting>
  <conditionalFormatting sqref="AI66:AI66">
    <cfRule priority="8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{5122A596-4CB4-47D2-BF74-986E19DDBB9C}</x14:id>
        </ext>
      </extLst>
    </cfRule>
  </conditionalFormatting>
  <conditionalFormatting sqref="AH68:AH68">
    <cfRule priority="9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{C8F9CB32-44BF-4F79-80E6-D2A5C8599ACB}</x14:id>
        </ext>
      </extLst>
    </cfRule>
  </conditionalFormatting>
  <conditionalFormatting sqref="BD9:BD9">
    <cfRule priority="9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{901891CE-3D2C-4EB7-BD6D-1BC19C642E0F}</x14:id>
        </ext>
      </extLst>
    </cfRule>
  </conditionalFormatting>
  <conditionalFormatting sqref="BD52:BD52">
    <cfRule priority="9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{CEEA5D96-2280-4D88-A737-4B48F9051A14}</x14:id>
        </ext>
      </extLst>
    </cfRule>
  </conditionalFormatting>
  <conditionalFormatting sqref="M69:M69">
    <cfRule priority="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{98FDFD1A-FE77-4A7C-947A-F8E999AD4950}</x14:id>
        </ext>
      </extLst>
    </cfRule>
  </conditionalFormatting>
  <conditionalFormatting sqref="BE75:BE92">
    <cfRule priority="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{57192B70-BC09-4F03-B8C2-9FEED7439343}</x14:id>
        </ext>
      </extLst>
    </cfRule>
  </conditionalFormatting>
  <conditionalFormatting sqref="BD11:BD11">
    <cfRule priority="9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{E149AFB3-E0CC-456A-B069-554BAB1BA908}</x14:id>
        </ext>
      </extLst>
    </cfRule>
  </conditionalFormatting>
  <conditionalFormatting sqref="N62:N62">
    <cfRule priority="9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{87190A53-2D78-4141-ABD5-CB2806D9E7AE}</x14:id>
        </ext>
      </extLst>
    </cfRule>
  </conditionalFormatting>
  <conditionalFormatting sqref="BD68:BD68">
    <cfRule priority="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{72DD463A-8A1A-4411-8F6D-BEA20A1463B0}</x14:id>
        </ext>
      </extLst>
    </cfRule>
  </conditionalFormatting>
  <conditionalFormatting sqref="BE54:BE54">
    <cfRule priority="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{2A6C879A-5F5C-4637-B5AE-ECC45C00A118}</x14:id>
        </ext>
      </extLst>
    </cfRule>
  </conditionalFormatting>
  <conditionalFormatting sqref="AJ2:AJ2">
    <cfRule priority="9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{077BB7ED-527C-4E15-A4A6-521B762A5281}</x14:id>
        </ext>
      </extLst>
    </cfRule>
  </conditionalFormatting>
  <conditionalFormatting sqref="AI3:AI47">
    <cfRule priority="10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{B7B4E3CC-0603-4452-B4A0-F4BD9FA62480}</x14:id>
        </ext>
      </extLst>
    </cfRule>
  </conditionalFormatting>
  <conditionalFormatting sqref="N73:N73">
    <cfRule priority="10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{654D2EAA-8211-44AE-9D35-DA230CCE51FF}</x14:id>
        </ext>
      </extLst>
    </cfRule>
  </conditionalFormatting>
  <conditionalFormatting sqref="AH72:AH72">
    <cfRule priority="10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{12A188C9-799A-4E37-8255-8F5B5AD9025D}</x14:id>
        </ext>
      </extLst>
    </cfRule>
  </conditionalFormatting>
  <conditionalFormatting sqref="BD62:BD62">
    <cfRule priority="10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{F9E5281C-EA94-4452-9E72-4E7DBA1A5ADD}</x14:id>
        </ext>
      </extLst>
    </cfRule>
  </conditionalFormatting>
  <conditionalFormatting sqref="AH68:AH68">
    <cfRule priority="1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{05E959D1-CB66-4AD9-A525-826882DD6EE1}</x14:id>
        </ext>
      </extLst>
    </cfRule>
  </conditionalFormatting>
  <conditionalFormatting sqref="BD4:BD4">
    <cfRule priority="10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{915DCBC2-35A9-4324-B81E-8E3EDF3DD7C1}</x14:id>
        </ext>
      </extLst>
    </cfRule>
  </conditionalFormatting>
  <conditionalFormatting sqref="M53:M53">
    <cfRule priority="10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{CEA53876-76B1-4B74-B1B1-4150E205F873}</x14:id>
        </ext>
      </extLst>
    </cfRule>
  </conditionalFormatting>
  <conditionalFormatting sqref="AI51:AI51">
    <cfRule priority="10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{356722DC-16C4-4A50-93F1-0B51AF0E1943}</x14:id>
        </ext>
      </extLst>
    </cfRule>
  </conditionalFormatting>
  <conditionalFormatting sqref="AI58:AI58">
    <cfRule priority="1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{3E9298F6-4AD9-418D-AF54-60F081F1DD28}</x14:id>
        </ext>
      </extLst>
    </cfRule>
  </conditionalFormatting>
  <conditionalFormatting sqref="AI67:AI67">
    <cfRule priority="10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{D99DC0EA-7C6F-4FEC-A2C4-155C3DDE14EE}</x14:id>
        </ext>
      </extLst>
    </cfRule>
  </conditionalFormatting>
  <conditionalFormatting sqref="AO2:AO2">
    <cfRule priority="110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{9905370E-9403-4B14-BC73-1D6EF135CF31}</x14:id>
        </ext>
      </extLst>
    </cfRule>
  </conditionalFormatting>
  <conditionalFormatting sqref="N1:N2 P1:P1">
    <cfRule priority="1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{9669AD53-4AEC-49C0-9E87-A01E004A0952}</x14:id>
        </ext>
      </extLst>
    </cfRule>
  </conditionalFormatting>
  <conditionalFormatting sqref="Q1:Q2 T1:T1">
    <cfRule priority="112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{3932860C-F3BA-4A0B-9E8C-7B3E6F474B88}</x14:id>
        </ext>
      </extLst>
    </cfRule>
  </conditionalFormatting>
  <conditionalFormatting sqref="M51:M51">
    <cfRule priority="1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{FC001D46-80C4-4A36-9FAE-20B9C1FFEE9A}</x14:id>
        </ext>
      </extLst>
    </cfRule>
  </conditionalFormatting>
  <conditionalFormatting sqref="M70:M70">
    <cfRule priority="1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{4D4A869C-3CC2-4C63-9126-7EB75429F3C1}</x14:id>
        </ext>
      </extLst>
    </cfRule>
  </conditionalFormatting>
  <conditionalFormatting sqref="AH75:AH92">
    <cfRule priority="1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{5B3637A8-9F5A-44B7-957A-631449197856}</x14:id>
        </ext>
      </extLst>
    </cfRule>
  </conditionalFormatting>
  <conditionalFormatting sqref="M56:M56">
    <cfRule priority="1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{BBBAC026-1553-4C27-8603-C1BA44A3E749}</x14:id>
        </ext>
      </extLst>
    </cfRule>
  </conditionalFormatting>
  <conditionalFormatting sqref="N58:N58">
    <cfRule priority="11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{AE450FDE-7441-4109-B6F0-4F3845779619}</x14:id>
        </ext>
      </extLst>
    </cfRule>
  </conditionalFormatting>
  <conditionalFormatting sqref="AO2:AO2">
    <cfRule priority="118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{82414626-4606-46EA-9EDB-65625BEBA240}</x14:id>
        </ext>
      </extLst>
    </cfRule>
  </conditionalFormatting>
  <conditionalFormatting sqref="BE10:BE10">
    <cfRule priority="1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{EA29667E-7F75-4272-A7A6-A817C7B0FBAD}</x14:id>
        </ext>
      </extLst>
    </cfRule>
  </conditionalFormatting>
  <conditionalFormatting sqref="BE50:BE50">
    <cfRule priority="1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{02526E5C-764D-4B53-BD93-6E01B273CD74}</x14:id>
        </ext>
      </extLst>
    </cfRule>
  </conditionalFormatting>
  <conditionalFormatting sqref="N65:N65">
    <cfRule priority="12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{A6409047-C358-4C4D-BAF8-257E1867D3E4}</x14:id>
        </ext>
      </extLst>
    </cfRule>
  </conditionalFormatting>
  <conditionalFormatting sqref="N69:N69">
    <cfRule priority="12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{B40FEC65-834F-4DD4-B497-5F7380F45450}</x14:id>
        </ext>
      </extLst>
    </cfRule>
  </conditionalFormatting>
  <conditionalFormatting sqref="AH60:AH60">
    <cfRule priority="1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{C75D764A-5AD7-4ECE-AB2D-8B6681FB64DC}</x14:id>
        </ext>
      </extLst>
    </cfRule>
  </conditionalFormatting>
  <conditionalFormatting sqref="M64:M64">
    <cfRule priority="12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{25138C83-9AA0-45FA-9069-D98BD8A7D1EE}</x14:id>
        </ext>
      </extLst>
    </cfRule>
  </conditionalFormatting>
  <conditionalFormatting sqref="M49:M49">
    <cfRule priority="1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{A384E819-DFD5-4595-AF24-83ECE72D9FD4}</x14:id>
        </ext>
      </extLst>
    </cfRule>
  </conditionalFormatting>
  <conditionalFormatting sqref="BE61:BE61">
    <cfRule priority="1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{81320604-A62D-412A-8E39-E49B84CBAE17}</x14:id>
        </ext>
      </extLst>
    </cfRule>
  </conditionalFormatting>
  <conditionalFormatting sqref="AH62:AH62">
    <cfRule priority="1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{A731AFDA-C3A6-4951-927D-521A49652B6F}</x14:id>
        </ext>
      </extLst>
    </cfRule>
  </conditionalFormatting>
  <conditionalFormatting sqref="BE6:BE6">
    <cfRule priority="1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{A277FE16-664E-4865-A0E2-C38DE20E1BBE}</x14:id>
        </ext>
      </extLst>
    </cfRule>
  </conditionalFormatting>
  <conditionalFormatting sqref="AI59:AI59">
    <cfRule priority="12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{B6421C7C-39F3-4CAC-8F60-FBA0B016DE3A}</x14:id>
        </ext>
      </extLst>
    </cfRule>
  </conditionalFormatting>
  <conditionalFormatting sqref="N75:N92">
    <cfRule priority="13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{32E65C5B-AE92-4DA8-A185-8D65BEBD6EFA}</x14:id>
        </ext>
      </extLst>
    </cfRule>
  </conditionalFormatting>
  <conditionalFormatting sqref="AJ2:AJ2">
    <cfRule priority="13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{21E04580-E54E-4021-9528-A3EAE0AF29F2}</x14:id>
        </ext>
      </extLst>
    </cfRule>
  </conditionalFormatting>
  <conditionalFormatting sqref="BE53:BE53">
    <cfRule priority="13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{0CB7ABC6-80ED-463F-ACF3-1F5DDBE0E806}</x14:id>
        </ext>
      </extLst>
    </cfRule>
  </conditionalFormatting>
  <conditionalFormatting sqref="BD49:BD49">
    <cfRule priority="1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{228F8A99-10BF-4BB4-9E69-BA81B9D34F28}</x14:id>
        </ext>
      </extLst>
    </cfRule>
  </conditionalFormatting>
  <conditionalFormatting sqref="N59:N59">
    <cfRule priority="13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{2295F147-F9B1-430D-8C56-FD6DCCB18B84}</x14:id>
        </ext>
      </extLst>
    </cfRule>
  </conditionalFormatting>
  <conditionalFormatting sqref="AI49:AI49">
    <cfRule priority="13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{8BBFB21C-91EA-4E2B-AC12-388023B85F85}</x14:id>
        </ext>
      </extLst>
    </cfRule>
  </conditionalFormatting>
  <conditionalFormatting sqref="N71:N71">
    <cfRule priority="13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{909EEBD1-B409-4BDD-BA0C-09D95A688662}</x14:id>
        </ext>
      </extLst>
    </cfRule>
  </conditionalFormatting>
  <conditionalFormatting sqref="AI69:AI69">
    <cfRule priority="1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{CFB54303-32C9-42CB-BFCF-3F408815A8D1}</x14:id>
        </ext>
      </extLst>
    </cfRule>
  </conditionalFormatting>
  <conditionalFormatting sqref="AH50:AH50">
    <cfRule priority="13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{EEBED848-75BB-4917-BC76-90E40DA0569E}</x14:id>
        </ext>
      </extLst>
    </cfRule>
  </conditionalFormatting>
  <conditionalFormatting sqref="AH52:AH52">
    <cfRule priority="1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{E0CB5914-ECFF-4D2C-B3E6-C3773EA56433}</x14:id>
        </ext>
      </extLst>
    </cfRule>
  </conditionalFormatting>
  <conditionalFormatting sqref="BD61:BD61">
    <cfRule priority="14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{5359CFDC-3846-4A76-BC6E-47FC53737C9E}</x14:id>
        </ext>
      </extLst>
    </cfRule>
  </conditionalFormatting>
  <conditionalFormatting sqref="BD64:BD64">
    <cfRule priority="14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{0630B2AE-1EE7-4846-8912-8B8275003782}</x14:id>
        </ext>
      </extLst>
    </cfRule>
  </conditionalFormatting>
  <conditionalFormatting sqref="AH66:AH66">
    <cfRule priority="14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{984A7508-43A8-4318-83F4-DFC720B155F7}</x14:id>
        </ext>
      </extLst>
    </cfRule>
  </conditionalFormatting>
  <conditionalFormatting sqref="BE65:BE65">
    <cfRule priority="1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{846C240D-FFD6-469B-8638-418FFCB783DF}</x14:id>
        </ext>
      </extLst>
    </cfRule>
  </conditionalFormatting>
  <conditionalFormatting sqref="AI55:AI55">
    <cfRule priority="14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{45342B04-3F61-4E05-9345-B5CB546B7D2B}</x14:id>
        </ext>
      </extLst>
    </cfRule>
  </conditionalFormatting>
  <conditionalFormatting sqref="AI72:AI72">
    <cfRule priority="1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{E22D7316-8AF5-4F22-9007-1F167A39EB5B}</x14:id>
        </ext>
      </extLst>
    </cfRule>
  </conditionalFormatting>
  <conditionalFormatting sqref="BE62:BE62">
    <cfRule priority="1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{A000F666-2EC9-4769-8F12-470B441C268A}</x14:id>
        </ext>
      </extLst>
    </cfRule>
  </conditionalFormatting>
  <conditionalFormatting sqref="AH75:AH92">
    <cfRule priority="1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{FAAF7E3B-1DBC-49EC-892A-E220D8D4051E}</x14:id>
        </ext>
      </extLst>
    </cfRule>
  </conditionalFormatting>
  <conditionalFormatting sqref="BD12:BD12">
    <cfRule priority="1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{B8CFAB5E-BA3A-45CE-82BE-6D7DFFD4E033}</x14:id>
        </ext>
      </extLst>
    </cfRule>
  </conditionalFormatting>
  <conditionalFormatting sqref="AH63:AH63">
    <cfRule priority="1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{FF719B6B-0817-47F1-8C8E-F5E4C3920018}</x14:id>
        </ext>
      </extLst>
    </cfRule>
  </conditionalFormatting>
  <conditionalFormatting sqref="BE57:BE57">
    <cfRule priority="1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{8082EF63-1A55-415D-AA93-7C55DC2C1D2D}</x14:id>
        </ext>
      </extLst>
    </cfRule>
  </conditionalFormatting>
  <conditionalFormatting sqref="N68:N68">
    <cfRule priority="15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{DB6048AC-FAB0-41CC-AADE-794FE7ADE827}</x14:id>
        </ext>
      </extLst>
    </cfRule>
  </conditionalFormatting>
  <conditionalFormatting sqref="AI48:AI48">
    <cfRule priority="15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{5208C584-E346-4F67-9CB1-490406AA82F0}</x14:id>
        </ext>
      </extLst>
    </cfRule>
  </conditionalFormatting>
  <conditionalFormatting sqref="M54:M54">
    <cfRule priority="15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{228305B2-79A4-40F6-8DDD-3AC73B47B33C}</x14:id>
        </ext>
      </extLst>
    </cfRule>
  </conditionalFormatting>
  <conditionalFormatting sqref="BE49:BE49">
    <cfRule priority="1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{CD1F806D-C6B7-47F1-A871-A78A39B13A3F}</x14:id>
        </ext>
      </extLst>
    </cfRule>
  </conditionalFormatting>
  <conditionalFormatting sqref="AH55:AH55">
    <cfRule priority="15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{D00EC9C7-519D-481C-8B4B-F3CA0EE09083}</x14:id>
        </ext>
      </extLst>
    </cfRule>
  </conditionalFormatting>
  <conditionalFormatting sqref="BE68:BE68">
    <cfRule priority="1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{92CAFBBC-2F31-4FD4-BC19-CB0B3A804A20}</x14:id>
        </ext>
      </extLst>
    </cfRule>
  </conditionalFormatting>
  <conditionalFormatting sqref="AN2:AN2">
    <cfRule priority="157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{EF671F9A-92E8-4C89-90FE-43A34EC2F003}</x14:id>
        </ext>
      </extLst>
    </cfRule>
  </conditionalFormatting>
  <conditionalFormatting sqref="N57:N57">
    <cfRule priority="15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{5FCC5B48-4722-4C2F-939B-F8E116F6C1B3}</x14:id>
        </ext>
      </extLst>
    </cfRule>
  </conditionalFormatting>
  <conditionalFormatting sqref="BD50:BD50">
    <cfRule priority="15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{45834A1F-C5B4-44CB-B403-D153DBDE204D}</x14:id>
        </ext>
      </extLst>
    </cfRule>
  </conditionalFormatting>
  <conditionalFormatting sqref="M68:M68">
    <cfRule priority="1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{5AD9882F-0882-4C1C-B35C-274EE84DB2D1}</x14:id>
        </ext>
      </extLst>
    </cfRule>
  </conditionalFormatting>
  <conditionalFormatting sqref="BD63:BD63">
    <cfRule priority="1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{752A1530-3D41-4649-9454-F1708CB6F747}</x14:id>
        </ext>
      </extLst>
    </cfRule>
  </conditionalFormatting>
  <conditionalFormatting sqref="BE64:BE64">
    <cfRule priority="16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{6954E8C8-C0EC-452E-AA68-C12F90BAEF06}</x14:id>
        </ext>
      </extLst>
    </cfRule>
  </conditionalFormatting>
  <conditionalFormatting sqref="BE71:BE71">
    <cfRule priority="1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{786B5B99-E600-48AA-9F6E-7B15DDDECB02}</x14:id>
        </ext>
      </extLst>
    </cfRule>
  </conditionalFormatting>
  <conditionalFormatting sqref="M62:M62">
    <cfRule priority="1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{D2095E9C-E5EC-42BC-A08F-DFEBBC2FC7B0}</x14:id>
        </ext>
      </extLst>
    </cfRule>
  </conditionalFormatting>
  <conditionalFormatting sqref="AI93:AI162">
    <cfRule priority="1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{A922C5AF-6B47-41F8-A3AA-491B42A9BB45}</x14:id>
        </ext>
      </extLst>
    </cfRule>
  </conditionalFormatting>
  <conditionalFormatting sqref="AI53:AI53">
    <cfRule priority="16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{4292B919-A4C3-47F2-ABD2-B4ECE385BF4B}</x14:id>
        </ext>
      </extLst>
    </cfRule>
  </conditionalFormatting>
  <conditionalFormatting sqref="Q1:Q2 T1:T1">
    <cfRule priority="16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{49AA4DFF-05D3-4C4A-8809-5FF9BAF77DAF}</x14:id>
        </ext>
      </extLst>
    </cfRule>
  </conditionalFormatting>
  <conditionalFormatting sqref="BE59:BE59">
    <cfRule priority="16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{91A8B530-1AD0-4324-AE2D-9690A18BB17E}</x14:id>
        </ext>
      </extLst>
    </cfRule>
  </conditionalFormatting>
  <conditionalFormatting sqref="AI68:AI68">
    <cfRule priority="1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{815E7730-FC37-44EA-9E15-544407B6A067}</x14:id>
        </ext>
      </extLst>
    </cfRule>
  </conditionalFormatting>
  <conditionalFormatting sqref="BD48:BD48">
    <cfRule priority="17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{A71FCAA5-DA32-474D-9913-2192B66349E7}</x14:id>
        </ext>
      </extLst>
    </cfRule>
  </conditionalFormatting>
  <conditionalFormatting sqref="AI71:AI71">
    <cfRule priority="17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{D871F1CD-B82D-4D0B-88FB-9F1EC920403C}</x14:id>
        </ext>
      </extLst>
    </cfRule>
  </conditionalFormatting>
  <conditionalFormatting sqref="AN2:AN2">
    <cfRule priority="1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{0DBF0658-3B72-477D-8269-29FAF5CE8FE5}</x14:id>
        </ext>
      </extLst>
    </cfRule>
  </conditionalFormatting>
  <conditionalFormatting sqref="M73:M73">
    <cfRule priority="1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{68062228-3646-4384-ABE2-1C31B24DAE4F}</x14:id>
        </ext>
      </extLst>
    </cfRule>
  </conditionalFormatting>
  <conditionalFormatting sqref="AH69:AH69">
    <cfRule priority="1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{09E81B9D-A1F3-4DE8-81D5-B43D0D8032CA}</x14:id>
        </ext>
      </extLst>
    </cfRule>
  </conditionalFormatting>
  <conditionalFormatting sqref="AH64:AH64">
    <cfRule priority="17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{19FD4D43-9BF7-4A3E-95FA-22ADA7B89F24}</x14:id>
        </ext>
      </extLst>
    </cfRule>
  </conditionalFormatting>
  <conditionalFormatting sqref="M57:M57">
    <cfRule priority="17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{A4B5680C-0683-4FA7-9DCF-0A435633DBBC}</x14:id>
        </ext>
      </extLst>
    </cfRule>
  </conditionalFormatting>
  <conditionalFormatting sqref="BD55:BD55">
    <cfRule priority="17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{DDECC086-5C78-4440-B5BD-E235B155CCAC}</x14:id>
        </ext>
      </extLst>
    </cfRule>
  </conditionalFormatting>
  <conditionalFormatting sqref="BD6:BD6">
    <cfRule priority="1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{06AB0DB8-F027-49E8-99B3-FB0E6F1749AB}</x14:id>
        </ext>
      </extLst>
    </cfRule>
  </conditionalFormatting>
  <conditionalFormatting sqref="AH67:AH67">
    <cfRule priority="17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{CAB80264-FC3D-4006-883B-4823DC1A215E}</x14:id>
        </ext>
      </extLst>
    </cfRule>
  </conditionalFormatting>
  <conditionalFormatting sqref="AI73:AI73">
    <cfRule priority="18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{F8A87FB5-9F61-4DE4-BDFA-335223A952DC}</x14:id>
        </ext>
      </extLst>
    </cfRule>
  </conditionalFormatting>
  <conditionalFormatting sqref="AH74:AH74">
    <cfRule priority="18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{3F4F8053-33B2-4062-9CF4-790E1ED0BC89}</x14:id>
        </ext>
      </extLst>
    </cfRule>
  </conditionalFormatting>
  <conditionalFormatting sqref="O1:O1">
    <cfRule priority="18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{4685F1D8-4D21-4442-A570-EBAF00C8EBE8}</x14:id>
        </ext>
      </extLst>
    </cfRule>
  </conditionalFormatting>
  <conditionalFormatting sqref="N74:N74">
    <cfRule priority="18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{C656D40A-C72C-4F85-892A-CE6955D902F1}</x14:id>
        </ext>
      </extLst>
    </cfRule>
  </conditionalFormatting>
  <conditionalFormatting sqref="BD13:BD47">
    <cfRule priority="1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{58EAC0DF-77E4-4E17-B787-EDAA83F125EA}</x14:id>
        </ext>
      </extLst>
    </cfRule>
  </conditionalFormatting>
  <conditionalFormatting sqref="AH74:AH74">
    <cfRule priority="18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{86AAF952-3CA6-47B1-A5B6-C18CFE4B5F25}</x14:id>
        </ext>
      </extLst>
    </cfRule>
  </conditionalFormatting>
  <conditionalFormatting sqref="N53:N53">
    <cfRule priority="18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{DEF423DE-5218-4303-997A-B2CABE80608B}</x14:id>
        </ext>
      </extLst>
    </cfRule>
  </conditionalFormatting>
  <conditionalFormatting sqref="BE55:BE55">
    <cfRule priority="18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{573E0A76-5B50-4322-BC39-896951F1782A}</x14:id>
        </ext>
      </extLst>
    </cfRule>
  </conditionalFormatting>
  <conditionalFormatting sqref="BE93:BE162">
    <cfRule priority="18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{BAD59D86-B1D6-436E-96B3-C23450E90590}</x14:id>
        </ext>
      </extLst>
    </cfRule>
  </conditionalFormatting>
  <conditionalFormatting sqref="BD56:BD56">
    <cfRule priority="1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{85DF120A-8BCB-4CB5-928C-B4B4D5E7E290}</x14:id>
        </ext>
      </extLst>
    </cfRule>
  </conditionalFormatting>
  <conditionalFormatting sqref="AI61:AI61">
    <cfRule priority="19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{69F0104A-E5AE-4294-8A5B-DBF9C9783D57}</x14:id>
        </ext>
      </extLst>
    </cfRule>
  </conditionalFormatting>
  <conditionalFormatting sqref="AH73:AH73">
    <cfRule priority="19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{F9888D90-A7A2-4AB0-9CE0-9B3C63507456}</x14:id>
        </ext>
      </extLst>
    </cfRule>
  </conditionalFormatting>
  <conditionalFormatting sqref="AH54:AH54">
    <cfRule priority="19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{F21DFF77-ADF3-4CA9-8E24-D18C33C9042D}</x14:id>
        </ext>
      </extLst>
    </cfRule>
  </conditionalFormatting>
  <conditionalFormatting sqref="M48:M48">
    <cfRule priority="1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{33A398D5-921C-46B7-89CB-B62EA92F5A98}</x14:id>
        </ext>
      </extLst>
    </cfRule>
  </conditionalFormatting>
  <conditionalFormatting sqref="N1:N2 P1:P1">
    <cfRule priority="1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{89F57D43-D44A-4653-8DEB-DC54656C804D}</x14:id>
        </ext>
      </extLst>
    </cfRule>
  </conditionalFormatting>
  <conditionalFormatting sqref="M58:M58">
    <cfRule priority="1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{AFFF91DE-5DCA-45EE-8990-B9BC8F573C97}</x14:id>
        </ext>
      </extLst>
    </cfRule>
  </conditionalFormatting>
  <conditionalFormatting sqref="BE56:BE56">
    <cfRule priority="1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{DDC5E88F-D6CD-4E8C-AA86-FBAA60BA7918}</x14:id>
        </ext>
      </extLst>
    </cfRule>
  </conditionalFormatting>
  <conditionalFormatting sqref="N51:N51">
    <cfRule priority="19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{05AEA3DA-99E9-4634-A0A4-1666C797D055}</x14:id>
        </ext>
      </extLst>
    </cfRule>
  </conditionalFormatting>
  <conditionalFormatting sqref="AN2:AN2">
    <cfRule priority="19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{A14758E7-AABB-475A-9AD4-061CBA35F73F}</x14:id>
        </ext>
      </extLst>
    </cfRule>
  </conditionalFormatting>
  <conditionalFormatting sqref="N55:N55">
    <cfRule priority="19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{6B6D9351-E988-4BA6-95AE-AC988A640FF1}</x14:id>
        </ext>
      </extLst>
    </cfRule>
  </conditionalFormatting>
  <conditionalFormatting sqref="AH61:AH61">
    <cfRule priority="20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{BF9B2699-FF34-4BB2-90C7-1F6B0EBC0160}</x14:id>
        </ext>
      </extLst>
    </cfRule>
  </conditionalFormatting>
  <conditionalFormatting sqref="BE7:BE7">
    <cfRule priority="20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{89265365-401E-494A-A9E0-4F4B5CFE51D3}</x14:id>
        </ext>
      </extLst>
    </cfRule>
  </conditionalFormatting>
  <conditionalFormatting sqref="BE5:BE5">
    <cfRule priority="20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{6E0588D3-F814-4825-8517-4BDBCEF515A4}</x14:id>
        </ext>
      </extLst>
    </cfRule>
  </conditionalFormatting>
  <conditionalFormatting sqref="AH67:AH67">
    <cfRule priority="20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{AD4DAC43-71C8-426D-B8A0-683CF7CD81D0}</x14:id>
        </ext>
      </extLst>
    </cfRule>
  </conditionalFormatting>
  <conditionalFormatting sqref="BD58:BD58">
    <cfRule priority="2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{2718764E-0510-4765-8EF0-2508804328FB}</x14:id>
        </ext>
      </extLst>
    </cfRule>
  </conditionalFormatting>
  <conditionalFormatting sqref="BE9:BE9">
    <cfRule priority="20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{6BB02BFB-73D8-4A72-AE8A-4D21A2CD3D13}</x14:id>
        </ext>
      </extLst>
    </cfRule>
  </conditionalFormatting>
  <conditionalFormatting sqref="AO2:AO2">
    <cfRule priority="206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{575535DB-7C42-4648-A986-98DD7F22B54D}</x14:id>
        </ext>
      </extLst>
    </cfRule>
  </conditionalFormatting>
  <conditionalFormatting sqref="BE58:BE58">
    <cfRule priority="20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{19BA1222-1CFC-4ABA-BF5C-0547043BFAD7}</x14:id>
        </ext>
      </extLst>
    </cfRule>
  </conditionalFormatting>
  <conditionalFormatting sqref="AH53:AH53">
    <cfRule priority="20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{D9D18947-FF28-4C03-A8B3-F8CF4C6E74A7}</x14:id>
        </ext>
      </extLst>
    </cfRule>
  </conditionalFormatting>
  <conditionalFormatting sqref="M93:M162">
    <cfRule priority="20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{FB8168B6-C910-4C02-9C14-1E04CCAEACC7}</x14:id>
        </ext>
      </extLst>
    </cfRule>
  </conditionalFormatting>
  <conditionalFormatting sqref="AH60:AH60">
    <cfRule priority="21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{6CB88F41-AFE0-4756-B515-0B6C7382CFE6}</x14:id>
        </ext>
      </extLst>
    </cfRule>
  </conditionalFormatting>
  <conditionalFormatting sqref="AI65:AI65">
    <cfRule priority="2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{87D67BFA-E119-40E5-A2C4-2BD9C09780FE}</x14:id>
        </ext>
      </extLst>
    </cfRule>
  </conditionalFormatting>
  <conditionalFormatting sqref="AH54:AH54">
    <cfRule priority="2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{9167B80B-0935-4EBD-9D9F-2125065F157D}</x14:id>
        </ext>
      </extLst>
    </cfRule>
  </conditionalFormatting>
  <conditionalFormatting sqref="AO2:AO2">
    <cfRule priority="213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{67046E72-E373-4B22-A0D8-9B53CF338653}</x14:id>
        </ext>
      </extLst>
    </cfRule>
  </conditionalFormatting>
  <conditionalFormatting sqref="M59:M59">
    <cfRule priority="2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{DCC9D31F-C6F1-44E3-AB55-002BA0AE7900}</x14:id>
        </ext>
      </extLst>
    </cfRule>
  </conditionalFormatting>
  <conditionalFormatting sqref="N70:N70">
    <cfRule priority="21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{B5BBB558-3563-4238-A2B0-1FCD4B000F6B}</x14:id>
        </ext>
      </extLst>
    </cfRule>
  </conditionalFormatting>
  <conditionalFormatting sqref="O1:O1">
    <cfRule priority="2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{F264E89C-E124-4643-B98B-6DE32C88E064}</x14:id>
        </ext>
      </extLst>
    </cfRule>
  </conditionalFormatting>
  <conditionalFormatting sqref="AH63:AH63">
    <cfRule priority="2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{4EFC1FB8-9F61-439A-9225-F821F7910B84}</x14:id>
        </ext>
      </extLst>
    </cfRule>
  </conditionalFormatting>
  <conditionalFormatting sqref="M1:M2">
    <cfRule priority="2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{87C512AD-72EF-49A3-8259-C7BE2FB7181F}</x14:id>
        </ext>
      </extLst>
    </cfRule>
  </conditionalFormatting>
  <conditionalFormatting sqref="M61:M61">
    <cfRule priority="2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{7308186E-6D8D-41FC-9CA7-76929D85E18E}</x14:id>
        </ext>
      </extLst>
    </cfRule>
  </conditionalFormatting>
  <conditionalFormatting sqref="N48:N48">
    <cfRule priority="22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{90341A7C-1B82-4D96-BF6E-4B5069F47E57}</x14:id>
        </ext>
      </extLst>
    </cfRule>
  </conditionalFormatting>
  <conditionalFormatting sqref="BE52:BE52">
    <cfRule priority="2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{6A5F887E-F9AC-4FF2-91CB-D6419C633E2C}</x14:id>
        </ext>
      </extLst>
    </cfRule>
  </conditionalFormatting>
  <conditionalFormatting sqref="AI54:AI54">
    <cfRule priority="22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{AF53E5E9-F89E-4633-8D87-C07089155293}</x14:id>
        </ext>
      </extLst>
    </cfRule>
  </conditionalFormatting>
  <conditionalFormatting sqref="AH57:AH57">
    <cfRule priority="2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{D13852DD-9AC5-45F0-BC98-EC2B55B8D39B}</x14:id>
        </ext>
      </extLst>
    </cfRule>
  </conditionalFormatting>
  <conditionalFormatting sqref="BD51:BD51">
    <cfRule priority="2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{25B12B47-B363-45FF-A9D0-3371A0120F99}</x14:id>
        </ext>
      </extLst>
    </cfRule>
  </conditionalFormatting>
  <conditionalFormatting sqref="AH53:AH53">
    <cfRule priority="2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{874F6FD7-CD01-44EB-A4BD-2DA6D3452AFC}</x14:id>
        </ext>
      </extLst>
    </cfRule>
  </conditionalFormatting>
  <conditionalFormatting sqref="BE11:BE11">
    <cfRule priority="2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{6A5BE36C-E62A-4EE3-B895-7445102BE3CA}</x14:id>
        </ext>
      </extLst>
    </cfRule>
  </conditionalFormatting>
  <conditionalFormatting sqref="BE74:BE74">
    <cfRule priority="2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{CF6075AD-366A-442D-8921-483E1225FF79}</x14:id>
        </ext>
      </extLst>
    </cfRule>
  </conditionalFormatting>
  <conditionalFormatting sqref="N60:N60">
    <cfRule priority="22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{9AC88CF5-CBAE-4CDA-A6DD-562EEDB4EB01}</x14:id>
        </ext>
      </extLst>
    </cfRule>
  </conditionalFormatting>
  <conditionalFormatting sqref="AN2:AN2">
    <cfRule priority="2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{7B081F6E-0287-49A1-B596-7C5FD8F4F205}</x14:id>
        </ext>
      </extLst>
    </cfRule>
  </conditionalFormatting>
  <conditionalFormatting sqref="BE70:BE70">
    <cfRule priority="23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{3DBAEBCB-A44A-432F-9293-B81587074212}</x14:id>
        </ext>
      </extLst>
    </cfRule>
  </conditionalFormatting>
  <conditionalFormatting sqref="AH48:AH48">
    <cfRule priority="2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{23131410-167F-4576-B660-EEAAD2E70AF7}</x14:id>
        </ext>
      </extLst>
    </cfRule>
  </conditionalFormatting>
  <conditionalFormatting sqref="N3:N47">
    <cfRule priority="23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{B9D10DD7-062C-4DA3-B72F-23FC237348A5}</x14:id>
        </ext>
      </extLst>
    </cfRule>
  </conditionalFormatting>
  <conditionalFormatting sqref="M63:M63">
    <cfRule priority="23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{B417F091-0623-43DE-A4E8-D00F9C59794A}</x14:id>
        </ext>
      </extLst>
    </cfRule>
  </conditionalFormatting>
  <conditionalFormatting sqref="BD54:BD54">
    <cfRule priority="2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{D1A5CC34-6A16-48BC-93B5-12F7FFFD6D7D}</x14:id>
        </ext>
      </extLst>
    </cfRule>
  </conditionalFormatting>
  <conditionalFormatting sqref="N56:N56">
    <cfRule priority="23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{B1604C34-C46E-47E0-BCE7-34F88721F946}</x14:id>
        </ext>
      </extLst>
    </cfRule>
  </conditionalFormatting>
  <conditionalFormatting sqref="BD73:BD73">
    <cfRule priority="23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{7A127312-DBF8-4611-9D4F-49ED4108C13F}</x14:id>
        </ext>
      </extLst>
    </cfRule>
  </conditionalFormatting>
  <conditionalFormatting sqref="AH51:AH51">
    <cfRule priority="23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{74C98545-C07A-4A17-BB5C-D5A78244F476}</x14:id>
        </ext>
      </extLst>
    </cfRule>
  </conditionalFormatting>
  <conditionalFormatting sqref="BE3:BE3">
    <cfRule priority="23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{3BC6DACE-E7D6-4C79-B681-56D29765978E}</x14:id>
        </ext>
      </extLst>
    </cfRule>
  </conditionalFormatting>
  <conditionalFormatting sqref="AH3:AH47">
    <cfRule priority="2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{C0DFD52A-363F-43D5-B516-6632EF75DECC}</x14:id>
        </ext>
      </extLst>
    </cfRule>
  </conditionalFormatting>
  <conditionalFormatting sqref="N67:N67">
    <cfRule priority="24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{CA899F6B-CC99-41BB-93F7-49338B6AE571}</x14:id>
        </ext>
      </extLst>
    </cfRule>
  </conditionalFormatting>
  <conditionalFormatting sqref="AI50:AI50">
    <cfRule priority="2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{95B1A17A-9A36-4E09-B9D1-2135E9E59EAF}</x14:id>
        </ext>
      </extLst>
    </cfRule>
  </conditionalFormatting>
  <conditionalFormatting sqref="AI56:AI56">
    <cfRule priority="2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{14B75313-20B8-4153-AE89-02C8102629F8}</x14:id>
        </ext>
      </extLst>
    </cfRule>
  </conditionalFormatting>
  <conditionalFormatting sqref="BE8:BE8">
    <cfRule priority="2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{68E6D456-2A3E-4C13-81A3-FDD09FBACA9D}</x14:id>
        </ext>
      </extLst>
    </cfRule>
  </conditionalFormatting>
  <conditionalFormatting sqref="BD7:BD7">
    <cfRule priority="2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{D3544BCC-5D28-4020-91E6-6B1BF93B3015}</x14:id>
        </ext>
      </extLst>
    </cfRule>
  </conditionalFormatting>
  <conditionalFormatting sqref="M75:M92">
    <cfRule priority="2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{6B856A42-8911-425F-A04A-40549C45B9A9}</x14:id>
        </ext>
      </extLst>
    </cfRule>
  </conditionalFormatting>
  <conditionalFormatting sqref="BE1:BE162">
    <cfRule priority="2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{7318041A-D9AE-4823-AE30-7CFFA936F1FB}</x14:id>
        </ext>
      </extLst>
    </cfRule>
  </conditionalFormatting>
  <conditionalFormatting sqref="AI57:AI57">
    <cfRule priority="24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{3998F12B-1A1A-4A60-818A-A52FEDC591F6}</x14:id>
        </ext>
      </extLst>
    </cfRule>
  </conditionalFormatting>
  <conditionalFormatting sqref="BD5:BD5">
    <cfRule priority="2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{C8C53544-94FE-45F2-B9CB-56E8C20CDF54}</x14:id>
        </ext>
      </extLst>
    </cfRule>
  </conditionalFormatting>
  <conditionalFormatting sqref="AN2:AN2">
    <cfRule priority="2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{894CA4D3-5211-4878-B178-15B7FAA16DF1}</x14:id>
        </ext>
      </extLst>
    </cfRule>
  </conditionalFormatting>
  <conditionalFormatting sqref="AH93:AH162">
    <cfRule priority="2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{D69FDCCA-3B27-4905-9980-A2B8BF7FB457}</x14:id>
        </ext>
      </extLst>
    </cfRule>
  </conditionalFormatting>
  <conditionalFormatting sqref="BE67:BE67">
    <cfRule priority="25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{6F1ACDC6-741B-4BB1-9433-5BB7FF2656C9}</x14:id>
        </ext>
      </extLst>
    </cfRule>
  </conditionalFormatting>
  <conditionalFormatting sqref="BD74:BD74">
    <cfRule priority="2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{596FFD1A-F022-4DF8-AF28-5A6DDE635BD7}</x14:id>
        </ext>
      </extLst>
    </cfRule>
  </conditionalFormatting>
  <conditionalFormatting sqref="AI63:AI63">
    <cfRule priority="25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{BA7AEE55-BB84-4DD0-934A-BE6453DDD18D}</x14:id>
        </ext>
      </extLst>
    </cfRule>
  </conditionalFormatting>
  <conditionalFormatting sqref="M66:M66">
    <cfRule priority="2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{4A3EDEAB-2A1D-40B9-B954-897FD55DA3C6}</x14:id>
        </ext>
      </extLst>
    </cfRule>
  </conditionalFormatting>
  <conditionalFormatting sqref="AH59:AH59">
    <cfRule priority="25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{DD2A4DD4-0155-4549-A984-06FAB873CC80}</x14:id>
        </ext>
      </extLst>
    </cfRule>
  </conditionalFormatting>
  <conditionalFormatting sqref="AH52:AH52">
    <cfRule priority="25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{B58D13BE-5356-4D31-BFC0-65FB168F2078}</x14:id>
        </ext>
      </extLst>
    </cfRule>
  </conditionalFormatting>
  <conditionalFormatting sqref="AH69:AH69">
    <cfRule priority="2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{8D3CDBE5-B12A-499A-B329-E6C86535B7C3}</x14:id>
        </ext>
      </extLst>
    </cfRule>
  </conditionalFormatting>
  <conditionalFormatting sqref="BD71:BD71">
    <cfRule priority="25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{E6AC14B2-C2F6-4411-B382-90F6D055E77E}</x14:id>
        </ext>
      </extLst>
    </cfRule>
  </conditionalFormatting>
  <conditionalFormatting sqref="N49:N49">
    <cfRule priority="25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{582F7313-9235-4032-83EB-40A9BE4C3DBB}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FA840-20F3-45C2-8A93-5BC5B34C063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R1:R1</xm:sqref>
        </x14:conditionalFormatting>
        <x14:conditionalFormatting xmlns:xm="http://schemas.microsoft.com/office/excel/2006/main">
          <x14:cfRule type="dataBar" id="{283A7C34-F652-4D5D-880E-3DE817FD86D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R1:R1</xm:sqref>
        </x14:conditionalFormatting>
        <x14:conditionalFormatting xmlns:xm="http://schemas.microsoft.com/office/excel/2006/main">
          <x14:cfRule type="dataBar" id="{22A2E605-B75E-4AAD-B5C7-4FF2DB403DA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S1:S1</xm:sqref>
        </x14:conditionalFormatting>
        <x14:conditionalFormatting xmlns:xm="http://schemas.microsoft.com/office/excel/2006/main">
          <x14:cfRule type="dataBar" id="{0C993309-1D73-4ED0-B1C0-AEDDFF1962B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S1:S1</xm:sqref>
        </x14:conditionalFormatting>
        <x14:conditionalFormatting xmlns:xm="http://schemas.microsoft.com/office/excel/2006/main">
          <x14:cfRule type="dataBar" id="{44DF9AE7-4141-4EDE-A8EB-8025FFBECA0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M50:M50</xm:sqref>
        </x14:conditionalFormatting>
        <x14:conditionalFormatting xmlns:xm="http://schemas.microsoft.com/office/excel/2006/main">
          <x14:cfRule type="dataBar" id="{83C1B459-0603-4D5E-A442-2F64E94C37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BE60:BE60</xm:sqref>
        </x14:conditionalFormatting>
        <x14:conditionalFormatting xmlns:xm="http://schemas.microsoft.com/office/excel/2006/main">
          <x14:cfRule type="dataBar" id="{C008DBB6-22B6-4470-AAC8-09CE8FCCB4F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AH55:AH55</xm:sqref>
        </x14:conditionalFormatting>
        <x14:conditionalFormatting xmlns:xm="http://schemas.microsoft.com/office/excel/2006/main">
          <x14:cfRule type="dataBar" id="{E711176E-BB0A-4146-8CC7-F1B451AE3C3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BD72:BD72</xm:sqref>
        </x14:conditionalFormatting>
        <x14:conditionalFormatting xmlns:xm="http://schemas.microsoft.com/office/excel/2006/main">
          <x14:cfRule type="dataBar" id="{109D9E99-F588-4F8E-9679-E69AD99D9BB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M74:M74</xm:sqref>
        </x14:conditionalFormatting>
        <x14:conditionalFormatting xmlns:xm="http://schemas.microsoft.com/office/excel/2006/main">
          <x14:cfRule type="dataBar" id="{1BDED361-D2B5-4271-A1DA-91345A6C216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M52:M52</xm:sqref>
        </x14:conditionalFormatting>
        <x14:conditionalFormatting xmlns:xm="http://schemas.microsoft.com/office/excel/2006/main">
          <x14:cfRule type="dataBar" id="{080F4932-B9B1-48EF-9761-380A55A5717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N52:N52</xm:sqref>
        </x14:conditionalFormatting>
        <x14:conditionalFormatting xmlns:xm="http://schemas.microsoft.com/office/excel/2006/main">
          <x14:cfRule type="dataBar" id="{40CC53E5-40AD-46D7-B103-36740B6F140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BE69:BE69</xm:sqref>
        </x14:conditionalFormatting>
        <x14:conditionalFormatting xmlns:xm="http://schemas.microsoft.com/office/excel/2006/main">
          <x14:cfRule type="dataBar" id="{FD478501-DC01-4218-AF63-BA02E0A841B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N72:N72</xm:sqref>
        </x14:conditionalFormatting>
        <x14:conditionalFormatting xmlns:xm="http://schemas.microsoft.com/office/excel/2006/main">
          <x14:cfRule type="dataBar" id="{F32961D6-5401-464B-BED4-09D686E8D9D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BE63:BE63</xm:sqref>
        </x14:conditionalFormatting>
        <x14:conditionalFormatting xmlns:xm="http://schemas.microsoft.com/office/excel/2006/main">
          <x14:cfRule type="dataBar" id="{74CACED2-3974-4848-A5D5-3E5412AA130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AH56:AH56</xm:sqref>
        </x14:conditionalFormatting>
        <x14:conditionalFormatting xmlns:xm="http://schemas.microsoft.com/office/excel/2006/main">
          <x14:cfRule type="dataBar" id="{F8EC4308-674C-4A7D-95BE-65C989F9592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AI2:AI2</xm:sqref>
        </x14:conditionalFormatting>
        <x14:conditionalFormatting xmlns:xm="http://schemas.microsoft.com/office/excel/2006/main">
          <x14:cfRule type="dataBar" id="{0B17791E-03ED-4408-955D-79CB01D51DF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M60:M60</xm:sqref>
        </x14:conditionalFormatting>
        <x14:conditionalFormatting xmlns:xm="http://schemas.microsoft.com/office/excel/2006/main">
          <x14:cfRule type="dataBar" id="{7084F994-DD2E-4225-9735-DA5584474D8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M67:M67</xm:sqref>
        </x14:conditionalFormatting>
        <x14:conditionalFormatting xmlns:xm="http://schemas.microsoft.com/office/excel/2006/main">
          <x14:cfRule type="dataBar" id="{3286A04A-AC65-4B9C-B038-0C3EC7BCC80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AH66:AH66</xm:sqref>
        </x14:conditionalFormatting>
        <x14:conditionalFormatting xmlns:xm="http://schemas.microsoft.com/office/excel/2006/main">
          <x14:cfRule type="dataBar" id="{A9BE8D1B-4549-4ABE-AF8B-8E68B902E6A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BE51:BE51</xm:sqref>
        </x14:conditionalFormatting>
        <x14:conditionalFormatting xmlns:xm="http://schemas.microsoft.com/office/excel/2006/main">
          <x14:cfRule type="dataBar" id="{284A0AE2-C29E-41E9-8221-F2E1F9403E0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AH73:AH73</xm:sqref>
        </x14:conditionalFormatting>
        <x14:conditionalFormatting xmlns:xm="http://schemas.microsoft.com/office/excel/2006/main">
          <x14:cfRule type="dataBar" id="{F6B66249-CCD2-47E9-90EE-906E73A0EEA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AH70:AH70</xm:sqref>
        </x14:conditionalFormatting>
        <x14:conditionalFormatting xmlns:xm="http://schemas.microsoft.com/office/excel/2006/main">
          <x14:cfRule type="dataBar" id="{B9DD889F-D5D9-494B-B43A-1899DCE5A4A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BD59:BD59</xm:sqref>
        </x14:conditionalFormatting>
        <x14:conditionalFormatting xmlns:xm="http://schemas.microsoft.com/office/excel/2006/main">
          <x14:cfRule type="dataBar" id="{24C30882-9FF6-42CF-97F3-A7A6B452C1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BD60:BD60</xm:sqref>
        </x14:conditionalFormatting>
        <x14:conditionalFormatting xmlns:xm="http://schemas.microsoft.com/office/excel/2006/main">
          <x14:cfRule type="dataBar" id="{DF9D2DC0-986C-4995-A764-CDE9AA2AD65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AH61:AH61</xm:sqref>
        </x14:conditionalFormatting>
        <x14:conditionalFormatting xmlns:xm="http://schemas.microsoft.com/office/excel/2006/main">
          <x14:cfRule type="dataBar" id="{649FD2FB-A114-4B4B-A088-DA40C8DDD93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N93:N162</xm:sqref>
        </x14:conditionalFormatting>
        <x14:conditionalFormatting xmlns:xm="http://schemas.microsoft.com/office/excel/2006/main">
          <x14:cfRule type="dataBar" id="{15616541-7761-4238-84AA-7C36D16467D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AI62:AI62</xm:sqref>
        </x14:conditionalFormatting>
        <x14:conditionalFormatting xmlns:xm="http://schemas.microsoft.com/office/excel/2006/main">
          <x14:cfRule type="dataBar" id="{DBF9375A-3385-4475-89ED-FAA96DFFF68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M3:M47</xm:sqref>
        </x14:conditionalFormatting>
        <x14:conditionalFormatting xmlns:xm="http://schemas.microsoft.com/office/excel/2006/main">
          <x14:cfRule type="dataBar" id="{B2BF2981-F71F-4C3A-9E51-BF41E18A5A5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B935C479-B15E-4BD4-B720-FE86D7174BE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BD93:BD162</xm:sqref>
        </x14:conditionalFormatting>
        <x14:conditionalFormatting xmlns:xm="http://schemas.microsoft.com/office/excel/2006/main">
          <x14:cfRule type="dataBar" id="{9A8714B4-3203-4CAB-A79F-B06C9B243BB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AH56:AH56</xm:sqref>
        </x14:conditionalFormatting>
        <x14:conditionalFormatting xmlns:xm="http://schemas.microsoft.com/office/excel/2006/main">
          <x14:cfRule type="dataBar" id="{67FD85C1-5344-46A7-9951-D245A2FFF43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AH71:AH71</xm:sqref>
        </x14:conditionalFormatting>
        <x14:conditionalFormatting xmlns:xm="http://schemas.microsoft.com/office/excel/2006/main">
          <x14:cfRule type="dataBar" id="{72A9307B-EF8E-4E3A-AD44-5981E8353B6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BD75:BD92</xm:sqref>
        </x14:conditionalFormatting>
        <x14:conditionalFormatting xmlns:xm="http://schemas.microsoft.com/office/excel/2006/main">
          <x14:cfRule type="dataBar" id="{4087B5A4-FD94-436E-8137-39424177B73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BE13:BE47</xm:sqref>
        </x14:conditionalFormatting>
        <x14:conditionalFormatting xmlns:xm="http://schemas.microsoft.com/office/excel/2006/main">
          <x14:cfRule type="dataBar" id="{09F8E69D-1F53-419D-B569-083E237FD4D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N50:N50</xm:sqref>
        </x14:conditionalFormatting>
        <x14:conditionalFormatting xmlns:xm="http://schemas.microsoft.com/office/excel/2006/main">
          <x14:cfRule type="dataBar" id="{C6FC136F-68F5-4853-A0F1-A4C2B5CD843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AH65:AH65</xm:sqref>
        </x14:conditionalFormatting>
        <x14:conditionalFormatting xmlns:xm="http://schemas.microsoft.com/office/excel/2006/main">
          <x14:cfRule type="dataBar" id="{AC0E5639-50A9-42A7-9925-B03F6397855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AH59:AH59</xm:sqref>
        </x14:conditionalFormatting>
        <x14:conditionalFormatting xmlns:xm="http://schemas.microsoft.com/office/excel/2006/main">
          <x14:cfRule type="dataBar" id="{BBFCD55C-482C-4722-A4DE-A3F81F20289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N64:N64</xm:sqref>
        </x14:conditionalFormatting>
        <x14:conditionalFormatting xmlns:xm="http://schemas.microsoft.com/office/excel/2006/main">
          <x14:cfRule type="dataBar" id="{11CCE602-5256-4D44-A01C-81F20F14877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AH64:AH64</xm:sqref>
        </x14:conditionalFormatting>
        <x14:conditionalFormatting xmlns:xm="http://schemas.microsoft.com/office/excel/2006/main">
          <x14:cfRule type="dataBar" id="{709CD18A-2A9B-484A-A07B-4368361D077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BE73:BE73</xm:sqref>
        </x14:conditionalFormatting>
        <x14:conditionalFormatting xmlns:xm="http://schemas.microsoft.com/office/excel/2006/main">
          <x14:cfRule type="dataBar" id="{3B25F21C-EA75-46E2-87E7-0345B69A5C0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BE48:BE48</xm:sqref>
        </x14:conditionalFormatting>
        <x14:conditionalFormatting xmlns:xm="http://schemas.microsoft.com/office/excel/2006/main">
          <x14:cfRule type="dataBar" id="{CD12B2ED-7D85-47C7-A667-552387CFCBA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BD70:BD70</xm:sqref>
        </x14:conditionalFormatting>
        <x14:conditionalFormatting xmlns:xm="http://schemas.microsoft.com/office/excel/2006/main">
          <x14:cfRule type="dataBar" id="{14663926-4BFC-497E-8932-311FD7C9938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BD8:BD8</xm:sqref>
        </x14:conditionalFormatting>
        <x14:conditionalFormatting xmlns:xm="http://schemas.microsoft.com/office/excel/2006/main">
          <x14:cfRule type="dataBar" id="{0F2DA427-CB02-4323-855D-C0DA78D4FD9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BD67:BD67</xm:sqref>
        </x14:conditionalFormatting>
        <x14:conditionalFormatting xmlns:xm="http://schemas.microsoft.com/office/excel/2006/main">
          <x14:cfRule type="dataBar" id="{E8DD7BBB-F8EE-46E0-A1BE-769636D33E5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AH58:AH58</xm:sqref>
        </x14:conditionalFormatting>
        <x14:conditionalFormatting xmlns:xm="http://schemas.microsoft.com/office/excel/2006/main">
          <x14:cfRule type="dataBar" id="{E9C9FBA5-EA3F-493B-AC54-065755A2612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N54:N54</xm:sqref>
        </x14:conditionalFormatting>
        <x14:conditionalFormatting xmlns:xm="http://schemas.microsoft.com/office/excel/2006/main">
          <x14:cfRule type="dataBar" id="{6BE18ADB-BFA4-41A8-B2DE-39B461B3E8A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N66:N66</xm:sqref>
        </x14:conditionalFormatting>
        <x14:conditionalFormatting xmlns:xm="http://schemas.microsoft.com/office/excel/2006/main">
          <x14:cfRule type="dataBar" id="{14DB0F69-654B-48E1-A078-4A1FAB7EEE4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E2C6AF6B-DDCC-4A11-93DF-6B2B45CC0D2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BE12:BE12</xm:sqref>
        </x14:conditionalFormatting>
        <x14:conditionalFormatting xmlns:xm="http://schemas.microsoft.com/office/excel/2006/main">
          <x14:cfRule type="dataBar" id="{4A5BF2EC-B796-4923-9227-DF3A7EE1014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BD66:BD66</xm:sqref>
        </x14:conditionalFormatting>
        <x14:conditionalFormatting xmlns:xm="http://schemas.microsoft.com/office/excel/2006/main">
          <x14:cfRule type="dataBar" id="{4D0E3D29-657D-444D-B8CB-7C1565D6F99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AH71:AH71</xm:sqref>
        </x14:conditionalFormatting>
        <x14:conditionalFormatting xmlns:xm="http://schemas.microsoft.com/office/excel/2006/main">
          <x14:cfRule type="dataBar" id="{39A70755-BEC7-47AE-8789-1572BA4A005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BD1:BD162</xm:sqref>
        </x14:conditionalFormatting>
        <x14:conditionalFormatting xmlns:xm="http://schemas.microsoft.com/office/excel/2006/main">
          <x14:cfRule type="dataBar" id="{2D29CBFC-006A-4B63-87CB-D2E3BCA34E9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AH72:AH72</xm:sqref>
        </x14:conditionalFormatting>
        <x14:conditionalFormatting xmlns:xm="http://schemas.microsoft.com/office/excel/2006/main">
          <x14:cfRule type="dataBar" id="{0DEBA6B7-268A-418D-91F5-EA43E4EDBE3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M65:M65</xm:sqref>
        </x14:conditionalFormatting>
        <x14:conditionalFormatting xmlns:xm="http://schemas.microsoft.com/office/excel/2006/main">
          <x14:cfRule type="dataBar" id="{C6BDA52C-2944-4DB2-81FC-80804451F09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BD57:BD57</xm:sqref>
        </x14:conditionalFormatting>
        <x14:conditionalFormatting xmlns:xm="http://schemas.microsoft.com/office/excel/2006/main">
          <x14:cfRule type="dataBar" id="{432F0639-7663-4C36-AA1E-E1517A8DCD0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60FD8C4D-E874-4203-9781-2EBD6A72B9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AI70:AI70</xm:sqref>
        </x14:conditionalFormatting>
        <x14:conditionalFormatting xmlns:xm="http://schemas.microsoft.com/office/excel/2006/main">
          <x14:cfRule type="dataBar" id="{635FA3CD-501F-4993-8206-7E202D0AE89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AH48:AH48</xm:sqref>
        </x14:conditionalFormatting>
        <x14:conditionalFormatting xmlns:xm="http://schemas.microsoft.com/office/excel/2006/main">
          <x14:cfRule type="dataBar" id="{10B024C1-EBDE-40C0-BC60-435FC52E065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AI64:AI64</xm:sqref>
        </x14:conditionalFormatting>
        <x14:conditionalFormatting xmlns:xm="http://schemas.microsoft.com/office/excel/2006/main">
          <x14:cfRule type="dataBar" id="{43F46C22-2917-4E09-AFA5-1B8831AA427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BE66:BE66</xm:sqref>
        </x14:conditionalFormatting>
        <x14:conditionalFormatting xmlns:xm="http://schemas.microsoft.com/office/excel/2006/main">
          <x14:cfRule type="dataBar" id="{E4272018-C592-48C3-B621-DB973BFABD3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AH57:AH57</xm:sqref>
        </x14:conditionalFormatting>
        <x14:conditionalFormatting xmlns:xm="http://schemas.microsoft.com/office/excel/2006/main">
          <x14:cfRule type="dataBar" id="{0644AE81-394E-4259-9178-3B2059F9481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BD69:BD69</xm:sqref>
        </x14:conditionalFormatting>
        <x14:conditionalFormatting xmlns:xm="http://schemas.microsoft.com/office/excel/2006/main">
          <x14:cfRule type="dataBar" id="{211D17D0-7115-4090-BB2C-2F544CE32B0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AI60:AI60</xm:sqref>
        </x14:conditionalFormatting>
        <x14:conditionalFormatting xmlns:xm="http://schemas.microsoft.com/office/excel/2006/main">
          <x14:cfRule type="dataBar" id="{A5BE111B-B6F0-4A0A-8B6A-BD45461ED4E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M55:M55</xm:sqref>
        </x14:conditionalFormatting>
        <x14:conditionalFormatting xmlns:xm="http://schemas.microsoft.com/office/excel/2006/main">
          <x14:cfRule type="dataBar" id="{20371781-70F2-42B6-ABB9-804DBF76E59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N61:N61</xm:sqref>
        </x14:conditionalFormatting>
        <x14:conditionalFormatting xmlns:xm="http://schemas.microsoft.com/office/excel/2006/main">
          <x14:cfRule type="dataBar" id="{589C0BFB-086A-4E61-8E60-CE33705882F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M71:M71</xm:sqref>
        </x14:conditionalFormatting>
        <x14:conditionalFormatting xmlns:xm="http://schemas.microsoft.com/office/excel/2006/main">
          <x14:cfRule type="dataBar" id="{30CAA03F-21B8-4564-89AF-30503EAF056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AH50:AH50</xm:sqref>
        </x14:conditionalFormatting>
        <x14:conditionalFormatting xmlns:xm="http://schemas.microsoft.com/office/excel/2006/main">
          <x14:cfRule type="dataBar" id="{9FFCD7EB-DE27-489B-B74B-D2F23DC220B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BD65:BD65</xm:sqref>
        </x14:conditionalFormatting>
        <x14:conditionalFormatting xmlns:xm="http://schemas.microsoft.com/office/excel/2006/main">
          <x14:cfRule type="dataBar" id="{DBC14B33-0E26-49A9-98CA-5454DE8ADDD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BD53:BD53</xm:sqref>
        </x14:conditionalFormatting>
        <x14:conditionalFormatting xmlns:xm="http://schemas.microsoft.com/office/excel/2006/main">
          <x14:cfRule type="dataBar" id="{9D78447A-D028-46D8-802C-FC4A3114245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BE4:BE4</xm:sqref>
        </x14:conditionalFormatting>
        <x14:conditionalFormatting xmlns:xm="http://schemas.microsoft.com/office/excel/2006/main">
          <x14:cfRule type="dataBar" id="{A2316142-37A3-4DEF-9012-F34AFDB330F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AH62:AH62</xm:sqref>
        </x14:conditionalFormatting>
        <x14:conditionalFormatting xmlns:xm="http://schemas.microsoft.com/office/excel/2006/main">
          <x14:cfRule type="dataBar" id="{E73B8763-0C58-4846-975F-90999BC858A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AH93:AH162</xm:sqref>
        </x14:conditionalFormatting>
        <x14:conditionalFormatting xmlns:xm="http://schemas.microsoft.com/office/excel/2006/main">
          <x14:cfRule type="dataBar" id="{618429A9-FB99-40FB-A730-CA88BF11AF5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BD10:BD10</xm:sqref>
        </x14:conditionalFormatting>
        <x14:conditionalFormatting xmlns:xm="http://schemas.microsoft.com/office/excel/2006/main">
          <x14:cfRule type="dataBar" id="{7A88F7C8-843E-4C6C-96B0-44B286844E7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M72:M72</xm:sqref>
        </x14:conditionalFormatting>
        <x14:conditionalFormatting xmlns:xm="http://schemas.microsoft.com/office/excel/2006/main">
          <x14:cfRule type="dataBar" id="{34610420-148B-477F-BD90-73B40A2A4F4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AI52:AI52</xm:sqref>
        </x14:conditionalFormatting>
        <x14:conditionalFormatting xmlns:xm="http://schemas.microsoft.com/office/excel/2006/main">
          <x14:cfRule type="dataBar" id="{F0900E95-0E0A-407D-B8E2-C820C88C201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N1:N2</xm:sqref>
        </x14:conditionalFormatting>
        <x14:conditionalFormatting xmlns:xm="http://schemas.microsoft.com/office/excel/2006/main">
          <x14:cfRule type="dataBar" id="{AF739BFD-829F-4DED-A12F-42D91A02CDC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N63:N63</xm:sqref>
        </x14:conditionalFormatting>
        <x14:conditionalFormatting xmlns:xm="http://schemas.microsoft.com/office/excel/2006/main">
          <x14:cfRule type="dataBar" id="{1A29D146-FB08-4985-8055-0D49436DFBC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AI75:AI92</xm:sqref>
        </x14:conditionalFormatting>
        <x14:conditionalFormatting xmlns:xm="http://schemas.microsoft.com/office/excel/2006/main">
          <x14:cfRule type="dataBar" id="{109767ED-4742-4F72-BBA0-E7440519E13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BD3:BD3</xm:sqref>
        </x14:conditionalFormatting>
        <x14:conditionalFormatting xmlns:xm="http://schemas.microsoft.com/office/excel/2006/main">
          <x14:cfRule type="dataBar" id="{764F7248-33B6-42C0-81C2-D30D752AE0A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AH49:AH49</xm:sqref>
        </x14:conditionalFormatting>
        <x14:conditionalFormatting xmlns:xm="http://schemas.microsoft.com/office/excel/2006/main">
          <x14:cfRule type="dataBar" id="{2783CD3C-90C3-484C-838C-64126FEB93E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AI74:AI74</xm:sqref>
        </x14:conditionalFormatting>
        <x14:conditionalFormatting xmlns:xm="http://schemas.microsoft.com/office/excel/2006/main">
          <x14:cfRule type="dataBar" id="{E7C9F389-3055-429C-94B4-A2CA9568CFB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AH65:AH65</xm:sqref>
        </x14:conditionalFormatting>
        <x14:conditionalFormatting xmlns:xm="http://schemas.microsoft.com/office/excel/2006/main">
          <x14:cfRule type="dataBar" id="{32228E91-4B5B-4BD6-8DD2-6BD42681CE6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AH70:AH70</xm:sqref>
        </x14:conditionalFormatting>
        <x14:conditionalFormatting xmlns:xm="http://schemas.microsoft.com/office/excel/2006/main">
          <x14:cfRule type="dataBar" id="{02431BC7-7950-4B49-9479-5DCDA3ECD5E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AH49:AH49</xm:sqref>
        </x14:conditionalFormatting>
        <x14:conditionalFormatting xmlns:xm="http://schemas.microsoft.com/office/excel/2006/main">
          <x14:cfRule type="dataBar" id="{8753CD40-D680-461C-ADF1-E5E9877A89A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AH3:AH47</xm:sqref>
        </x14:conditionalFormatting>
        <x14:conditionalFormatting xmlns:xm="http://schemas.microsoft.com/office/excel/2006/main">
          <x14:cfRule type="dataBar" id="{6B3F686A-DF9F-4426-BEDB-1950599401B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AH51:AH51</xm:sqref>
        </x14:conditionalFormatting>
        <x14:conditionalFormatting xmlns:xm="http://schemas.microsoft.com/office/excel/2006/main">
          <x14:cfRule type="dataBar" id="{AEDFFF07-19F9-41C0-9744-5CF234AB423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AH58:AH58</xm:sqref>
        </x14:conditionalFormatting>
        <x14:conditionalFormatting xmlns:xm="http://schemas.microsoft.com/office/excel/2006/main">
          <x14:cfRule type="dataBar" id="{BA966F7B-C925-4E5A-B496-5315E9FF6BC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BE72:BE72</xm:sqref>
        </x14:conditionalFormatting>
        <x14:conditionalFormatting xmlns:xm="http://schemas.microsoft.com/office/excel/2006/main">
          <x14:cfRule type="dataBar" id="{5122A596-4CB4-47D2-BF74-986E19DDBB9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AI66:AI66</xm:sqref>
        </x14:conditionalFormatting>
        <x14:conditionalFormatting xmlns:xm="http://schemas.microsoft.com/office/excel/2006/main">
          <x14:cfRule type="dataBar" id="{C8F9CB32-44BF-4F79-80E6-D2A5C8599AC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AH68:AH68</xm:sqref>
        </x14:conditionalFormatting>
        <x14:conditionalFormatting xmlns:xm="http://schemas.microsoft.com/office/excel/2006/main">
          <x14:cfRule type="dataBar" id="{901891CE-3D2C-4EB7-BD6D-1BC19C642E0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BD9:BD9</xm:sqref>
        </x14:conditionalFormatting>
        <x14:conditionalFormatting xmlns:xm="http://schemas.microsoft.com/office/excel/2006/main">
          <x14:cfRule type="dataBar" id="{CEEA5D96-2280-4D88-A737-4B48F9051A1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BD52:BD52</xm:sqref>
        </x14:conditionalFormatting>
        <x14:conditionalFormatting xmlns:xm="http://schemas.microsoft.com/office/excel/2006/main">
          <x14:cfRule type="dataBar" id="{98FDFD1A-FE77-4A7C-947A-F8E999AD495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M69:M69</xm:sqref>
        </x14:conditionalFormatting>
        <x14:conditionalFormatting xmlns:xm="http://schemas.microsoft.com/office/excel/2006/main">
          <x14:cfRule type="dataBar" id="{57192B70-BC09-4F03-B8C2-9FEED743934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BE75:BE92</xm:sqref>
        </x14:conditionalFormatting>
        <x14:conditionalFormatting xmlns:xm="http://schemas.microsoft.com/office/excel/2006/main">
          <x14:cfRule type="dataBar" id="{E149AFB3-E0CC-456A-B069-554BAB1BA90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BD11:BD11</xm:sqref>
        </x14:conditionalFormatting>
        <x14:conditionalFormatting xmlns:xm="http://schemas.microsoft.com/office/excel/2006/main">
          <x14:cfRule type="dataBar" id="{87190A53-2D78-4141-ABD5-CB2806D9E7A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N62:N62</xm:sqref>
        </x14:conditionalFormatting>
        <x14:conditionalFormatting xmlns:xm="http://schemas.microsoft.com/office/excel/2006/main">
          <x14:cfRule type="dataBar" id="{72DD463A-8A1A-4411-8F6D-BEA20A1463B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BD68:BD68</xm:sqref>
        </x14:conditionalFormatting>
        <x14:conditionalFormatting xmlns:xm="http://schemas.microsoft.com/office/excel/2006/main">
          <x14:cfRule type="dataBar" id="{2A6C879A-5F5C-4637-B5AE-ECC45C00A11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BE54:BE54</xm:sqref>
        </x14:conditionalFormatting>
        <x14:conditionalFormatting xmlns:xm="http://schemas.microsoft.com/office/excel/2006/main">
          <x14:cfRule type="dataBar" id="{077BB7ED-527C-4E15-A4A6-521B762A528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B7B4E3CC-0603-4452-B4A0-F4BD9FA6248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AI3:AI47</xm:sqref>
        </x14:conditionalFormatting>
        <x14:conditionalFormatting xmlns:xm="http://schemas.microsoft.com/office/excel/2006/main">
          <x14:cfRule type="dataBar" id="{654D2EAA-8211-44AE-9D35-DA230CCE51F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N73:N73</xm:sqref>
        </x14:conditionalFormatting>
        <x14:conditionalFormatting xmlns:xm="http://schemas.microsoft.com/office/excel/2006/main">
          <x14:cfRule type="dataBar" id="{12A188C9-799A-4E37-8255-8F5B5AD9025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AH72:AH72</xm:sqref>
        </x14:conditionalFormatting>
        <x14:conditionalFormatting xmlns:xm="http://schemas.microsoft.com/office/excel/2006/main">
          <x14:cfRule type="dataBar" id="{F9E5281C-EA94-4452-9E72-4E7DBA1A5AD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BD62:BD62</xm:sqref>
        </x14:conditionalFormatting>
        <x14:conditionalFormatting xmlns:xm="http://schemas.microsoft.com/office/excel/2006/main">
          <x14:cfRule type="dataBar" id="{05E959D1-CB66-4AD9-A525-826882DD6EE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AH68:AH68</xm:sqref>
        </x14:conditionalFormatting>
        <x14:conditionalFormatting xmlns:xm="http://schemas.microsoft.com/office/excel/2006/main">
          <x14:cfRule type="dataBar" id="{915DCBC2-35A9-4324-B81E-8E3EDF3DD7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BD4:BD4</xm:sqref>
        </x14:conditionalFormatting>
        <x14:conditionalFormatting xmlns:xm="http://schemas.microsoft.com/office/excel/2006/main">
          <x14:cfRule type="dataBar" id="{CEA53876-76B1-4B74-B1B1-4150E205F87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M53:M53</xm:sqref>
        </x14:conditionalFormatting>
        <x14:conditionalFormatting xmlns:xm="http://schemas.microsoft.com/office/excel/2006/main">
          <x14:cfRule type="dataBar" id="{356722DC-16C4-4A50-93F1-0B51AF0E194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AI51:AI51</xm:sqref>
        </x14:conditionalFormatting>
        <x14:conditionalFormatting xmlns:xm="http://schemas.microsoft.com/office/excel/2006/main">
          <x14:cfRule type="dataBar" id="{3E9298F6-4AD9-418D-AF54-60F081F1DD2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AI58:AI58</xm:sqref>
        </x14:conditionalFormatting>
        <x14:conditionalFormatting xmlns:xm="http://schemas.microsoft.com/office/excel/2006/main">
          <x14:cfRule type="dataBar" id="{D99DC0EA-7C6F-4FEC-A2C4-155C3DDE14E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AI67:AI67</xm:sqref>
        </x14:conditionalFormatting>
        <x14:conditionalFormatting xmlns:xm="http://schemas.microsoft.com/office/excel/2006/main">
          <x14:cfRule type="dataBar" id="{9905370E-9403-4B14-BC73-1D6EF135CF3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9669AD53-4AEC-49C0-9E87-A01E004A095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3932860C-F3BA-4A0B-9E8C-7B3E6F474B8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T1:T1</xm:sqref>
        </x14:conditionalFormatting>
        <x14:conditionalFormatting xmlns:xm="http://schemas.microsoft.com/office/excel/2006/main">
          <x14:cfRule type="dataBar" id="{FC001D46-80C4-4A36-9FAE-20B9C1FFEE9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M51:M51</xm:sqref>
        </x14:conditionalFormatting>
        <x14:conditionalFormatting xmlns:xm="http://schemas.microsoft.com/office/excel/2006/main">
          <x14:cfRule type="dataBar" id="{4D4A869C-3CC2-4C63-9126-7EB75429F3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M70:M70</xm:sqref>
        </x14:conditionalFormatting>
        <x14:conditionalFormatting xmlns:xm="http://schemas.microsoft.com/office/excel/2006/main">
          <x14:cfRule type="dataBar" id="{5B3637A8-9F5A-44B7-957A-63144919785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AH75:AH92</xm:sqref>
        </x14:conditionalFormatting>
        <x14:conditionalFormatting xmlns:xm="http://schemas.microsoft.com/office/excel/2006/main">
          <x14:cfRule type="dataBar" id="{BBBAC026-1553-4C27-8603-C1BA44A3E74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M56:M56</xm:sqref>
        </x14:conditionalFormatting>
        <x14:conditionalFormatting xmlns:xm="http://schemas.microsoft.com/office/excel/2006/main">
          <x14:cfRule type="dataBar" id="{AE450FDE-7441-4109-B6F0-4F384577961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N58:N58</xm:sqref>
        </x14:conditionalFormatting>
        <x14:conditionalFormatting xmlns:xm="http://schemas.microsoft.com/office/excel/2006/main">
          <x14:cfRule type="dataBar" id="{82414626-4606-46EA-9EDB-65625BEBA24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EA29667E-7F75-4272-A7A6-A817C7B0FBA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BE10:BE10</xm:sqref>
        </x14:conditionalFormatting>
        <x14:conditionalFormatting xmlns:xm="http://schemas.microsoft.com/office/excel/2006/main">
          <x14:cfRule type="dataBar" id="{02526E5C-764D-4B53-BD93-6E01B273CD7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BE50:BE50</xm:sqref>
        </x14:conditionalFormatting>
        <x14:conditionalFormatting xmlns:xm="http://schemas.microsoft.com/office/excel/2006/main">
          <x14:cfRule type="dataBar" id="{A6409047-C358-4C4D-BAF8-257E1867D3E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N65:N65</xm:sqref>
        </x14:conditionalFormatting>
        <x14:conditionalFormatting xmlns:xm="http://schemas.microsoft.com/office/excel/2006/main">
          <x14:cfRule type="dataBar" id="{B40FEC65-834F-4DD4-B497-5F7380F4545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N69:N69</xm:sqref>
        </x14:conditionalFormatting>
        <x14:conditionalFormatting xmlns:xm="http://schemas.microsoft.com/office/excel/2006/main">
          <x14:cfRule type="dataBar" id="{C75D764A-5AD7-4ECE-AB2D-8B6681FB64D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AH60:AH60</xm:sqref>
        </x14:conditionalFormatting>
        <x14:conditionalFormatting xmlns:xm="http://schemas.microsoft.com/office/excel/2006/main">
          <x14:cfRule type="dataBar" id="{25138C83-9AA0-45FA-9069-D98BD8A7D1E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M64:M64</xm:sqref>
        </x14:conditionalFormatting>
        <x14:conditionalFormatting xmlns:xm="http://schemas.microsoft.com/office/excel/2006/main">
          <x14:cfRule type="dataBar" id="{A384E819-DFD5-4595-AF24-83ECE72D9FD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M49:M49</xm:sqref>
        </x14:conditionalFormatting>
        <x14:conditionalFormatting xmlns:xm="http://schemas.microsoft.com/office/excel/2006/main">
          <x14:cfRule type="dataBar" id="{81320604-A62D-412A-8E39-E49B84CBAE1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BE61:BE61</xm:sqref>
        </x14:conditionalFormatting>
        <x14:conditionalFormatting xmlns:xm="http://schemas.microsoft.com/office/excel/2006/main">
          <x14:cfRule type="dataBar" id="{A731AFDA-C3A6-4951-927D-521A49652B6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AH62:AH62</xm:sqref>
        </x14:conditionalFormatting>
        <x14:conditionalFormatting xmlns:xm="http://schemas.microsoft.com/office/excel/2006/main">
          <x14:cfRule type="dataBar" id="{A277FE16-664E-4865-A0E2-C38DE20E1BB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BE6:BE6</xm:sqref>
        </x14:conditionalFormatting>
        <x14:conditionalFormatting xmlns:xm="http://schemas.microsoft.com/office/excel/2006/main">
          <x14:cfRule type="dataBar" id="{B6421C7C-39F3-4CAC-8F60-FBA0B016DE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AI59:AI59</xm:sqref>
        </x14:conditionalFormatting>
        <x14:conditionalFormatting xmlns:xm="http://schemas.microsoft.com/office/excel/2006/main">
          <x14:cfRule type="dataBar" id="{32E65C5B-AE92-4DA8-A185-8D65BEBD6EF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N75:N92</xm:sqref>
        </x14:conditionalFormatting>
        <x14:conditionalFormatting xmlns:xm="http://schemas.microsoft.com/office/excel/2006/main">
          <x14:cfRule type="dataBar" id="{21E04580-E54E-4021-9528-A3EAE0AF29F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0CB7ABC6-80ED-463F-ACF3-1F5DDBE0E80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BE53:BE53</xm:sqref>
        </x14:conditionalFormatting>
        <x14:conditionalFormatting xmlns:xm="http://schemas.microsoft.com/office/excel/2006/main">
          <x14:cfRule type="dataBar" id="{228F8A99-10BF-4BB4-9E69-BA81B9D34F2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BD49:BD49</xm:sqref>
        </x14:conditionalFormatting>
        <x14:conditionalFormatting xmlns:xm="http://schemas.microsoft.com/office/excel/2006/main">
          <x14:cfRule type="dataBar" id="{2295F147-F9B1-430D-8C56-FD6DCCB18B8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N59:N59</xm:sqref>
        </x14:conditionalFormatting>
        <x14:conditionalFormatting xmlns:xm="http://schemas.microsoft.com/office/excel/2006/main">
          <x14:cfRule type="dataBar" id="{8BBFB21C-91EA-4E2B-AC12-388023B85F8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AI49:AI49</xm:sqref>
        </x14:conditionalFormatting>
        <x14:conditionalFormatting xmlns:xm="http://schemas.microsoft.com/office/excel/2006/main">
          <x14:cfRule type="dataBar" id="{909EEBD1-B409-4BDD-BA0C-09D95A68866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N71:N71</xm:sqref>
        </x14:conditionalFormatting>
        <x14:conditionalFormatting xmlns:xm="http://schemas.microsoft.com/office/excel/2006/main">
          <x14:cfRule type="dataBar" id="{CFB54303-32C9-42CB-BFCF-3F408815A8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AI69:AI69</xm:sqref>
        </x14:conditionalFormatting>
        <x14:conditionalFormatting xmlns:xm="http://schemas.microsoft.com/office/excel/2006/main">
          <x14:cfRule type="dataBar" id="{EEBED848-75BB-4917-BC76-90E40DA0569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AH50:AH50</xm:sqref>
        </x14:conditionalFormatting>
        <x14:conditionalFormatting xmlns:xm="http://schemas.microsoft.com/office/excel/2006/main">
          <x14:cfRule type="dataBar" id="{E0CB5914-ECFF-4D2C-B3E6-C3773EA5643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AH52:AH52</xm:sqref>
        </x14:conditionalFormatting>
        <x14:conditionalFormatting xmlns:xm="http://schemas.microsoft.com/office/excel/2006/main">
          <x14:cfRule type="dataBar" id="{5359CFDC-3846-4A76-BC6E-47FC53737C9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BD61:BD61</xm:sqref>
        </x14:conditionalFormatting>
        <x14:conditionalFormatting xmlns:xm="http://schemas.microsoft.com/office/excel/2006/main">
          <x14:cfRule type="dataBar" id="{0630B2AE-1EE7-4846-8912-8B827500378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BD64:BD64</xm:sqref>
        </x14:conditionalFormatting>
        <x14:conditionalFormatting xmlns:xm="http://schemas.microsoft.com/office/excel/2006/main">
          <x14:cfRule type="dataBar" id="{984A7508-43A8-4318-83F4-DFC720B155F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AH66:AH66</xm:sqref>
        </x14:conditionalFormatting>
        <x14:conditionalFormatting xmlns:xm="http://schemas.microsoft.com/office/excel/2006/main">
          <x14:cfRule type="dataBar" id="{846C240D-FFD6-469B-8638-418FFCB783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BE65:BE65</xm:sqref>
        </x14:conditionalFormatting>
        <x14:conditionalFormatting xmlns:xm="http://schemas.microsoft.com/office/excel/2006/main">
          <x14:cfRule type="dataBar" id="{45342B04-3F61-4E05-9345-B5CB546B7D2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AI55:AI55</xm:sqref>
        </x14:conditionalFormatting>
        <x14:conditionalFormatting xmlns:xm="http://schemas.microsoft.com/office/excel/2006/main">
          <x14:cfRule type="dataBar" id="{E22D7316-8AF5-4F22-9007-1F167A39EB5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AI72:AI72</xm:sqref>
        </x14:conditionalFormatting>
        <x14:conditionalFormatting xmlns:xm="http://schemas.microsoft.com/office/excel/2006/main">
          <x14:cfRule type="dataBar" id="{A000F666-2EC9-4769-8F12-470B441C268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BE62:BE62</xm:sqref>
        </x14:conditionalFormatting>
        <x14:conditionalFormatting xmlns:xm="http://schemas.microsoft.com/office/excel/2006/main">
          <x14:cfRule type="dataBar" id="{FAAF7E3B-1DBC-49EC-892A-E220D8D4051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AH75:AH92</xm:sqref>
        </x14:conditionalFormatting>
        <x14:conditionalFormatting xmlns:xm="http://schemas.microsoft.com/office/excel/2006/main">
          <x14:cfRule type="dataBar" id="{B8CFAB5E-BA3A-45CE-82BE-6D7DFFD4E03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BD12:BD12</xm:sqref>
        </x14:conditionalFormatting>
        <x14:conditionalFormatting xmlns:xm="http://schemas.microsoft.com/office/excel/2006/main">
          <x14:cfRule type="dataBar" id="{FF719B6B-0817-47F1-8C8E-F5E4C392001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AH63:AH63</xm:sqref>
        </x14:conditionalFormatting>
        <x14:conditionalFormatting xmlns:xm="http://schemas.microsoft.com/office/excel/2006/main">
          <x14:cfRule type="dataBar" id="{8082EF63-1A55-415D-AA93-7C55DC2C1D2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BE57:BE57</xm:sqref>
        </x14:conditionalFormatting>
        <x14:conditionalFormatting xmlns:xm="http://schemas.microsoft.com/office/excel/2006/main">
          <x14:cfRule type="dataBar" id="{DB6048AC-FAB0-41CC-AADE-794FE7ADE82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N68:N68</xm:sqref>
        </x14:conditionalFormatting>
        <x14:conditionalFormatting xmlns:xm="http://schemas.microsoft.com/office/excel/2006/main">
          <x14:cfRule type="dataBar" id="{5208C584-E346-4F67-9CB1-490406AA82F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AI48:AI48</xm:sqref>
        </x14:conditionalFormatting>
        <x14:conditionalFormatting xmlns:xm="http://schemas.microsoft.com/office/excel/2006/main">
          <x14:cfRule type="dataBar" id="{228305B2-79A4-40F6-8DDD-3AC73B47B33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M54:M54</xm:sqref>
        </x14:conditionalFormatting>
        <x14:conditionalFormatting xmlns:xm="http://schemas.microsoft.com/office/excel/2006/main">
          <x14:cfRule type="dataBar" id="{CD1F806D-C6B7-47F1-A871-A78A39B13A3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BE49:BE49</xm:sqref>
        </x14:conditionalFormatting>
        <x14:conditionalFormatting xmlns:xm="http://schemas.microsoft.com/office/excel/2006/main">
          <x14:cfRule type="dataBar" id="{D00EC9C7-519D-481C-8B4B-F3CA0EE0908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AH55:AH55</xm:sqref>
        </x14:conditionalFormatting>
        <x14:conditionalFormatting xmlns:xm="http://schemas.microsoft.com/office/excel/2006/main">
          <x14:cfRule type="dataBar" id="{92CAFBBC-2F31-4FD4-BC19-CB0B3A804A2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BE68:BE68</xm:sqref>
        </x14:conditionalFormatting>
        <x14:conditionalFormatting xmlns:xm="http://schemas.microsoft.com/office/excel/2006/main">
          <x14:cfRule type="dataBar" id="{EF671F9A-92E8-4C89-90FE-43A34EC2F00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5FCC5B48-4722-4C2F-939B-F8E116F6C1B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N57:N57</xm:sqref>
        </x14:conditionalFormatting>
        <x14:conditionalFormatting xmlns:xm="http://schemas.microsoft.com/office/excel/2006/main">
          <x14:cfRule type="dataBar" id="{45834A1F-C5B4-44CB-B403-D153DBDE204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BD50:BD50</xm:sqref>
        </x14:conditionalFormatting>
        <x14:conditionalFormatting xmlns:xm="http://schemas.microsoft.com/office/excel/2006/main">
          <x14:cfRule type="dataBar" id="{5AD9882F-0882-4C1C-B35C-274EE84DB2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M68:M68</xm:sqref>
        </x14:conditionalFormatting>
        <x14:conditionalFormatting xmlns:xm="http://schemas.microsoft.com/office/excel/2006/main">
          <x14:cfRule type="dataBar" id="{752A1530-3D41-4649-9454-F1708CB6F74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BD63:BD63</xm:sqref>
        </x14:conditionalFormatting>
        <x14:conditionalFormatting xmlns:xm="http://schemas.microsoft.com/office/excel/2006/main">
          <x14:cfRule type="dataBar" id="{6954E8C8-C0EC-452E-AA68-C12F90BAEF0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BE64:BE64</xm:sqref>
        </x14:conditionalFormatting>
        <x14:conditionalFormatting xmlns:xm="http://schemas.microsoft.com/office/excel/2006/main">
          <x14:cfRule type="dataBar" id="{786B5B99-E600-48AA-9F6E-7B15DDDECB0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BE71:BE71</xm:sqref>
        </x14:conditionalFormatting>
        <x14:conditionalFormatting xmlns:xm="http://schemas.microsoft.com/office/excel/2006/main">
          <x14:cfRule type="dataBar" id="{D2095E9C-E5EC-42BC-A08F-DFEBBC2FC7B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M62:M62</xm:sqref>
        </x14:conditionalFormatting>
        <x14:conditionalFormatting xmlns:xm="http://schemas.microsoft.com/office/excel/2006/main">
          <x14:cfRule type="dataBar" id="{A922C5AF-6B47-41F8-A3AA-491B42A9BB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AI93:AI162</xm:sqref>
        </x14:conditionalFormatting>
        <x14:conditionalFormatting xmlns:xm="http://schemas.microsoft.com/office/excel/2006/main">
          <x14:cfRule type="dataBar" id="{4292B919-A4C3-47F2-ABD2-B4ECE385BF4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AI53:AI53</xm:sqref>
        </x14:conditionalFormatting>
        <x14:conditionalFormatting xmlns:xm="http://schemas.microsoft.com/office/excel/2006/main">
          <x14:cfRule type="dataBar" id="{49AA4DFF-05D3-4C4A-8809-5FF9BAF77DA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T1:T1</xm:sqref>
        </x14:conditionalFormatting>
        <x14:conditionalFormatting xmlns:xm="http://schemas.microsoft.com/office/excel/2006/main">
          <x14:cfRule type="dataBar" id="{91A8B530-1AD0-4324-AE2D-9690A18BB17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BE59:BE59</xm:sqref>
        </x14:conditionalFormatting>
        <x14:conditionalFormatting xmlns:xm="http://schemas.microsoft.com/office/excel/2006/main">
          <x14:cfRule type="dataBar" id="{815E7730-FC37-44EA-9E15-544407B6A06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AI68:AI68</xm:sqref>
        </x14:conditionalFormatting>
        <x14:conditionalFormatting xmlns:xm="http://schemas.microsoft.com/office/excel/2006/main">
          <x14:cfRule type="dataBar" id="{A71FCAA5-DA32-474D-9913-2192B66349E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BD48:BD48</xm:sqref>
        </x14:conditionalFormatting>
        <x14:conditionalFormatting xmlns:xm="http://schemas.microsoft.com/office/excel/2006/main">
          <x14:cfRule type="dataBar" id="{D871F1CD-B82D-4D0B-88FB-9F1EC920403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AI71:AI71</xm:sqref>
        </x14:conditionalFormatting>
        <x14:conditionalFormatting xmlns:xm="http://schemas.microsoft.com/office/excel/2006/main">
          <x14:cfRule type="dataBar" id="{0DBF0658-3B72-477D-8269-29FAF5CE8FE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68062228-3646-4384-ABE2-1C31B24DAE4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M73:M73</xm:sqref>
        </x14:conditionalFormatting>
        <x14:conditionalFormatting xmlns:xm="http://schemas.microsoft.com/office/excel/2006/main">
          <x14:cfRule type="dataBar" id="{09E81B9D-A1F3-4DE8-81D5-B43D0D8032C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AH69:AH69</xm:sqref>
        </x14:conditionalFormatting>
        <x14:conditionalFormatting xmlns:xm="http://schemas.microsoft.com/office/excel/2006/main">
          <x14:cfRule type="dataBar" id="{19FD4D43-9BF7-4A3E-95FA-22ADA7B89F2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AH64:AH64</xm:sqref>
        </x14:conditionalFormatting>
        <x14:conditionalFormatting xmlns:xm="http://schemas.microsoft.com/office/excel/2006/main">
          <x14:cfRule type="dataBar" id="{A4B5680C-0683-4FA7-9DCF-0A435633DBB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M57:M57</xm:sqref>
        </x14:conditionalFormatting>
        <x14:conditionalFormatting xmlns:xm="http://schemas.microsoft.com/office/excel/2006/main">
          <x14:cfRule type="dataBar" id="{DDECC086-5C78-4440-B5BD-E235B155CCA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BD55:BD55</xm:sqref>
        </x14:conditionalFormatting>
        <x14:conditionalFormatting xmlns:xm="http://schemas.microsoft.com/office/excel/2006/main">
          <x14:cfRule type="dataBar" id="{06AB0DB8-F027-49E8-99B3-FB0E6F1749A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BD6:BD6</xm:sqref>
        </x14:conditionalFormatting>
        <x14:conditionalFormatting xmlns:xm="http://schemas.microsoft.com/office/excel/2006/main">
          <x14:cfRule type="dataBar" id="{CAB80264-FC3D-4006-883B-4823DC1A215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AH67:AH67</xm:sqref>
        </x14:conditionalFormatting>
        <x14:conditionalFormatting xmlns:xm="http://schemas.microsoft.com/office/excel/2006/main">
          <x14:cfRule type="dataBar" id="{F8A87FB5-9F61-4DE4-BDFA-335223A952D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AI73:AI73</xm:sqref>
        </x14:conditionalFormatting>
        <x14:conditionalFormatting xmlns:xm="http://schemas.microsoft.com/office/excel/2006/main">
          <x14:cfRule type="dataBar" id="{3F4F8053-33B2-4062-9CF4-790E1ED0BC8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AH74:AH74</xm:sqref>
        </x14:conditionalFormatting>
        <x14:conditionalFormatting xmlns:xm="http://schemas.microsoft.com/office/excel/2006/main">
          <x14:cfRule type="dataBar" id="{4685F1D8-4D21-4442-A570-EBAF00C8EBE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C656D40A-C72C-4F85-892A-CE6955D902F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N74:N74</xm:sqref>
        </x14:conditionalFormatting>
        <x14:conditionalFormatting xmlns:xm="http://schemas.microsoft.com/office/excel/2006/main">
          <x14:cfRule type="dataBar" id="{58EAC0DF-77E4-4E17-B787-EDAA83F125E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BD13:BD47</xm:sqref>
        </x14:conditionalFormatting>
        <x14:conditionalFormatting xmlns:xm="http://schemas.microsoft.com/office/excel/2006/main">
          <x14:cfRule type="dataBar" id="{86AAF952-3CA6-47B1-A5B6-C18CFE4B5F2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AH74:AH74</xm:sqref>
        </x14:conditionalFormatting>
        <x14:conditionalFormatting xmlns:xm="http://schemas.microsoft.com/office/excel/2006/main">
          <x14:cfRule type="dataBar" id="{DEF423DE-5218-4303-997A-B2CABE80608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N53:N53</xm:sqref>
        </x14:conditionalFormatting>
        <x14:conditionalFormatting xmlns:xm="http://schemas.microsoft.com/office/excel/2006/main">
          <x14:cfRule type="dataBar" id="{573E0A76-5B50-4322-BC39-896951F1782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BE55:BE55</xm:sqref>
        </x14:conditionalFormatting>
        <x14:conditionalFormatting xmlns:xm="http://schemas.microsoft.com/office/excel/2006/main">
          <x14:cfRule type="dataBar" id="{BAD59D86-B1D6-436E-96B3-C23450E9059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BE93:BE162</xm:sqref>
        </x14:conditionalFormatting>
        <x14:conditionalFormatting xmlns:xm="http://schemas.microsoft.com/office/excel/2006/main">
          <x14:cfRule type="dataBar" id="{85DF120A-8BCB-4CB5-928C-B4B4D5E7E29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BD56:BD56</xm:sqref>
        </x14:conditionalFormatting>
        <x14:conditionalFormatting xmlns:xm="http://schemas.microsoft.com/office/excel/2006/main">
          <x14:cfRule type="dataBar" id="{69F0104A-E5AE-4294-8A5B-DBF9C9783D5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AI61:AI61</xm:sqref>
        </x14:conditionalFormatting>
        <x14:conditionalFormatting xmlns:xm="http://schemas.microsoft.com/office/excel/2006/main">
          <x14:cfRule type="dataBar" id="{F9888D90-A7A2-4AB0-9CE0-9B3C6350745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AH73:AH73</xm:sqref>
        </x14:conditionalFormatting>
        <x14:conditionalFormatting xmlns:xm="http://schemas.microsoft.com/office/excel/2006/main">
          <x14:cfRule type="dataBar" id="{F21DFF77-ADF3-4CA9-8E24-D18C33C9042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AH54:AH54</xm:sqref>
        </x14:conditionalFormatting>
        <x14:conditionalFormatting xmlns:xm="http://schemas.microsoft.com/office/excel/2006/main">
          <x14:cfRule type="dataBar" id="{33A398D5-921C-46B7-89CB-B62EA92F5A9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M48:M48</xm:sqref>
        </x14:conditionalFormatting>
        <x14:conditionalFormatting xmlns:xm="http://schemas.microsoft.com/office/excel/2006/main">
          <x14:cfRule type="dataBar" id="{89F57D43-D44A-4653-8DEB-DC54656C804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AFFF91DE-5DCA-45EE-8990-B9BC8F573C9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M58:M58</xm:sqref>
        </x14:conditionalFormatting>
        <x14:conditionalFormatting xmlns:xm="http://schemas.microsoft.com/office/excel/2006/main">
          <x14:cfRule type="dataBar" id="{DDC5E88F-D6CD-4E8C-AA86-FBAA60BA791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BE56:BE56</xm:sqref>
        </x14:conditionalFormatting>
        <x14:conditionalFormatting xmlns:xm="http://schemas.microsoft.com/office/excel/2006/main">
          <x14:cfRule type="dataBar" id="{05AEA3DA-99E9-4634-A0A4-1666C797D05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N51:N51</xm:sqref>
        </x14:conditionalFormatting>
        <x14:conditionalFormatting xmlns:xm="http://schemas.microsoft.com/office/excel/2006/main">
          <x14:cfRule type="dataBar" id="{A14758E7-AABB-475A-9AD4-061CBA35F73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6B6D9351-E988-4BA6-95AE-AC988A640FF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N55:N55</xm:sqref>
        </x14:conditionalFormatting>
        <x14:conditionalFormatting xmlns:xm="http://schemas.microsoft.com/office/excel/2006/main">
          <x14:cfRule type="dataBar" id="{BF9B2699-FF34-4BB2-90C7-1F6B0EBC016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AH61:AH61</xm:sqref>
        </x14:conditionalFormatting>
        <x14:conditionalFormatting xmlns:xm="http://schemas.microsoft.com/office/excel/2006/main">
          <x14:cfRule type="dataBar" id="{89265365-401E-494A-A9E0-4F4B5CFE51D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BE7:BE7</xm:sqref>
        </x14:conditionalFormatting>
        <x14:conditionalFormatting xmlns:xm="http://schemas.microsoft.com/office/excel/2006/main">
          <x14:cfRule type="dataBar" id="{6E0588D3-F814-4825-8517-4BDBCEF515A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BE5:BE5</xm:sqref>
        </x14:conditionalFormatting>
        <x14:conditionalFormatting xmlns:xm="http://schemas.microsoft.com/office/excel/2006/main">
          <x14:cfRule type="dataBar" id="{AD4DAC43-71C8-426D-B8A0-683CF7CD81D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AH67:AH67</xm:sqref>
        </x14:conditionalFormatting>
        <x14:conditionalFormatting xmlns:xm="http://schemas.microsoft.com/office/excel/2006/main">
          <x14:cfRule type="dataBar" id="{2718764E-0510-4765-8EF0-2508804328F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BD58:BD58</xm:sqref>
        </x14:conditionalFormatting>
        <x14:conditionalFormatting xmlns:xm="http://schemas.microsoft.com/office/excel/2006/main">
          <x14:cfRule type="dataBar" id="{6BB02BFB-73D8-4A72-AE8A-4D21A2CD3D1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BE9:BE9</xm:sqref>
        </x14:conditionalFormatting>
        <x14:conditionalFormatting xmlns:xm="http://schemas.microsoft.com/office/excel/2006/main">
          <x14:cfRule type="dataBar" id="{575535DB-7C42-4648-A986-98DD7F22B54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19BA1222-1CFC-4ABA-BF5C-0547043BFAD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BE58:BE58</xm:sqref>
        </x14:conditionalFormatting>
        <x14:conditionalFormatting xmlns:xm="http://schemas.microsoft.com/office/excel/2006/main">
          <x14:cfRule type="dataBar" id="{D9D18947-FF28-4C03-A8B3-F8CF4C6E74A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AH53:AH53</xm:sqref>
        </x14:conditionalFormatting>
        <x14:conditionalFormatting xmlns:xm="http://schemas.microsoft.com/office/excel/2006/main">
          <x14:cfRule type="dataBar" id="{FB8168B6-C910-4C02-9C14-1E04CCAEACC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M93:M162</xm:sqref>
        </x14:conditionalFormatting>
        <x14:conditionalFormatting xmlns:xm="http://schemas.microsoft.com/office/excel/2006/main">
          <x14:cfRule type="dataBar" id="{6CB88F41-AFE0-4756-B515-0B6C7382CFE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AH60:AH60</xm:sqref>
        </x14:conditionalFormatting>
        <x14:conditionalFormatting xmlns:xm="http://schemas.microsoft.com/office/excel/2006/main">
          <x14:cfRule type="dataBar" id="{87D67BFA-E119-40E5-A2C4-2BD9C09780F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AI65:AI65</xm:sqref>
        </x14:conditionalFormatting>
        <x14:conditionalFormatting xmlns:xm="http://schemas.microsoft.com/office/excel/2006/main">
          <x14:cfRule type="dataBar" id="{9167B80B-0935-4EBD-9D9F-2125065F157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AH54:AH54</xm:sqref>
        </x14:conditionalFormatting>
        <x14:conditionalFormatting xmlns:xm="http://schemas.microsoft.com/office/excel/2006/main">
          <x14:cfRule type="dataBar" id="{67046E72-E373-4B22-A0D8-9B53CF33865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DCC9D31F-C6F1-44E3-AB55-002BA0AE790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M59:M59</xm:sqref>
        </x14:conditionalFormatting>
        <x14:conditionalFormatting xmlns:xm="http://schemas.microsoft.com/office/excel/2006/main">
          <x14:cfRule type="dataBar" id="{B5BBB558-3563-4238-A2B0-1FCD4B000F6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N70:N70</xm:sqref>
        </x14:conditionalFormatting>
        <x14:conditionalFormatting xmlns:xm="http://schemas.microsoft.com/office/excel/2006/main">
          <x14:cfRule type="dataBar" id="{F264E89C-E124-4643-B98B-6DE32C88E06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4EFC1FB8-9F61-439A-9225-F821F7910B8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AH63:AH63</xm:sqref>
        </x14:conditionalFormatting>
        <x14:conditionalFormatting xmlns:xm="http://schemas.microsoft.com/office/excel/2006/main">
          <x14:cfRule type="dataBar" id="{87C512AD-72EF-49A3-8259-C7BE2FB7181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M1:M2</xm:sqref>
        </x14:conditionalFormatting>
        <x14:conditionalFormatting xmlns:xm="http://schemas.microsoft.com/office/excel/2006/main">
          <x14:cfRule type="dataBar" id="{7308186E-6D8D-41FC-9CA7-76929D85E18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M61:M61</xm:sqref>
        </x14:conditionalFormatting>
        <x14:conditionalFormatting xmlns:xm="http://schemas.microsoft.com/office/excel/2006/main">
          <x14:cfRule type="dataBar" id="{90341A7C-1B82-4D96-BF6E-4B5069F47E5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N48:N48</xm:sqref>
        </x14:conditionalFormatting>
        <x14:conditionalFormatting xmlns:xm="http://schemas.microsoft.com/office/excel/2006/main">
          <x14:cfRule type="dataBar" id="{6A5F887E-F9AC-4FF2-91CB-D6419C633E2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BE52:BE52</xm:sqref>
        </x14:conditionalFormatting>
        <x14:conditionalFormatting xmlns:xm="http://schemas.microsoft.com/office/excel/2006/main">
          <x14:cfRule type="dataBar" id="{AF53E5E9-F89E-4633-8D87-C0708915529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AI54:AI54</xm:sqref>
        </x14:conditionalFormatting>
        <x14:conditionalFormatting xmlns:xm="http://schemas.microsoft.com/office/excel/2006/main">
          <x14:cfRule type="dataBar" id="{D13852DD-9AC5-45F0-BC98-EC2B55B8D39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AH57:AH57</xm:sqref>
        </x14:conditionalFormatting>
        <x14:conditionalFormatting xmlns:xm="http://schemas.microsoft.com/office/excel/2006/main">
          <x14:cfRule type="dataBar" id="{25B12B47-B363-45FF-A9D0-3371A0120F9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BD51:BD51</xm:sqref>
        </x14:conditionalFormatting>
        <x14:conditionalFormatting xmlns:xm="http://schemas.microsoft.com/office/excel/2006/main">
          <x14:cfRule type="dataBar" id="{874F6FD7-CD01-44EB-A4BD-2DA6D3452AF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AH53:AH53</xm:sqref>
        </x14:conditionalFormatting>
        <x14:conditionalFormatting xmlns:xm="http://schemas.microsoft.com/office/excel/2006/main">
          <x14:cfRule type="dataBar" id="{6A5BE36C-E62A-4EE3-B895-7445102BE3C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BE11:BE11</xm:sqref>
        </x14:conditionalFormatting>
        <x14:conditionalFormatting xmlns:xm="http://schemas.microsoft.com/office/excel/2006/main">
          <x14:cfRule type="dataBar" id="{CF6075AD-366A-442D-8921-483E1225FF7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BE74:BE74</xm:sqref>
        </x14:conditionalFormatting>
        <x14:conditionalFormatting xmlns:xm="http://schemas.microsoft.com/office/excel/2006/main">
          <x14:cfRule type="dataBar" id="{9AC88CF5-CBAE-4CDA-A6DD-562EEDB4EB0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N60:N60</xm:sqref>
        </x14:conditionalFormatting>
        <x14:conditionalFormatting xmlns:xm="http://schemas.microsoft.com/office/excel/2006/main">
          <x14:cfRule type="dataBar" id="{7B081F6E-0287-49A1-B596-7C5FD8F4F20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3DBAEBCB-A44A-432F-9293-B815870742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BE70:BE70</xm:sqref>
        </x14:conditionalFormatting>
        <x14:conditionalFormatting xmlns:xm="http://schemas.microsoft.com/office/excel/2006/main">
          <x14:cfRule type="dataBar" id="{23131410-167F-4576-B660-EEAAD2E70AF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AH48:AH48</xm:sqref>
        </x14:conditionalFormatting>
        <x14:conditionalFormatting xmlns:xm="http://schemas.microsoft.com/office/excel/2006/main">
          <x14:cfRule type="dataBar" id="{B9D10DD7-062C-4DA3-B72F-23FC237348A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N3:N47</xm:sqref>
        </x14:conditionalFormatting>
        <x14:conditionalFormatting xmlns:xm="http://schemas.microsoft.com/office/excel/2006/main">
          <x14:cfRule type="dataBar" id="{B417F091-0623-43DE-A4E8-D00F9C59794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M63:M63</xm:sqref>
        </x14:conditionalFormatting>
        <x14:conditionalFormatting xmlns:xm="http://schemas.microsoft.com/office/excel/2006/main">
          <x14:cfRule type="dataBar" id="{D1A5CC34-6A16-48BC-93B5-12F7FFFD6D7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BD54:BD54</xm:sqref>
        </x14:conditionalFormatting>
        <x14:conditionalFormatting xmlns:xm="http://schemas.microsoft.com/office/excel/2006/main">
          <x14:cfRule type="dataBar" id="{B1604C34-C46E-47E0-BCE7-34F88721F94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N56:N56</xm:sqref>
        </x14:conditionalFormatting>
        <x14:conditionalFormatting xmlns:xm="http://schemas.microsoft.com/office/excel/2006/main">
          <x14:cfRule type="dataBar" id="{7A127312-DBF8-4611-9D4F-49ED4108C13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BD73:BD73</xm:sqref>
        </x14:conditionalFormatting>
        <x14:conditionalFormatting xmlns:xm="http://schemas.microsoft.com/office/excel/2006/main">
          <x14:cfRule type="dataBar" id="{74C98545-C07A-4A17-BB5C-D5A78244F47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AH51:AH51</xm:sqref>
        </x14:conditionalFormatting>
        <x14:conditionalFormatting xmlns:xm="http://schemas.microsoft.com/office/excel/2006/main">
          <x14:cfRule type="dataBar" id="{3BC6DACE-E7D6-4C79-B681-56D29765978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BE3:BE3</xm:sqref>
        </x14:conditionalFormatting>
        <x14:conditionalFormatting xmlns:xm="http://schemas.microsoft.com/office/excel/2006/main">
          <x14:cfRule type="dataBar" id="{C0DFD52A-363F-43D5-B516-6632EF75DEC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AH3:AH47</xm:sqref>
        </x14:conditionalFormatting>
        <x14:conditionalFormatting xmlns:xm="http://schemas.microsoft.com/office/excel/2006/main">
          <x14:cfRule type="dataBar" id="{CA899F6B-CC99-41BB-93F7-49338B6AE57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N67:N67</xm:sqref>
        </x14:conditionalFormatting>
        <x14:conditionalFormatting xmlns:xm="http://schemas.microsoft.com/office/excel/2006/main">
          <x14:cfRule type="dataBar" id="{95B1A17A-9A36-4E09-B9D1-2135E9E59EA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AI50:AI50</xm:sqref>
        </x14:conditionalFormatting>
        <x14:conditionalFormatting xmlns:xm="http://schemas.microsoft.com/office/excel/2006/main">
          <x14:cfRule type="dataBar" id="{14B75313-20B8-4153-AE89-02C8102629F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AI56:AI56</xm:sqref>
        </x14:conditionalFormatting>
        <x14:conditionalFormatting xmlns:xm="http://schemas.microsoft.com/office/excel/2006/main">
          <x14:cfRule type="dataBar" id="{68E6D456-2A3E-4C13-81A3-FDD09FBACA9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BE8:BE8</xm:sqref>
        </x14:conditionalFormatting>
        <x14:conditionalFormatting xmlns:xm="http://schemas.microsoft.com/office/excel/2006/main">
          <x14:cfRule type="dataBar" id="{D3544BCC-5D28-4020-91E6-6B1BF93B301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BD7:BD7</xm:sqref>
        </x14:conditionalFormatting>
        <x14:conditionalFormatting xmlns:xm="http://schemas.microsoft.com/office/excel/2006/main">
          <x14:cfRule type="dataBar" id="{6B856A42-8911-425F-A04A-40549C45B9A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M75:M92</xm:sqref>
        </x14:conditionalFormatting>
        <x14:conditionalFormatting xmlns:xm="http://schemas.microsoft.com/office/excel/2006/main">
          <x14:cfRule type="dataBar" id="{7318041A-D9AE-4823-AE30-7CFFA936F1F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BE1:BE162</xm:sqref>
        </x14:conditionalFormatting>
        <x14:conditionalFormatting xmlns:xm="http://schemas.microsoft.com/office/excel/2006/main">
          <x14:cfRule type="dataBar" id="{3998F12B-1A1A-4A60-818A-A52FEDC591F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AI57:AI57</xm:sqref>
        </x14:conditionalFormatting>
        <x14:conditionalFormatting xmlns:xm="http://schemas.microsoft.com/office/excel/2006/main">
          <x14:cfRule type="dataBar" id="{C8C53544-94FE-45F2-B9CB-56E8C20CDF5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BD5:BD5</xm:sqref>
        </x14:conditionalFormatting>
        <x14:conditionalFormatting xmlns:xm="http://schemas.microsoft.com/office/excel/2006/main">
          <x14:cfRule type="dataBar" id="{894CA4D3-5211-4878-B178-15B7FAA16DF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D69FDCCA-3B27-4905-9980-A2B8BF7FB45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AH93:AH162</xm:sqref>
        </x14:conditionalFormatting>
        <x14:conditionalFormatting xmlns:xm="http://schemas.microsoft.com/office/excel/2006/main">
          <x14:cfRule type="dataBar" id="{6F1ACDC6-741B-4BB1-9433-5BB7FF2656C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BE67:BE67</xm:sqref>
        </x14:conditionalFormatting>
        <x14:conditionalFormatting xmlns:xm="http://schemas.microsoft.com/office/excel/2006/main">
          <x14:cfRule type="dataBar" id="{596FFD1A-F022-4DF8-AF28-5A6DDE635BD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BD74:BD74</xm:sqref>
        </x14:conditionalFormatting>
        <x14:conditionalFormatting xmlns:xm="http://schemas.microsoft.com/office/excel/2006/main">
          <x14:cfRule type="dataBar" id="{BA7AEE55-BB84-4DD0-934A-BE6453DDD18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AI63:AI63</xm:sqref>
        </x14:conditionalFormatting>
        <x14:conditionalFormatting xmlns:xm="http://schemas.microsoft.com/office/excel/2006/main">
          <x14:cfRule type="dataBar" id="{4A3EDEAB-2A1D-40B9-B954-897FD55DA3C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M66:M66</xm:sqref>
        </x14:conditionalFormatting>
        <x14:conditionalFormatting xmlns:xm="http://schemas.microsoft.com/office/excel/2006/main">
          <x14:cfRule type="dataBar" id="{DD2A4DD4-0155-4549-A984-06FAB873CC8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AH59:AH59</xm:sqref>
        </x14:conditionalFormatting>
        <x14:conditionalFormatting xmlns:xm="http://schemas.microsoft.com/office/excel/2006/main">
          <x14:cfRule type="dataBar" id="{B58D13BE-5356-4D31-BFC0-65FB168F207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AH52:AH52</xm:sqref>
        </x14:conditionalFormatting>
        <x14:conditionalFormatting xmlns:xm="http://schemas.microsoft.com/office/excel/2006/main">
          <x14:cfRule type="dataBar" id="{8D3CDBE5-B12A-499A-B329-E6C86535B7C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AH69:AH69</xm:sqref>
        </x14:conditionalFormatting>
        <x14:conditionalFormatting xmlns:xm="http://schemas.microsoft.com/office/excel/2006/main">
          <x14:cfRule type="dataBar" id="{E6AC14B2-C2F6-4411-B382-90F6D055E77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BD71:BD71</xm:sqref>
        </x14:conditionalFormatting>
        <x14:conditionalFormatting xmlns:xm="http://schemas.microsoft.com/office/excel/2006/main">
          <x14:cfRule type="dataBar" id="{582F7313-9235-4032-83EB-40A9BE4C3DB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N49:N49</xm:sqref>
        </x14:conditionalFormatting>
      </x14:conditionalFormattings>
    </ext>
  </extLst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>
      <pane state="frozen" topLeftCell="E3" xSplit="4" ySplit="2"/>
    </sheetView>
  </sheetViews>
  <sheetFormatPr defaultRowHeight="16"/>
  <cols>
    <col collapsed="false" customWidth="true" hidden="false" max="5" min="5" style="0" width="9"/>
    <col collapsed="false" customWidth="true" hidden="false" max="21" min="21" style="0" width="9"/>
    <col collapsed="false" customWidth="true" hidden="false" max="38" min="38" style="0" width="10.733333333333333"/>
    <col collapsed="false" customWidth="true" hidden="false" max="53" min="53" style="0" width="12.333333333333334"/>
    <col collapsed="false" customWidth="true" hidden="false" max="8" min="8" style="0" width="12.333333333333334"/>
    <col collapsed="false" customWidth="true" hidden="false" max="24" min="24" style="0" width="14.066666666666666"/>
    <col collapsed="false" customWidth="true" hidden="false" max="37" min="37" style="0" width="10.733333333333333"/>
    <col collapsed="false" customWidth="true" hidden="false" max="56" min="56" style="0" width="12.333333333333334"/>
    <col collapsed="false" customWidth="true" hidden="false" max="7" min="7" style="0" width="9"/>
    <col collapsed="false" customWidth="true" hidden="false" max="23" min="23" style="0" width="10.733333333333333"/>
    <col collapsed="false" customWidth="true" hidden="false" max="39" min="39" style="0" width="10.733333333333333"/>
    <col collapsed="false" customWidth="true" hidden="false" max="40" min="40" style="0" width="10.733333333333333"/>
    <col collapsed="false" customWidth="true" hidden="false" max="55" min="55" style="0" width="14.066666666666666"/>
    <col collapsed="false" customWidth="true" hidden="false" max="10" min="10" style="0" width="17.4"/>
    <col collapsed="false" customWidth="true" hidden="false" max="26" min="26" style="0" width="10.733333333333333"/>
    <col collapsed="false" customWidth="true" hidden="false" max="42" min="42" style="0" width="12.333333333333334"/>
    <col collapsed="false" customWidth="true" hidden="false" max="58" min="58" style="0" width="12.333333333333334"/>
    <col collapsed="false" customWidth="true" hidden="false" max="9" min="9" style="0" width="12.333333333333334"/>
    <col collapsed="false" customWidth="true" hidden="false" max="25" min="25" style="0" width="10.733333333333333"/>
    <col collapsed="false" customWidth="true" hidden="false" max="41" min="41" style="0" width="12.333333333333334"/>
    <col collapsed="false" customWidth="true" hidden="false" max="57" min="57" style="0" width="12.333333333333334"/>
    <col collapsed="false" customWidth="true" hidden="false" max="12" min="12" style="0" width="9"/>
    <col collapsed="false" customWidth="true" hidden="false" max="28" min="28" style="0" width="10.733333333333333"/>
    <col collapsed="false" customWidth="true" hidden="false" max="44" min="44" style="0" width="12.333333333333334"/>
    <col collapsed="false" customWidth="true" hidden="false" max="60" min="60" style="0" width="12.333333333333334"/>
    <col collapsed="false" customWidth="true" hidden="false" max="11" min="11" style="0" width="9"/>
    <col collapsed="false" customWidth="true" hidden="false" max="27" min="27" style="0" width="10.733333333333333"/>
    <col collapsed="false" customWidth="true" hidden="false" max="43" min="43" style="0" width="12.333333333333334"/>
    <col collapsed="false" customWidth="true" hidden="false" max="59" min="59" style="0" width="12.333333333333334"/>
    <col collapsed="false" customWidth="true" hidden="false" max="14" min="14" style="0" width="12.333333333333334"/>
    <col collapsed="false" customWidth="true" hidden="false" max="30" min="30" style="0" width="10.733333333333333"/>
    <col collapsed="false" customWidth="true" hidden="false" max="46" min="46" style="0" width="12.333333333333334"/>
    <col collapsed="false" customWidth="true" hidden="false" max="62" min="62" style="0" width="12.333333333333334"/>
    <col collapsed="false" customWidth="true" hidden="false" max="13" min="13" style="0" width="9"/>
    <col collapsed="false" customWidth="true" hidden="false" max="29" min="29" style="0" width="10.733333333333333"/>
    <col collapsed="false" customWidth="true" hidden="false" max="45" min="45" style="0" width="12.333333333333334"/>
    <col collapsed="false" customWidth="true" hidden="false" max="61" min="61" style="0" width="12.333333333333334"/>
    <col collapsed="false" customWidth="true" hidden="false" max="16" min="16" style="0" width="10.733333333333333"/>
    <col collapsed="false" customWidth="true" hidden="false" max="32" min="32" style="0" width="10.733333333333333"/>
    <col collapsed="false" customWidth="true" hidden="false" max="48" min="48" style="0" width="14.066666666666666"/>
    <col collapsed="false" customWidth="true" hidden="false" max="64" min="64" style="0" width="12.333333333333334"/>
    <col collapsed="false" customWidth="true" hidden="false" max="15" min="15" style="0" width="12.333333333333334"/>
    <col collapsed="false" customWidth="true" hidden="false" max="31" min="31" style="0" width="10.733333333333333"/>
    <col collapsed="false" customWidth="true" hidden="false" max="47" min="47" style="0" width="12.333333333333334"/>
    <col collapsed="false" customWidth="true" hidden="false" max="63" min="63" style="0" width="15.8"/>
    <col collapsed="false" customWidth="true" hidden="false" max="66" min="66" style="0" width="83.26666666666667"/>
    <col collapsed="false" customWidth="true" hidden="false" max="2" min="2" style="0" width="10.733333333333333"/>
    <col collapsed="false" customWidth="true" hidden="false" max="18" min="18" style="0" width="12.333333333333334"/>
    <col collapsed="false" customWidth="true" hidden="false" max="50" min="50" style="0" width="15.8"/>
    <col collapsed="false" customWidth="true" hidden="false" max="65" min="65" style="0" width="12.333333333333334"/>
    <col collapsed="false" customWidth="true" hidden="false" max="1" min="1" style="0" width="14.066666666666666"/>
    <col collapsed="false" customWidth="true" hidden="false" max="17" min="17" style="0" width="12.333333333333334"/>
    <col collapsed="false" customWidth="true" hidden="false" max="34" min="34" style="0" width="10.733333333333333"/>
    <col collapsed="false" customWidth="true" hidden="false" max="49" min="49" style="0" width="14.066666666666666"/>
    <col collapsed="false" customWidth="true" hidden="false" max="4" min="4" style="0" width="12.333333333333334"/>
    <col collapsed="false" customWidth="true" hidden="false" max="20" min="20" style="0" width="12.333333333333334"/>
    <col collapsed="false" customWidth="true" hidden="false" max="33" min="33" style="0" width="10.733333333333333"/>
    <col collapsed="false" customWidth="true" hidden="false" max="52" min="52" style="0" width="15.8"/>
    <col collapsed="false" customWidth="true" hidden="false" max="3" min="3" style="0" width="49.53333333333333"/>
    <col collapsed="false" customWidth="true" hidden="false" max="19" min="19" style="0" width="12.333333333333334"/>
    <col collapsed="false" customWidth="true" hidden="false" max="36" min="36" style="0" width="10.733333333333333"/>
    <col collapsed="false" customWidth="true" hidden="false" max="51" min="51" style="0" width="15.8"/>
    <col collapsed="false" customWidth="true" hidden="false" max="6" min="6" style="0" width="9"/>
    <col collapsed="false" customWidth="true" hidden="false" max="22" min="22" style="0" width="10.733333333333333"/>
    <col collapsed="false" customWidth="true" hidden="false" max="35" min="35" style="0" width="10.733333333333333"/>
    <col collapsed="false" customWidth="true" hidden="false" max="54" min="54" style="0" width="15.8"/>
  </cols>
  <sheetData>
    <row customHeight="true" ht="22.22222222222222" r="1">
      <c r="A1" s="539" t="s">
        <v>1290</v>
      </c>
      <c r="B1" s="540" t="s">
        <v>1291</v>
      </c>
      <c r="C1" s="541" t="s">
        <v>1292</v>
      </c>
      <c r="D1" s="542" t="s">
        <v>1293</v>
      </c>
      <c r="E1" s="543" t="s">
        <v>1294</v>
      </c>
      <c r="F1" s="544" t="s">
        <v>1295</v>
      </c>
      <c r="G1" s="542" t="s">
        <v>1296</v>
      </c>
      <c r="H1" s="542" t="s">
        <v>1297</v>
      </c>
      <c r="I1" s="545" t="s">
        <v>1298</v>
      </c>
      <c r="J1" s="546" t="s">
        <v>1299</v>
      </c>
      <c r="K1" s="542" t="s">
        <v>1300</v>
      </c>
      <c r="L1" s="542" t="s">
        <v>1301</v>
      </c>
      <c r="M1" s="547" t="s">
        <v>1302</v>
      </c>
      <c r="N1" s="548" t="s">
        <v>1303</v>
      </c>
      <c r="O1" s="549" t="s">
        <v>1304</v>
      </c>
      <c r="P1" s="549" t="s">
        <v>1305</v>
      </c>
      <c r="Q1" s="542" t="s">
        <v>1306</v>
      </c>
      <c r="R1" s="550" t="s">
        <v>1307</v>
      </c>
      <c r="S1" s="550" t="s">
        <v>1308</v>
      </c>
      <c r="T1" s="551" t="s">
        <v>1309</v>
      </c>
      <c r="U1" s="551" t="s">
        <v>1310</v>
      </c>
      <c r="V1" s="552" t="s">
        <v>1311</v>
      </c>
      <c r="W1" s="551" t="s">
        <v>1312</v>
      </c>
      <c r="X1" s="553" t="s">
        <v>1313</v>
      </c>
      <c r="Y1" s="542" t="s">
        <v>1314</v>
      </c>
      <c r="Z1" s="542"/>
      <c r="AA1" s="542"/>
      <c r="AB1" s="542"/>
      <c r="AC1" s="554" t="s">
        <v>1315</v>
      </c>
      <c r="AD1" s="555" t="s">
        <v>1316</v>
      </c>
      <c r="AE1" s="556" t="s">
        <v>1317</v>
      </c>
      <c r="AF1" s="555" t="s">
        <v>1318</v>
      </c>
      <c r="AG1" s="555" t="s">
        <v>1319</v>
      </c>
      <c r="AH1" s="557" t="s">
        <v>1320</v>
      </c>
      <c r="AI1" s="557"/>
      <c r="AJ1" s="557"/>
      <c r="AK1" s="557"/>
      <c r="AL1" s="557"/>
      <c r="AM1" s="557"/>
      <c r="AN1" s="558"/>
      <c r="AO1" s="557"/>
      <c r="AP1" s="557"/>
      <c r="AQ1" s="557"/>
      <c r="AR1" s="557"/>
      <c r="AS1" s="557"/>
      <c r="AT1" s="558"/>
      <c r="AU1" s="557"/>
      <c r="AV1" s="559"/>
      <c r="AW1" s="560" t="s">
        <v>1321</v>
      </c>
      <c r="AX1" s="560"/>
      <c r="AY1" s="560"/>
      <c r="AZ1" s="560"/>
      <c r="BA1" s="560"/>
      <c r="BB1" s="560"/>
      <c r="BC1" s="560"/>
      <c r="BD1" s="561" t="s">
        <v>1322</v>
      </c>
      <c r="BE1" s="561"/>
      <c r="BF1" s="561"/>
      <c r="BG1" s="561"/>
      <c r="BH1" s="561"/>
      <c r="BI1" s="562"/>
      <c r="BJ1" s="563" t="s">
        <v>1323</v>
      </c>
      <c r="BK1" s="564"/>
      <c r="BL1" s="563"/>
      <c r="BM1" s="563"/>
      <c r="BN1" s="564"/>
    </row>
    <row customHeight="true" ht="32.59259259259259" r="2">
      <c r="A2" s="539"/>
      <c r="B2" s="540"/>
      <c r="C2" s="541"/>
      <c r="D2" s="542"/>
      <c r="E2" s="543"/>
      <c r="F2" s="544"/>
      <c r="G2" s="542"/>
      <c r="H2" s="542"/>
      <c r="I2" s="545"/>
      <c r="J2" s="546"/>
      <c r="K2" s="542"/>
      <c r="L2" s="542"/>
      <c r="M2" s="547"/>
      <c r="N2" s="548"/>
      <c r="O2" s="549"/>
      <c r="P2" s="549"/>
      <c r="Q2" s="542"/>
      <c r="R2" s="565"/>
      <c r="S2" s="565"/>
      <c r="T2" s="551"/>
      <c r="U2" s="551"/>
      <c r="V2" s="552"/>
      <c r="W2" s="551"/>
      <c r="X2" s="553"/>
      <c r="Y2" s="542"/>
      <c r="Z2" s="542"/>
      <c r="AA2" s="542"/>
      <c r="AB2" s="542"/>
      <c r="AC2" s="554"/>
      <c r="AD2" s="555"/>
      <c r="AE2" s="556"/>
      <c r="AF2" s="555"/>
      <c r="AG2" s="555"/>
      <c r="AH2" s="566" t="s">
        <v>1324</v>
      </c>
      <c r="AI2" s="566" t="s">
        <v>1325</v>
      </c>
      <c r="AJ2" s="567" t="s">
        <v>1326</v>
      </c>
      <c r="AK2" s="566" t="s">
        <v>1327</v>
      </c>
      <c r="AL2" s="568" t="s">
        <v>1328</v>
      </c>
      <c r="AM2" s="567" t="s">
        <v>1329</v>
      </c>
      <c r="AN2" s="567" t="s">
        <v>1330</v>
      </c>
      <c r="AO2" s="569" t="s">
        <v>1331</v>
      </c>
      <c r="AP2" s="566" t="s">
        <v>1332</v>
      </c>
      <c r="AQ2" s="569" t="s">
        <v>1333</v>
      </c>
      <c r="AR2" s="570" t="s">
        <v>1334</v>
      </c>
      <c r="AS2" s="571" t="s">
        <v>1335</v>
      </c>
      <c r="AT2" s="572" t="s">
        <v>1336</v>
      </c>
      <c r="AU2" s="571"/>
      <c r="AV2" s="573" t="s">
        <v>1337</v>
      </c>
      <c r="AW2" s="574" t="s">
        <v>1338</v>
      </c>
      <c r="AX2" s="575" t="s">
        <v>1339</v>
      </c>
      <c r="AY2" s="576" t="s">
        <v>1340</v>
      </c>
      <c r="AZ2" s="577" t="s">
        <v>1341</v>
      </c>
      <c r="BA2" s="578" t="s">
        <v>1342</v>
      </c>
      <c r="BB2" s="579" t="s">
        <v>1343</v>
      </c>
      <c r="BC2" s="580" t="s">
        <v>1344</v>
      </c>
      <c r="BD2" s="581" t="s">
        <v>1345</v>
      </c>
      <c r="BE2" s="582" t="s">
        <v>1346</v>
      </c>
      <c r="BF2" s="583" t="s">
        <v>1347</v>
      </c>
      <c r="BG2" s="584" t="s">
        <v>1348</v>
      </c>
      <c r="BH2" s="585" t="s">
        <v>1349</v>
      </c>
      <c r="BI2" s="586" t="s">
        <v>1350</v>
      </c>
      <c r="BJ2" s="587" t="s">
        <v>1351</v>
      </c>
      <c r="BK2" s="588" t="s">
        <v>1352</v>
      </c>
      <c r="BL2" s="589" t="s">
        <v>1353</v>
      </c>
      <c r="BM2" s="589" t="s">
        <v>1354</v>
      </c>
      <c r="BN2" s="588" t="s">
        <v>1355</v>
      </c>
    </row>
    <row customHeight="true" ht="13.333333333333332" r="3">
      <c r="A3" s="590">
        <v>45992</v>
      </c>
      <c r="B3" s="591" t="s">
        <v>1356</v>
      </c>
      <c r="C3" s="592"/>
      <c r="D3" s="591">
        <v>54.99</v>
      </c>
      <c r="E3" s="593"/>
      <c r="F3" s="594">
        <v>0</v>
      </c>
      <c r="G3" s="594">
        <v>0</v>
      </c>
      <c r="H3" s="595">
        <f t="shared" ref="H3:H57" si="11">D3*(1-F3)*(1-G3)</f>
      </c>
      <c r="I3" s="594" t="s">
        <v>1357</v>
      </c>
      <c r="J3" s="596" t="s">
        <v>1357</v>
      </c>
      <c r="K3" s="591">
        <f>'西班牙ERP数据'!BC2</f>
      </c>
      <c r="L3" s="591">
        <f>'西班牙ERP数据'!BA2</f>
      </c>
      <c r="M3" s="591">
        <f t="shared" ref="M3:M57" si="0">K3+L3</f>
      </c>
      <c r="N3" s="594">
        <f t="shared" ref="N3:N57" si="12">IFERROR(Q3/M3,0)</f>
      </c>
      <c r="O3" s="597">
        <f t="shared" ref="O3:O57" si="7">P3-AK3</f>
      </c>
      <c r="P3" s="597">
        <f t="shared" ref="P3:P57" si="4">Q3-U3-BE3</f>
      </c>
      <c r="Q3" s="591">
        <f>'西班牙ERP数据'!R2</f>
      </c>
      <c r="R3" s="591"/>
      <c r="S3" s="591">
        <f>'西班牙ERP数据'!Z2</f>
      </c>
      <c r="T3" s="591">
        <v>0</v>
      </c>
      <c r="U3" s="591">
        <v>0</v>
      </c>
      <c r="V3" s="594">
        <v>0</v>
      </c>
      <c r="W3" s="591">
        <v>0</v>
      </c>
      <c r="X3" s="596">
        <v>0</v>
      </c>
      <c r="Y3" s="591"/>
      <c r="Z3" s="591"/>
      <c r="AA3" s="591"/>
      <c r="AB3" s="591"/>
      <c r="AC3" s="591"/>
      <c r="AD3" s="598">
        <v>0</v>
      </c>
      <c r="AE3" s="592">
        <v>0</v>
      </c>
      <c r="AF3" s="591">
        <v>0</v>
      </c>
      <c r="AG3" s="591">
        <v>0</v>
      </c>
      <c r="AH3" s="599">
        <v>0</v>
      </c>
      <c r="AI3" s="591">
        <v>0</v>
      </c>
      <c r="AJ3" s="600">
        <f t="shared" ref="AJ3:AJ57" si="8">AI3/AH3</f>
      </c>
      <c r="AK3" s="591">
        <v>0</v>
      </c>
      <c r="AL3" s="601">
        <f t="shared" ref="AL3:AL57" si="5">AP3/AI3</f>
      </c>
      <c r="AM3" s="602">
        <f t="shared" ref="AM3:AM57" si="1">AP3/AS3</f>
      </c>
      <c r="AN3" s="600">
        <f t="shared" ref="AN3:AN57" si="13">AK3/AI3</f>
      </c>
      <c r="AO3" s="603">
        <f t="shared" ref="AO3:AO57" si="9">AK3/P3</f>
      </c>
      <c r="AP3" s="601">
        <v>0</v>
      </c>
      <c r="AQ3" s="594">
        <f t="shared" ref="AQ3:AQ21" si="6">AP3/W3</f>
      </c>
      <c r="AR3" s="597">
        <f t="shared" ref="AR3:AR23" si="2">AP3/AK3</f>
      </c>
      <c r="AS3" s="597">
        <v>0</v>
      </c>
      <c r="AT3" s="600"/>
      <c r="AU3" s="597"/>
      <c r="AV3" s="600"/>
      <c r="AW3" s="604"/>
      <c r="AX3" s="604"/>
      <c r="AY3" s="605"/>
      <c r="AZ3" s="600"/>
      <c r="BA3" s="597"/>
      <c r="BB3" s="597"/>
      <c r="BC3" s="597"/>
      <c r="BD3" s="596"/>
      <c r="BE3" s="606"/>
      <c r="BF3" s="591"/>
      <c r="BG3" s="600"/>
      <c r="BH3" s="591"/>
      <c r="BI3" s="603"/>
      <c r="BJ3" s="591"/>
      <c r="BK3" s="592"/>
      <c r="BL3" s="591"/>
      <c r="BM3" s="607"/>
      <c r="BN3" s="608"/>
    </row>
    <row customHeight="true" ht="13.333333333333332" r="4">
      <c r="A4" s="590">
        <v>45993</v>
      </c>
      <c r="B4" s="591" t="s">
        <v>1358</v>
      </c>
      <c r="C4" s="592"/>
      <c r="D4" s="591">
        <v>54.99</v>
      </c>
      <c r="E4" s="593"/>
      <c r="F4" s="594">
        <v>0</v>
      </c>
      <c r="G4" s="594">
        <v>0</v>
      </c>
      <c r="H4" s="595">
        <f t="shared" si="11"/>
      </c>
      <c r="I4" s="594" t="s">
        <v>1357</v>
      </c>
      <c r="J4" s="596" t="s">
        <v>1357</v>
      </c>
      <c r="K4" s="591">
        <f>'西班牙ERP数据'!BC3</f>
      </c>
      <c r="L4" s="591">
        <f>'西班牙ERP数据'!BA3</f>
      </c>
      <c r="M4" s="591">
        <f t="shared" si="0"/>
      </c>
      <c r="N4" s="594">
        <f t="shared" si="12"/>
      </c>
      <c r="O4" s="597">
        <f t="shared" si="7"/>
      </c>
      <c r="P4" s="597">
        <f t="shared" si="4"/>
      </c>
      <c r="Q4" s="591">
        <f>'西班牙ERP数据'!R3</f>
      </c>
      <c r="R4" s="591"/>
      <c r="S4" s="591">
        <f>'西班牙ERP数据'!Z3</f>
      </c>
      <c r="T4" s="591">
        <v>0</v>
      </c>
      <c r="U4" s="591">
        <v>0</v>
      </c>
      <c r="V4" s="594">
        <v>0</v>
      </c>
      <c r="W4" s="591">
        <v>0</v>
      </c>
      <c r="X4" s="596">
        <v>0</v>
      </c>
      <c r="Y4" s="591"/>
      <c r="Z4" s="591"/>
      <c r="AA4" s="591"/>
      <c r="AB4" s="591"/>
      <c r="AC4" s="591"/>
      <c r="AD4" s="598">
        <v>0</v>
      </c>
      <c r="AE4" s="592">
        <v>0</v>
      </c>
      <c r="AF4" s="591">
        <v>0</v>
      </c>
      <c r="AG4" s="591">
        <v>0</v>
      </c>
      <c r="AH4" s="599">
        <v>0</v>
      </c>
      <c r="AI4" s="591">
        <v>0</v>
      </c>
      <c r="AJ4" s="600">
        <f t="shared" si="8"/>
      </c>
      <c r="AK4" s="591">
        <v>0</v>
      </c>
      <c r="AL4" s="601">
        <f t="shared" si="5"/>
      </c>
      <c r="AM4" s="602">
        <f t="shared" si="1"/>
      </c>
      <c r="AN4" s="600">
        <f t="shared" si="13"/>
      </c>
      <c r="AO4" s="603">
        <f t="shared" si="9"/>
      </c>
      <c r="AP4" s="601">
        <v>0</v>
      </c>
      <c r="AQ4" s="594">
        <f t="shared" si="6"/>
      </c>
      <c r="AR4" s="597">
        <f t="shared" si="2"/>
      </c>
      <c r="AS4" s="597">
        <v>0</v>
      </c>
      <c r="AT4" s="600"/>
      <c r="AU4" s="597"/>
      <c r="AV4" s="600"/>
      <c r="AW4" s="604"/>
      <c r="AX4" s="604"/>
      <c r="AY4" s="605"/>
      <c r="AZ4" s="600"/>
      <c r="BA4" s="597"/>
      <c r="BB4" s="597"/>
      <c r="BC4" s="597"/>
      <c r="BD4" s="596"/>
      <c r="BE4" s="606"/>
      <c r="BF4" s="591"/>
      <c r="BG4" s="600"/>
      <c r="BH4" s="591"/>
      <c r="BI4" s="603"/>
      <c r="BJ4" s="591"/>
      <c r="BK4" s="592"/>
      <c r="BL4" s="591"/>
      <c r="BM4" s="607"/>
      <c r="BN4" s="608"/>
    </row>
    <row customHeight="true" ht="13.333333333333332" r="5">
      <c r="A5" s="590">
        <v>45994</v>
      </c>
      <c r="B5" s="591" t="s">
        <v>1359</v>
      </c>
      <c r="C5" s="592"/>
      <c r="D5" s="591">
        <v>54.99</v>
      </c>
      <c r="E5" s="593"/>
      <c r="F5" s="594">
        <v>0</v>
      </c>
      <c r="G5" s="594">
        <v>0</v>
      </c>
      <c r="H5" s="595">
        <f t="shared" si="11"/>
      </c>
      <c r="I5" s="594" t="s">
        <v>1357</v>
      </c>
      <c r="J5" s="596" t="s">
        <v>1357</v>
      </c>
      <c r="K5" s="591">
        <f>'西班牙ERP数据'!BC4</f>
      </c>
      <c r="L5" s="591">
        <f>'西班牙ERP数据'!BA4</f>
      </c>
      <c r="M5" s="591">
        <f t="shared" si="0"/>
      </c>
      <c r="N5" s="594">
        <f t="shared" si="12"/>
      </c>
      <c r="O5" s="597">
        <f t="shared" si="7"/>
      </c>
      <c r="P5" s="597">
        <f t="shared" si="4"/>
      </c>
      <c r="Q5" s="591">
        <f>'西班牙ERP数据'!R4</f>
      </c>
      <c r="R5" s="591"/>
      <c r="S5" s="591">
        <f>'西班牙ERP数据'!Z4</f>
      </c>
      <c r="T5" s="591">
        <v>0</v>
      </c>
      <c r="U5" s="591">
        <v>0</v>
      </c>
      <c r="V5" s="594">
        <v>0</v>
      </c>
      <c r="W5" s="591">
        <v>0</v>
      </c>
      <c r="X5" s="596">
        <v>0</v>
      </c>
      <c r="Y5" s="591"/>
      <c r="Z5" s="591"/>
      <c r="AA5" s="591"/>
      <c r="AB5" s="591"/>
      <c r="AC5" s="591"/>
      <c r="AD5" s="598">
        <v>0</v>
      </c>
      <c r="AE5" s="592">
        <v>0</v>
      </c>
      <c r="AF5" s="591">
        <v>0</v>
      </c>
      <c r="AG5" s="591">
        <v>0</v>
      </c>
      <c r="AH5" s="599">
        <v>0</v>
      </c>
      <c r="AI5" s="591">
        <v>0</v>
      </c>
      <c r="AJ5" s="600">
        <f t="shared" si="8"/>
      </c>
      <c r="AK5" s="591">
        <v>0</v>
      </c>
      <c r="AL5" s="601">
        <f t="shared" si="5"/>
      </c>
      <c r="AM5" s="602">
        <f t="shared" si="1"/>
      </c>
      <c r="AN5" s="600">
        <f t="shared" si="13"/>
      </c>
      <c r="AO5" s="603">
        <f t="shared" si="9"/>
      </c>
      <c r="AP5" s="601">
        <v>0</v>
      </c>
      <c r="AQ5" s="594">
        <f t="shared" si="6"/>
      </c>
      <c r="AR5" s="597">
        <f t="shared" si="2"/>
      </c>
      <c r="AS5" s="597">
        <v>0</v>
      </c>
      <c r="AT5" s="600"/>
      <c r="AU5" s="597"/>
      <c r="AV5" s="600"/>
      <c r="AW5" s="604"/>
      <c r="AX5" s="604"/>
      <c r="AY5" s="605"/>
      <c r="AZ5" s="600"/>
      <c r="BA5" s="597"/>
      <c r="BB5" s="597"/>
      <c r="BC5" s="597"/>
      <c r="BD5" s="596"/>
      <c r="BE5" s="606"/>
      <c r="BF5" s="591"/>
      <c r="BG5" s="600"/>
      <c r="BH5" s="591"/>
      <c r="BI5" s="603"/>
      <c r="BJ5" s="591"/>
      <c r="BK5" s="592"/>
      <c r="BL5" s="591"/>
      <c r="BM5" s="607"/>
      <c r="BN5" s="608"/>
    </row>
    <row customHeight="true" ht="13.333333333333332" r="6">
      <c r="A6" s="590">
        <v>45995</v>
      </c>
      <c r="B6" s="591" t="s">
        <v>1360</v>
      </c>
      <c r="C6" s="592"/>
      <c r="D6" s="591">
        <v>54.99</v>
      </c>
      <c r="E6" s="593"/>
      <c r="F6" s="594">
        <v>0</v>
      </c>
      <c r="G6" s="594">
        <v>0</v>
      </c>
      <c r="H6" s="595">
        <f t="shared" si="11"/>
      </c>
      <c r="I6" s="594" t="s">
        <v>1357</v>
      </c>
      <c r="J6" s="596" t="s">
        <v>1357</v>
      </c>
      <c r="K6" s="591">
        <f>'西班牙ERP数据'!BC5</f>
      </c>
      <c r="L6" s="591">
        <f>'西班牙ERP数据'!BA5</f>
      </c>
      <c r="M6" s="591">
        <f t="shared" si="0"/>
      </c>
      <c r="N6" s="594">
        <f t="shared" si="12"/>
      </c>
      <c r="O6" s="597">
        <f t="shared" si="7"/>
      </c>
      <c r="P6" s="597">
        <f t="shared" si="4"/>
      </c>
      <c r="Q6" s="591">
        <f>'西班牙ERP数据'!R5</f>
      </c>
      <c r="R6" s="591"/>
      <c r="S6" s="591">
        <f>'西班牙ERP数据'!Z5</f>
      </c>
      <c r="T6" s="591">
        <v>0</v>
      </c>
      <c r="U6" s="591">
        <v>0</v>
      </c>
      <c r="V6" s="594">
        <v>0</v>
      </c>
      <c r="W6" s="591">
        <v>0</v>
      </c>
      <c r="X6" s="596">
        <v>0</v>
      </c>
      <c r="Y6" s="591"/>
      <c r="Z6" s="591"/>
      <c r="AA6" s="591"/>
      <c r="AB6" s="591"/>
      <c r="AC6" s="591"/>
      <c r="AD6" s="598">
        <v>0</v>
      </c>
      <c r="AE6" s="592">
        <v>0</v>
      </c>
      <c r="AF6" s="591">
        <v>0</v>
      </c>
      <c r="AG6" s="591">
        <v>0</v>
      </c>
      <c r="AH6" s="599">
        <v>0</v>
      </c>
      <c r="AI6" s="591">
        <v>0</v>
      </c>
      <c r="AJ6" s="600">
        <f t="shared" si="8"/>
      </c>
      <c r="AK6" s="591">
        <v>0</v>
      </c>
      <c r="AL6" s="601">
        <f t="shared" si="5"/>
      </c>
      <c r="AM6" s="602">
        <f t="shared" si="1"/>
      </c>
      <c r="AN6" s="600">
        <f t="shared" si="13"/>
      </c>
      <c r="AO6" s="603">
        <f t="shared" si="9"/>
      </c>
      <c r="AP6" s="601">
        <v>0</v>
      </c>
      <c r="AQ6" s="594">
        <f t="shared" si="6"/>
      </c>
      <c r="AR6" s="597">
        <f t="shared" si="2"/>
      </c>
      <c r="AS6" s="597">
        <v>0</v>
      </c>
      <c r="AT6" s="600"/>
      <c r="AU6" s="597"/>
      <c r="AV6" s="600"/>
      <c r="AW6" s="604"/>
      <c r="AX6" s="604"/>
      <c r="AY6" s="605"/>
      <c r="AZ6" s="600"/>
      <c r="BA6" s="597"/>
      <c r="BB6" s="597"/>
      <c r="BC6" s="597"/>
      <c r="BD6" s="596"/>
      <c r="BE6" s="606"/>
      <c r="BF6" s="591"/>
      <c r="BG6" s="600"/>
      <c r="BH6" s="591"/>
      <c r="BI6" s="603"/>
      <c r="BJ6" s="591"/>
      <c r="BK6" s="592"/>
      <c r="BL6" s="591"/>
      <c r="BM6" s="607"/>
      <c r="BN6" s="608"/>
    </row>
    <row customHeight="true" ht="13.333333333333332" r="7">
      <c r="A7" s="590">
        <v>45996</v>
      </c>
      <c r="B7" s="591" t="s">
        <v>1361</v>
      </c>
      <c r="C7" s="592"/>
      <c r="D7" s="591">
        <v>54.99</v>
      </c>
      <c r="E7" s="593"/>
      <c r="F7" s="594">
        <v>0</v>
      </c>
      <c r="G7" s="594">
        <v>0</v>
      </c>
      <c r="H7" s="595">
        <f t="shared" si="11"/>
      </c>
      <c r="I7" s="594" t="s">
        <v>1357</v>
      </c>
      <c r="J7" s="596" t="s">
        <v>1357</v>
      </c>
      <c r="K7" s="591">
        <f>'西班牙ERP数据'!BC6</f>
      </c>
      <c r="L7" s="591">
        <f>'西班牙ERP数据'!BA6</f>
      </c>
      <c r="M7" s="591">
        <f t="shared" si="0"/>
      </c>
      <c r="N7" s="594">
        <f t="shared" si="12"/>
      </c>
      <c r="O7" s="597">
        <f t="shared" si="7"/>
      </c>
      <c r="P7" s="597">
        <f t="shared" si="4"/>
      </c>
      <c r="Q7" s="591">
        <f>'西班牙ERP数据'!R6</f>
      </c>
      <c r="R7" s="591"/>
      <c r="S7" s="591">
        <f>'西班牙ERP数据'!Z6</f>
      </c>
      <c r="T7" s="591">
        <v>1</v>
      </c>
      <c r="U7" s="591">
        <v>1</v>
      </c>
      <c r="V7" s="594">
        <v>0</v>
      </c>
      <c r="W7" s="591">
        <v>0</v>
      </c>
      <c r="X7" s="596">
        <v>0</v>
      </c>
      <c r="Y7" s="591"/>
      <c r="Z7" s="591"/>
      <c r="AA7" s="591"/>
      <c r="AB7" s="591"/>
      <c r="AC7" s="591"/>
      <c r="AD7" s="598">
        <v>0</v>
      </c>
      <c r="AE7" s="592">
        <v>0</v>
      </c>
      <c r="AF7" s="591">
        <v>0</v>
      </c>
      <c r="AG7" s="591">
        <v>0</v>
      </c>
      <c r="AH7" s="599">
        <v>0</v>
      </c>
      <c r="AI7" s="591">
        <v>0</v>
      </c>
      <c r="AJ7" s="600">
        <f t="shared" si="8"/>
      </c>
      <c r="AK7" s="591">
        <v>0</v>
      </c>
      <c r="AL7" s="601">
        <f t="shared" si="5"/>
      </c>
      <c r="AM7" s="602">
        <f t="shared" si="1"/>
      </c>
      <c r="AN7" s="600">
        <f t="shared" si="13"/>
      </c>
      <c r="AO7" s="603">
        <f t="shared" si="9"/>
      </c>
      <c r="AP7" s="601">
        <v>0</v>
      </c>
      <c r="AQ7" s="594">
        <f t="shared" si="6"/>
      </c>
      <c r="AR7" s="597">
        <f t="shared" si="2"/>
      </c>
      <c r="AS7" s="597">
        <v>0</v>
      </c>
      <c r="AT7" s="600"/>
      <c r="AU7" s="597"/>
      <c r="AV7" s="600"/>
      <c r="AW7" s="604"/>
      <c r="AX7" s="604"/>
      <c r="AY7" s="605"/>
      <c r="AZ7" s="600"/>
      <c r="BA7" s="597"/>
      <c r="BB7" s="597"/>
      <c r="BC7" s="597"/>
      <c r="BD7" s="596"/>
      <c r="BE7" s="606"/>
      <c r="BF7" s="591"/>
      <c r="BG7" s="600"/>
      <c r="BH7" s="591"/>
      <c r="BI7" s="603"/>
      <c r="BJ7" s="591"/>
      <c r="BK7" s="592"/>
      <c r="BL7" s="591"/>
      <c r="BM7" s="607"/>
      <c r="BN7" s="608"/>
    </row>
    <row customHeight="true" ht="13.333333333333332" r="8">
      <c r="A8" s="590">
        <v>45997</v>
      </c>
      <c r="B8" s="591" t="s">
        <v>1362</v>
      </c>
      <c r="C8" s="592"/>
      <c r="D8" s="591">
        <v>54.99</v>
      </c>
      <c r="E8" s="593"/>
      <c r="F8" s="594">
        <v>0</v>
      </c>
      <c r="G8" s="594">
        <v>0</v>
      </c>
      <c r="H8" s="595">
        <f t="shared" si="11"/>
      </c>
      <c r="I8" s="594" t="s">
        <v>1357</v>
      </c>
      <c r="J8" s="596" t="s">
        <v>1357</v>
      </c>
      <c r="K8" s="591">
        <f>'西班牙ERP数据'!BC7</f>
      </c>
      <c r="L8" s="591">
        <f>'西班牙ERP数据'!BA7</f>
      </c>
      <c r="M8" s="591">
        <f t="shared" si="0"/>
      </c>
      <c r="N8" s="594">
        <f t="shared" si="12"/>
      </c>
      <c r="O8" s="597">
        <f t="shared" si="7"/>
      </c>
      <c r="P8" s="597">
        <f t="shared" si="4"/>
      </c>
      <c r="Q8" s="591">
        <f>'西班牙ERP数据'!R7</f>
      </c>
      <c r="R8" s="591"/>
      <c r="S8" s="591">
        <f>'西班牙ERP数据'!Z7</f>
      </c>
      <c r="T8" s="591">
        <v>1</v>
      </c>
      <c r="U8" s="591">
        <v>1</v>
      </c>
      <c r="V8" s="594">
        <v>0</v>
      </c>
      <c r="W8" s="591">
        <v>0</v>
      </c>
      <c r="X8" s="596">
        <v>0</v>
      </c>
      <c r="Y8" s="591"/>
      <c r="Z8" s="591"/>
      <c r="AA8" s="591"/>
      <c r="AB8" s="591"/>
      <c r="AC8" s="591"/>
      <c r="AD8" s="598">
        <v>0</v>
      </c>
      <c r="AE8" s="592">
        <v>0</v>
      </c>
      <c r="AF8" s="591">
        <v>0</v>
      </c>
      <c r="AG8" s="591">
        <v>0</v>
      </c>
      <c r="AH8" s="599">
        <v>0</v>
      </c>
      <c r="AI8" s="591">
        <v>0</v>
      </c>
      <c r="AJ8" s="600">
        <f t="shared" si="8"/>
      </c>
      <c r="AK8" s="591">
        <v>0</v>
      </c>
      <c r="AL8" s="601">
        <f t="shared" si="5"/>
      </c>
      <c r="AM8" s="602">
        <f t="shared" si="1"/>
      </c>
      <c r="AN8" s="600">
        <f t="shared" si="13"/>
      </c>
      <c r="AO8" s="603">
        <f t="shared" si="9"/>
      </c>
      <c r="AP8" s="601">
        <v>0</v>
      </c>
      <c r="AQ8" s="594">
        <f t="shared" si="6"/>
      </c>
      <c r="AR8" s="597">
        <f t="shared" si="2"/>
      </c>
      <c r="AS8" s="597">
        <v>0</v>
      </c>
      <c r="AT8" s="600"/>
      <c r="AU8" s="597"/>
      <c r="AV8" s="600"/>
      <c r="AW8" s="604"/>
      <c r="AX8" s="604"/>
      <c r="AY8" s="605"/>
      <c r="AZ8" s="600"/>
      <c r="BA8" s="597"/>
      <c r="BB8" s="597"/>
      <c r="BC8" s="597"/>
      <c r="BD8" s="596"/>
      <c r="BE8" s="606"/>
      <c r="BF8" s="591"/>
      <c r="BG8" s="600"/>
      <c r="BH8" s="591"/>
      <c r="BI8" s="603"/>
      <c r="BJ8" s="591"/>
      <c r="BK8" s="592"/>
      <c r="BL8" s="591"/>
      <c r="BM8" s="607"/>
      <c r="BN8" s="608"/>
    </row>
    <row customHeight="true" ht="13.333333333333332" r="9">
      <c r="A9" s="590">
        <v>45998</v>
      </c>
      <c r="B9" s="591" t="s">
        <v>1363</v>
      </c>
      <c r="C9" s="592"/>
      <c r="D9" s="591">
        <v>54.99</v>
      </c>
      <c r="E9" s="593"/>
      <c r="F9" s="594">
        <v>0</v>
      </c>
      <c r="G9" s="594">
        <v>0</v>
      </c>
      <c r="H9" s="595">
        <f t="shared" si="11"/>
      </c>
      <c r="I9" s="594" t="s">
        <v>1357</v>
      </c>
      <c r="J9" s="596" t="s">
        <v>1357</v>
      </c>
      <c r="K9" s="591">
        <f>'西班牙ERP数据'!BC8</f>
      </c>
      <c r="L9" s="591">
        <f>'西班牙ERP数据'!BA8</f>
      </c>
      <c r="M9" s="591">
        <f t="shared" si="0"/>
      </c>
      <c r="N9" s="594">
        <f t="shared" si="12"/>
      </c>
      <c r="O9" s="597">
        <f t="shared" si="7"/>
      </c>
      <c r="P9" s="597">
        <f t="shared" si="4"/>
      </c>
      <c r="Q9" s="591">
        <f>'西班牙ERP数据'!R8</f>
      </c>
      <c r="R9" s="591"/>
      <c r="S9" s="591">
        <f>'西班牙ERP数据'!Z8</f>
      </c>
      <c r="T9" s="591">
        <v>0</v>
      </c>
      <c r="U9" s="591">
        <v>0</v>
      </c>
      <c r="V9" s="594">
        <v>0</v>
      </c>
      <c r="W9" s="591">
        <v>0</v>
      </c>
      <c r="X9" s="596">
        <v>0</v>
      </c>
      <c r="Y9" s="591"/>
      <c r="Z9" s="591"/>
      <c r="AA9" s="591"/>
      <c r="AB9" s="591"/>
      <c r="AC9" s="591"/>
      <c r="AD9" s="598">
        <v>0</v>
      </c>
      <c r="AE9" s="592">
        <v>0</v>
      </c>
      <c r="AF9" s="591">
        <v>1</v>
      </c>
      <c r="AG9" s="591">
        <v>0</v>
      </c>
      <c r="AH9" s="599">
        <v>0</v>
      </c>
      <c r="AI9" s="591">
        <v>0</v>
      </c>
      <c r="AJ9" s="600">
        <f t="shared" si="8"/>
      </c>
      <c r="AK9" s="591">
        <v>0</v>
      </c>
      <c r="AL9" s="601">
        <f t="shared" si="5"/>
      </c>
      <c r="AM9" s="602">
        <f t="shared" si="1"/>
      </c>
      <c r="AN9" s="600">
        <f t="shared" si="13"/>
      </c>
      <c r="AO9" s="603">
        <f t="shared" si="9"/>
      </c>
      <c r="AP9" s="601">
        <v>0</v>
      </c>
      <c r="AQ9" s="594">
        <f t="shared" si="6"/>
      </c>
      <c r="AR9" s="597">
        <f t="shared" si="2"/>
      </c>
      <c r="AS9" s="597">
        <v>0</v>
      </c>
      <c r="AT9" s="600"/>
      <c r="AU9" s="597"/>
      <c r="AV9" s="600"/>
      <c r="AW9" s="604"/>
      <c r="AX9" s="604"/>
      <c r="AY9" s="605"/>
      <c r="AZ9" s="600"/>
      <c r="BA9" s="597"/>
      <c r="BB9" s="597"/>
      <c r="BC9" s="597"/>
      <c r="BD9" s="596"/>
      <c r="BE9" s="606"/>
      <c r="BF9" s="591"/>
      <c r="BG9" s="600"/>
      <c r="BH9" s="591"/>
      <c r="BI9" s="603"/>
      <c r="BJ9" s="591"/>
      <c r="BK9" s="592"/>
      <c r="BL9" s="591"/>
      <c r="BM9" s="607"/>
      <c r="BN9" s="608"/>
    </row>
    <row customHeight="true" ht="13.333333333333332" r="10">
      <c r="A10" s="590">
        <v>45999</v>
      </c>
      <c r="B10" s="591" t="s">
        <v>1356</v>
      </c>
      <c r="C10" s="592"/>
      <c r="D10" s="591">
        <v>54.99</v>
      </c>
      <c r="E10" s="593"/>
      <c r="F10" s="594">
        <v>0</v>
      </c>
      <c r="G10" s="594">
        <v>0</v>
      </c>
      <c r="H10" s="595">
        <f t="shared" si="11"/>
      </c>
      <c r="I10" s="594" t="s">
        <v>1357</v>
      </c>
      <c r="J10" s="596" t="s">
        <v>1357</v>
      </c>
      <c r="K10" s="591">
        <f>'西班牙ERP数据'!BC9</f>
      </c>
      <c r="L10" s="591">
        <f>'西班牙ERP数据'!BA9</f>
      </c>
      <c r="M10" s="591">
        <f t="shared" si="0"/>
      </c>
      <c r="N10" s="594">
        <f t="shared" si="12"/>
      </c>
      <c r="O10" s="597">
        <f t="shared" si="7"/>
      </c>
      <c r="P10" s="597">
        <f t="shared" si="4"/>
      </c>
      <c r="Q10" s="591">
        <f>'西班牙ERP数据'!R9</f>
      </c>
      <c r="R10" s="591"/>
      <c r="S10" s="591">
        <f>'西班牙ERP数据'!Z9</f>
      </c>
      <c r="T10" s="591">
        <v>0</v>
      </c>
      <c r="U10" s="591">
        <v>0</v>
      </c>
      <c r="V10" s="594">
        <v>0</v>
      </c>
      <c r="W10" s="591">
        <v>0</v>
      </c>
      <c r="X10" s="596">
        <v>0</v>
      </c>
      <c r="Y10" s="591"/>
      <c r="Z10" s="591"/>
      <c r="AA10" s="591"/>
      <c r="AB10" s="591"/>
      <c r="AC10" s="591"/>
      <c r="AD10" s="598">
        <v>0</v>
      </c>
      <c r="AE10" s="592">
        <v>0</v>
      </c>
      <c r="AF10" s="591">
        <v>1</v>
      </c>
      <c r="AG10" s="591">
        <v>4</v>
      </c>
      <c r="AH10" s="599">
        <v>0</v>
      </c>
      <c r="AI10" s="591">
        <v>0</v>
      </c>
      <c r="AJ10" s="600">
        <f t="shared" si="8"/>
      </c>
      <c r="AK10" s="609">
        <v>0</v>
      </c>
      <c r="AL10" s="601">
        <f t="shared" si="5"/>
      </c>
      <c r="AM10" s="602">
        <f t="shared" si="1"/>
      </c>
      <c r="AN10" s="600">
        <f t="shared" si="13"/>
      </c>
      <c r="AO10" s="603">
        <f t="shared" si="9"/>
      </c>
      <c r="AP10" s="601">
        <v>0</v>
      </c>
      <c r="AQ10" s="594">
        <f t="shared" si="6"/>
      </c>
      <c r="AR10" s="597">
        <f t="shared" si="2"/>
      </c>
      <c r="AS10" s="597">
        <v>0</v>
      </c>
      <c r="AT10" s="600"/>
      <c r="AU10" s="597"/>
      <c r="AV10" s="600"/>
      <c r="AW10" s="604"/>
      <c r="AX10" s="604"/>
      <c r="AY10" s="605"/>
      <c r="AZ10" s="600"/>
      <c r="BA10" s="597"/>
      <c r="BB10" s="597"/>
      <c r="BC10" s="597"/>
      <c r="BD10" s="596"/>
      <c r="BE10" s="606"/>
      <c r="BF10" s="591"/>
      <c r="BG10" s="600"/>
      <c r="BH10" s="591"/>
      <c r="BI10" s="603"/>
      <c r="BJ10" s="591"/>
      <c r="BK10" s="592"/>
      <c r="BL10" s="591"/>
      <c r="BM10" s="607"/>
      <c r="BN10" s="608"/>
    </row>
    <row customHeight="true" ht="13.333333333333332" r="11">
      <c r="A11" s="590">
        <v>46000</v>
      </c>
      <c r="B11" s="591" t="s">
        <v>1358</v>
      </c>
      <c r="C11" s="592"/>
      <c r="D11" s="591">
        <v>54.99</v>
      </c>
      <c r="E11" s="593"/>
      <c r="F11" s="594">
        <v>0</v>
      </c>
      <c r="G11" s="594">
        <v>0</v>
      </c>
      <c r="H11" s="595">
        <f t="shared" si="11"/>
      </c>
      <c r="I11" s="594" t="s">
        <v>1357</v>
      </c>
      <c r="J11" s="596" t="s">
        <v>1357</v>
      </c>
      <c r="K11" s="591">
        <f>'西班牙ERP数据'!BC10</f>
      </c>
      <c r="L11" s="591">
        <f>'西班牙ERP数据'!BA10</f>
      </c>
      <c r="M11" s="591">
        <f t="shared" si="0"/>
      </c>
      <c r="N11" s="594">
        <f t="shared" si="12"/>
      </c>
      <c r="O11" s="597">
        <f t="shared" si="7"/>
      </c>
      <c r="P11" s="597">
        <f t="shared" si="4"/>
      </c>
      <c r="Q11" s="591">
        <f>'西班牙ERP数据'!R10</f>
      </c>
      <c r="R11" s="591"/>
      <c r="S11" s="591">
        <f>'西班牙ERP数据'!Z10</f>
      </c>
      <c r="T11" s="591">
        <v>0</v>
      </c>
      <c r="U11" s="591">
        <v>0</v>
      </c>
      <c r="V11" s="594">
        <v>0</v>
      </c>
      <c r="W11" s="591">
        <v>0</v>
      </c>
      <c r="X11" s="596">
        <v>0</v>
      </c>
      <c r="Y11" s="591"/>
      <c r="Z11" s="591"/>
      <c r="AA11" s="591"/>
      <c r="AB11" s="591"/>
      <c r="AC11" s="591"/>
      <c r="AD11" s="598">
        <v>0</v>
      </c>
      <c r="AE11" s="592">
        <v>0</v>
      </c>
      <c r="AF11" s="591">
        <v>1</v>
      </c>
      <c r="AG11" s="591">
        <v>4</v>
      </c>
      <c r="AH11" s="599">
        <v>0</v>
      </c>
      <c r="AI11" s="591">
        <v>0</v>
      </c>
      <c r="AJ11" s="600">
        <f t="shared" si="8"/>
      </c>
      <c r="AK11" s="609">
        <v>0</v>
      </c>
      <c r="AL11" s="601">
        <f t="shared" si="5"/>
      </c>
      <c r="AM11" s="602">
        <f t="shared" si="1"/>
      </c>
      <c r="AN11" s="600">
        <f t="shared" si="13"/>
      </c>
      <c r="AO11" s="603">
        <f t="shared" si="9"/>
      </c>
      <c r="AP11" s="601">
        <v>0</v>
      </c>
      <c r="AQ11" s="594">
        <f t="shared" si="6"/>
      </c>
      <c r="AR11" s="597">
        <f t="shared" si="2"/>
      </c>
      <c r="AS11" s="597">
        <v>0</v>
      </c>
      <c r="AT11" s="600"/>
      <c r="AU11" s="597"/>
      <c r="AV11" s="600"/>
      <c r="AW11" s="604"/>
      <c r="AX11" s="604"/>
      <c r="AY11" s="605"/>
      <c r="AZ11" s="600"/>
      <c r="BA11" s="597"/>
      <c r="BB11" s="597"/>
      <c r="BC11" s="597"/>
      <c r="BD11" s="596"/>
      <c r="BE11" s="606"/>
      <c r="BF11" s="591"/>
      <c r="BG11" s="600"/>
      <c r="BH11" s="591"/>
      <c r="BI11" s="603"/>
      <c r="BJ11" s="591"/>
      <c r="BK11" s="592"/>
      <c r="BL11" s="591"/>
      <c r="BM11" s="607"/>
      <c r="BN11" s="608"/>
    </row>
    <row customHeight="true" ht="13.333333333333332" r="12">
      <c r="A12" s="590">
        <v>46001</v>
      </c>
      <c r="B12" s="591" t="s">
        <v>1359</v>
      </c>
      <c r="C12" s="592"/>
      <c r="D12" s="591">
        <v>54.99</v>
      </c>
      <c r="E12" s="593"/>
      <c r="F12" s="594">
        <v>0</v>
      </c>
      <c r="G12" s="594">
        <v>0</v>
      </c>
      <c r="H12" s="595">
        <f t="shared" si="11"/>
      </c>
      <c r="I12" s="594" t="s">
        <v>1357</v>
      </c>
      <c r="J12" s="596" t="s">
        <v>1357</v>
      </c>
      <c r="K12" s="591">
        <f>'西班牙ERP数据'!BC11</f>
      </c>
      <c r="L12" s="591">
        <f>'西班牙ERP数据'!BA11</f>
      </c>
      <c r="M12" s="591">
        <f t="shared" si="0"/>
      </c>
      <c r="N12" s="594">
        <f t="shared" si="12"/>
      </c>
      <c r="O12" s="597">
        <f t="shared" si="7"/>
      </c>
      <c r="P12" s="597">
        <f t="shared" si="4"/>
      </c>
      <c r="Q12" s="591">
        <f>'西班牙ERP数据'!R11</f>
      </c>
      <c r="R12" s="591"/>
      <c r="S12" s="591">
        <f>'西班牙ERP数据'!Z11</f>
      </c>
      <c r="T12" s="591">
        <v>0</v>
      </c>
      <c r="U12" s="591">
        <v>0</v>
      </c>
      <c r="V12" s="594">
        <v>0</v>
      </c>
      <c r="W12" s="591">
        <v>0</v>
      </c>
      <c r="X12" s="596">
        <v>0</v>
      </c>
      <c r="Y12" s="591"/>
      <c r="Z12" s="591"/>
      <c r="AA12" s="591"/>
      <c r="AB12" s="591"/>
      <c r="AC12" s="591"/>
      <c r="AD12" s="598">
        <v>0</v>
      </c>
      <c r="AE12" s="592">
        <v>0</v>
      </c>
      <c r="AF12" s="591">
        <v>2</v>
      </c>
      <c r="AG12" s="591">
        <v>4.5</v>
      </c>
      <c r="AH12" s="599">
        <v>0</v>
      </c>
      <c r="AI12" s="591">
        <v>0</v>
      </c>
      <c r="AJ12" s="600">
        <f t="shared" si="8"/>
      </c>
      <c r="AK12" s="609">
        <v>0</v>
      </c>
      <c r="AL12" s="601">
        <f t="shared" si="5"/>
      </c>
      <c r="AM12" s="602">
        <f t="shared" si="1"/>
      </c>
      <c r="AN12" s="600">
        <f t="shared" si="13"/>
      </c>
      <c r="AO12" s="603">
        <f t="shared" si="9"/>
      </c>
      <c r="AP12" s="601">
        <v>0</v>
      </c>
      <c r="AQ12" s="594">
        <f t="shared" si="6"/>
      </c>
      <c r="AR12" s="597">
        <f t="shared" si="2"/>
      </c>
      <c r="AS12" s="597">
        <v>0</v>
      </c>
      <c r="AT12" s="600"/>
      <c r="AU12" s="597"/>
      <c r="AV12" s="600"/>
      <c r="AW12" s="604"/>
      <c r="AX12" s="604"/>
      <c r="AY12" s="605"/>
      <c r="AZ12" s="600"/>
      <c r="BA12" s="597"/>
      <c r="BB12" s="597"/>
      <c r="BC12" s="597"/>
      <c r="BD12" s="596"/>
      <c r="BE12" s="606"/>
      <c r="BF12" s="591"/>
      <c r="BG12" s="600"/>
      <c r="BH12" s="591"/>
      <c r="BI12" s="603"/>
      <c r="BJ12" s="591"/>
      <c r="BK12" s="592"/>
      <c r="BL12" s="591"/>
      <c r="BM12" s="607"/>
      <c r="BN12" s="608"/>
    </row>
    <row customHeight="true" ht="13.333333333333332" r="13">
      <c r="A13" s="590">
        <v>46002</v>
      </c>
      <c r="B13" s="591" t="s">
        <v>1360</v>
      </c>
      <c r="C13" s="592"/>
      <c r="D13" s="591">
        <v>54.99</v>
      </c>
      <c r="E13" s="593"/>
      <c r="F13" s="594">
        <v>0</v>
      </c>
      <c r="G13" s="594">
        <v>0</v>
      </c>
      <c r="H13" s="595">
        <f t="shared" si="11"/>
      </c>
      <c r="I13" s="594" t="s">
        <v>1357</v>
      </c>
      <c r="J13" s="596" t="s">
        <v>1357</v>
      </c>
      <c r="K13" s="591">
        <f>'西班牙ERP数据'!BC12</f>
      </c>
      <c r="L13" s="591">
        <f>'西班牙ERP数据'!BA12</f>
      </c>
      <c r="M13" s="591">
        <f t="shared" si="0"/>
      </c>
      <c r="N13" s="594">
        <f t="shared" si="12"/>
      </c>
      <c r="O13" s="597">
        <f t="shared" si="7"/>
      </c>
      <c r="P13" s="597">
        <f t="shared" si="4"/>
      </c>
      <c r="Q13" s="591">
        <f>'西班牙ERP数据'!R12</f>
      </c>
      <c r="R13" s="591"/>
      <c r="S13" s="591">
        <f>'西班牙ERP数据'!Z12</f>
      </c>
      <c r="T13" s="591">
        <v>0</v>
      </c>
      <c r="U13" s="591">
        <v>0</v>
      </c>
      <c r="V13" s="594">
        <v>0</v>
      </c>
      <c r="W13" s="591">
        <v>0</v>
      </c>
      <c r="X13" s="596">
        <v>0</v>
      </c>
      <c r="Y13" s="591"/>
      <c r="Z13" s="591"/>
      <c r="AA13" s="591"/>
      <c r="AB13" s="591"/>
      <c r="AC13" s="591"/>
      <c r="AD13" s="598">
        <v>0</v>
      </c>
      <c r="AE13" s="592">
        <v>0</v>
      </c>
      <c r="AF13" s="591">
        <v>3</v>
      </c>
      <c r="AG13" s="591">
        <v>4.6</v>
      </c>
      <c r="AH13" s="599">
        <v>0</v>
      </c>
      <c r="AI13" s="591">
        <v>0</v>
      </c>
      <c r="AJ13" s="600">
        <f t="shared" si="8"/>
      </c>
      <c r="AK13" s="609">
        <v>0</v>
      </c>
      <c r="AL13" s="601">
        <f t="shared" si="5"/>
      </c>
      <c r="AM13" s="602">
        <f t="shared" si="1"/>
      </c>
      <c r="AN13" s="600">
        <f t="shared" si="13"/>
      </c>
      <c r="AO13" s="603">
        <f t="shared" si="9"/>
      </c>
      <c r="AP13" s="601">
        <v>0</v>
      </c>
      <c r="AQ13" s="594">
        <f t="shared" si="6"/>
      </c>
      <c r="AR13" s="597">
        <f t="shared" si="2"/>
      </c>
      <c r="AS13" s="597">
        <v>0</v>
      </c>
      <c r="AT13" s="600"/>
      <c r="AU13" s="597"/>
      <c r="AV13" s="600"/>
      <c r="AW13" s="604"/>
      <c r="AX13" s="604"/>
      <c r="AY13" s="605"/>
      <c r="AZ13" s="600"/>
      <c r="BA13" s="597"/>
      <c r="BB13" s="597"/>
      <c r="BC13" s="597"/>
      <c r="BD13" s="596"/>
      <c r="BE13" s="606"/>
      <c r="BF13" s="591"/>
      <c r="BG13" s="600"/>
      <c r="BH13" s="591"/>
      <c r="BI13" s="603"/>
      <c r="BJ13" s="591"/>
      <c r="BK13" s="592"/>
      <c r="BL13" s="591"/>
      <c r="BM13" s="607"/>
      <c r="BN13" s="608"/>
    </row>
    <row customHeight="true" ht="13.333333333333332" r="14">
      <c r="A14" s="590">
        <v>46003</v>
      </c>
      <c r="B14" s="591" t="s">
        <v>1361</v>
      </c>
      <c r="C14" s="592"/>
      <c r="D14" s="591">
        <v>54.99</v>
      </c>
      <c r="E14" s="593"/>
      <c r="F14" s="594">
        <v>0</v>
      </c>
      <c r="G14" s="594">
        <v>0</v>
      </c>
      <c r="H14" s="595">
        <f t="shared" si="11"/>
      </c>
      <c r="I14" s="594" t="s">
        <v>1357</v>
      </c>
      <c r="J14" s="596" t="s">
        <v>1357</v>
      </c>
      <c r="K14" s="591">
        <f>'西班牙ERP数据'!BC13</f>
      </c>
      <c r="L14" s="591">
        <f>'西班牙ERP数据'!BA13</f>
      </c>
      <c r="M14" s="591">
        <f t="shared" si="0"/>
      </c>
      <c r="N14" s="594">
        <f t="shared" si="12"/>
      </c>
      <c r="O14" s="597">
        <f t="shared" si="7"/>
      </c>
      <c r="P14" s="597">
        <f t="shared" si="4"/>
      </c>
      <c r="Q14" s="591">
        <f>'西班牙ERP数据'!R13</f>
      </c>
      <c r="R14" s="591"/>
      <c r="S14" s="591">
        <f>'西班牙ERP数据'!Z13</f>
      </c>
      <c r="T14" s="591">
        <v>0</v>
      </c>
      <c r="U14" s="591">
        <v>0</v>
      </c>
      <c r="V14" s="594">
        <v>0</v>
      </c>
      <c r="W14" s="591">
        <v>0</v>
      </c>
      <c r="X14" s="596">
        <v>0</v>
      </c>
      <c r="Y14" s="591"/>
      <c r="Z14" s="591"/>
      <c r="AA14" s="591"/>
      <c r="AB14" s="591"/>
      <c r="AC14" s="591"/>
      <c r="AD14" s="598">
        <v>0</v>
      </c>
      <c r="AE14" s="592">
        <v>0</v>
      </c>
      <c r="AF14" s="591">
        <v>10</v>
      </c>
      <c r="AG14" s="591">
        <v>4.7</v>
      </c>
      <c r="AH14" s="599">
        <v>0</v>
      </c>
      <c r="AI14" s="591">
        <v>0</v>
      </c>
      <c r="AJ14" s="600">
        <f t="shared" si="8"/>
      </c>
      <c r="AK14" s="609">
        <v>0</v>
      </c>
      <c r="AL14" s="601">
        <f t="shared" si="5"/>
      </c>
      <c r="AM14" s="602">
        <f t="shared" si="1"/>
      </c>
      <c r="AN14" s="600">
        <f t="shared" si="13"/>
      </c>
      <c r="AO14" s="603">
        <f t="shared" si="9"/>
      </c>
      <c r="AP14" s="601">
        <v>0</v>
      </c>
      <c r="AQ14" s="594">
        <f t="shared" si="6"/>
      </c>
      <c r="AR14" s="597">
        <f t="shared" si="2"/>
      </c>
      <c r="AS14" s="597">
        <v>0</v>
      </c>
      <c r="AT14" s="600"/>
      <c r="AU14" s="597"/>
      <c r="AV14" s="600"/>
      <c r="AW14" s="604"/>
      <c r="AX14" s="604"/>
      <c r="AY14" s="605"/>
      <c r="AZ14" s="600"/>
      <c r="BA14" s="597"/>
      <c r="BB14" s="597"/>
      <c r="BC14" s="597"/>
      <c r="BD14" s="596"/>
      <c r="BE14" s="606"/>
      <c r="BF14" s="591"/>
      <c r="BG14" s="600"/>
      <c r="BH14" s="591"/>
      <c r="BI14" s="603"/>
      <c r="BJ14" s="591"/>
      <c r="BK14" s="592"/>
      <c r="BL14" s="591"/>
      <c r="BM14" s="607"/>
      <c r="BN14" s="608"/>
    </row>
    <row customHeight="true" ht="13.333333333333332" r="15">
      <c r="A15" s="590">
        <v>46004</v>
      </c>
      <c r="B15" s="591" t="s">
        <v>1362</v>
      </c>
      <c r="C15" s="592"/>
      <c r="D15" s="591">
        <v>54.99</v>
      </c>
      <c r="E15" s="593"/>
      <c r="F15" s="594">
        <v>0</v>
      </c>
      <c r="G15" s="594">
        <v>0</v>
      </c>
      <c r="H15" s="595">
        <f t="shared" si="11"/>
      </c>
      <c r="I15" s="594" t="s">
        <v>1357</v>
      </c>
      <c r="J15" s="596" t="s">
        <v>1357</v>
      </c>
      <c r="K15" s="591">
        <f>'西班牙ERP数据'!BC14</f>
      </c>
      <c r="L15" s="591">
        <f>'西班牙ERP数据'!BA14</f>
      </c>
      <c r="M15" s="591">
        <f t="shared" si="0"/>
      </c>
      <c r="N15" s="594">
        <f t="shared" si="12"/>
      </c>
      <c r="O15" s="597">
        <f t="shared" si="7"/>
      </c>
      <c r="P15" s="597">
        <f t="shared" si="4"/>
      </c>
      <c r="Q15" s="591">
        <f>'西班牙ERP数据'!R14</f>
      </c>
      <c r="R15" s="591"/>
      <c r="S15" s="591">
        <f>'西班牙ERP数据'!Z14</f>
      </c>
      <c r="T15" s="591">
        <v>1</v>
      </c>
      <c r="U15" s="591">
        <v>1</v>
      </c>
      <c r="V15" s="594">
        <v>0</v>
      </c>
      <c r="W15" s="591">
        <v>0</v>
      </c>
      <c r="X15" s="596">
        <v>0</v>
      </c>
      <c r="Y15" s="591"/>
      <c r="Z15" s="591"/>
      <c r="AA15" s="591"/>
      <c r="AB15" s="591"/>
      <c r="AC15" s="591"/>
      <c r="AD15" s="598">
        <v>0</v>
      </c>
      <c r="AE15" s="592">
        <v>0</v>
      </c>
      <c r="AF15" s="591">
        <v>14</v>
      </c>
      <c r="AG15" s="591">
        <v>4.7</v>
      </c>
      <c r="AH15" s="599">
        <v>0</v>
      </c>
      <c r="AI15" s="591">
        <v>0</v>
      </c>
      <c r="AJ15" s="600">
        <f t="shared" si="8"/>
      </c>
      <c r="AK15" s="609">
        <v>0</v>
      </c>
      <c r="AL15" s="601">
        <f t="shared" si="5"/>
      </c>
      <c r="AM15" s="602">
        <f t="shared" si="1"/>
      </c>
      <c r="AN15" s="600">
        <f t="shared" si="13"/>
      </c>
      <c r="AO15" s="603">
        <f t="shared" si="9"/>
      </c>
      <c r="AP15" s="601">
        <v>0</v>
      </c>
      <c r="AQ15" s="594">
        <f t="shared" si="6"/>
      </c>
      <c r="AR15" s="597">
        <f t="shared" si="2"/>
      </c>
      <c r="AS15" s="597">
        <v>0</v>
      </c>
      <c r="AT15" s="600"/>
      <c r="AU15" s="597"/>
      <c r="AV15" s="600"/>
      <c r="AW15" s="604"/>
      <c r="AX15" s="604"/>
      <c r="AY15" s="605"/>
      <c r="AZ15" s="600"/>
      <c r="BA15" s="597"/>
      <c r="BB15" s="597"/>
      <c r="BC15" s="597"/>
      <c r="BD15" s="596"/>
      <c r="BE15" s="606"/>
      <c r="BF15" s="591"/>
      <c r="BG15" s="600"/>
      <c r="BH15" s="591"/>
      <c r="BI15" s="603"/>
      <c r="BJ15" s="591"/>
      <c r="BK15" s="592"/>
      <c r="BL15" s="591"/>
      <c r="BM15" s="607"/>
      <c r="BN15" s="608"/>
    </row>
    <row customHeight="true" ht="13.333333333333332" r="16">
      <c r="A16" s="590">
        <v>46005</v>
      </c>
      <c r="B16" s="591" t="s">
        <v>1363</v>
      </c>
      <c r="C16" s="592"/>
      <c r="D16" s="591">
        <v>54.99</v>
      </c>
      <c r="E16" s="593"/>
      <c r="F16" s="594">
        <v>0</v>
      </c>
      <c r="G16" s="594">
        <v>0</v>
      </c>
      <c r="H16" s="595">
        <f t="shared" si="11"/>
      </c>
      <c r="I16" s="594" t="s">
        <v>1357</v>
      </c>
      <c r="J16" s="596" t="s">
        <v>1357</v>
      </c>
      <c r="K16" s="591">
        <f>'西班牙ERP数据'!BC15</f>
      </c>
      <c r="L16" s="591">
        <f>'西班牙ERP数据'!BA15</f>
      </c>
      <c r="M16" s="591">
        <f t="shared" si="0"/>
      </c>
      <c r="N16" s="594">
        <f t="shared" si="12"/>
      </c>
      <c r="O16" s="597">
        <f t="shared" si="7"/>
      </c>
      <c r="P16" s="597">
        <f t="shared" si="4"/>
      </c>
      <c r="Q16" s="591">
        <f>'西班牙ERP数据'!R15</f>
      </c>
      <c r="R16" s="591"/>
      <c r="S16" s="591">
        <f>'西班牙ERP数据'!Z15</f>
      </c>
      <c r="T16" s="591">
        <v>1</v>
      </c>
      <c r="U16" s="591">
        <v>1</v>
      </c>
      <c r="V16" s="594">
        <v>0</v>
      </c>
      <c r="W16" s="591">
        <v>0</v>
      </c>
      <c r="X16" s="596">
        <v>0</v>
      </c>
      <c r="Y16" s="591"/>
      <c r="Z16" s="591"/>
      <c r="AA16" s="591"/>
      <c r="AB16" s="591"/>
      <c r="AC16" s="591"/>
      <c r="AD16" s="598">
        <v>0</v>
      </c>
      <c r="AE16" s="592">
        <v>0</v>
      </c>
      <c r="AF16" s="591">
        <v>17</v>
      </c>
      <c r="AG16" s="591">
        <v>4.7</v>
      </c>
      <c r="AH16" s="599">
        <v>0</v>
      </c>
      <c r="AI16" s="591">
        <v>0</v>
      </c>
      <c r="AJ16" s="600">
        <f t="shared" si="8"/>
      </c>
      <c r="AK16" s="609">
        <v>0</v>
      </c>
      <c r="AL16" s="601">
        <f t="shared" si="5"/>
      </c>
      <c r="AM16" s="602">
        <f t="shared" si="1"/>
      </c>
      <c r="AN16" s="600">
        <f t="shared" si="13"/>
      </c>
      <c r="AO16" s="603">
        <f t="shared" si="9"/>
      </c>
      <c r="AP16" s="601">
        <v>0</v>
      </c>
      <c r="AQ16" s="594">
        <f t="shared" si="6"/>
      </c>
      <c r="AR16" s="597">
        <f t="shared" si="2"/>
      </c>
      <c r="AS16" s="597">
        <v>0</v>
      </c>
      <c r="AT16" s="600"/>
      <c r="AU16" s="597"/>
      <c r="AV16" s="600"/>
      <c r="AW16" s="604"/>
      <c r="AX16" s="604"/>
      <c r="AY16" s="605"/>
      <c r="AZ16" s="600"/>
      <c r="BA16" s="597"/>
      <c r="BB16" s="597"/>
      <c r="BC16" s="597"/>
      <c r="BD16" s="596"/>
      <c r="BE16" s="606"/>
      <c r="BF16" s="591"/>
      <c r="BG16" s="600"/>
      <c r="BH16" s="591"/>
      <c r="BI16" s="603"/>
      <c r="BJ16" s="591"/>
      <c r="BK16" s="592"/>
      <c r="BL16" s="591"/>
      <c r="BM16" s="607"/>
      <c r="BN16" s="608"/>
    </row>
    <row customHeight="true" ht="13.333333333333332" r="17">
      <c r="A17" s="590">
        <v>46006</v>
      </c>
      <c r="B17" s="591" t="s">
        <v>1356</v>
      </c>
      <c r="C17" s="592"/>
      <c r="D17" s="591">
        <v>54.99</v>
      </c>
      <c r="E17" s="593"/>
      <c r="F17" s="594">
        <v>0</v>
      </c>
      <c r="G17" s="594">
        <v>0</v>
      </c>
      <c r="H17" s="595">
        <f t="shared" si="11"/>
      </c>
      <c r="I17" s="594" t="s">
        <v>1357</v>
      </c>
      <c r="J17" s="596" t="s">
        <v>1357</v>
      </c>
      <c r="K17" s="591">
        <f>'西班牙ERP数据'!BC16</f>
      </c>
      <c r="L17" s="591">
        <f>'西班牙ERP数据'!BA16</f>
      </c>
      <c r="M17" s="591">
        <f t="shared" si="0"/>
      </c>
      <c r="N17" s="594">
        <f t="shared" si="12"/>
      </c>
      <c r="O17" s="597">
        <f t="shared" si="7"/>
      </c>
      <c r="P17" s="597">
        <f t="shared" si="4"/>
      </c>
      <c r="Q17" s="591">
        <f>'西班牙ERP数据'!R16</f>
      </c>
      <c r="R17" s="591"/>
      <c r="S17" s="591">
        <f>'西班牙ERP数据'!Z16</f>
      </c>
      <c r="T17" s="591">
        <v>1</v>
      </c>
      <c r="U17" s="591">
        <v>1</v>
      </c>
      <c r="V17" s="594">
        <v>0</v>
      </c>
      <c r="W17" s="591">
        <v>0</v>
      </c>
      <c r="X17" s="596">
        <v>0</v>
      </c>
      <c r="Y17" s="591"/>
      <c r="Z17" s="591"/>
      <c r="AA17" s="591"/>
      <c r="AB17" s="591"/>
      <c r="AC17" s="591"/>
      <c r="AD17" s="598">
        <v>0</v>
      </c>
      <c r="AE17" s="592">
        <v>0</v>
      </c>
      <c r="AF17" s="591">
        <v>17</v>
      </c>
      <c r="AG17" s="591">
        <v>4.7</v>
      </c>
      <c r="AH17" s="599">
        <v>0</v>
      </c>
      <c r="AI17" s="591">
        <v>0</v>
      </c>
      <c r="AJ17" s="600">
        <f t="shared" si="8"/>
      </c>
      <c r="AK17" s="609">
        <v>0</v>
      </c>
      <c r="AL17" s="601">
        <f t="shared" si="5"/>
      </c>
      <c r="AM17" s="602">
        <f t="shared" si="1"/>
      </c>
      <c r="AN17" s="600">
        <f t="shared" si="13"/>
      </c>
      <c r="AO17" s="603">
        <f t="shared" si="9"/>
      </c>
      <c r="AP17" s="601">
        <v>0</v>
      </c>
      <c r="AQ17" s="594">
        <f t="shared" si="6"/>
      </c>
      <c r="AR17" s="597">
        <f t="shared" si="2"/>
      </c>
      <c r="AS17" s="597">
        <v>0</v>
      </c>
      <c r="AT17" s="600"/>
      <c r="AU17" s="597"/>
      <c r="AV17" s="600"/>
      <c r="AW17" s="604"/>
      <c r="AX17" s="604"/>
      <c r="AY17" s="605"/>
      <c r="AZ17" s="600"/>
      <c r="BA17" s="597"/>
      <c r="BB17" s="597"/>
      <c r="BC17" s="597"/>
      <c r="BD17" s="596"/>
      <c r="BE17" s="606"/>
      <c r="BF17" s="591"/>
      <c r="BG17" s="600"/>
      <c r="BH17" s="591"/>
      <c r="BI17" s="603"/>
      <c r="BJ17" s="591"/>
      <c r="BK17" s="592"/>
      <c r="BL17" s="591"/>
      <c r="BM17" s="607"/>
      <c r="BN17" s="608"/>
    </row>
    <row customHeight="true" ht="13.333333333333332" r="18">
      <c r="A18" s="590">
        <v>46007</v>
      </c>
      <c r="B18" s="591" t="s">
        <v>1358</v>
      </c>
      <c r="C18" s="592"/>
      <c r="D18" s="591">
        <v>54.99</v>
      </c>
      <c r="E18" s="593"/>
      <c r="F18" s="594">
        <v>0</v>
      </c>
      <c r="G18" s="594">
        <v>0</v>
      </c>
      <c r="H18" s="595">
        <f t="shared" si="11"/>
      </c>
      <c r="I18" s="594" t="s">
        <v>1357</v>
      </c>
      <c r="J18" s="596" t="s">
        <v>1357</v>
      </c>
      <c r="K18" s="591">
        <f>'西班牙ERP数据'!BC17</f>
      </c>
      <c r="L18" s="591">
        <f>'西班牙ERP数据'!BA17</f>
      </c>
      <c r="M18" s="591">
        <f t="shared" si="0"/>
      </c>
      <c r="N18" s="594">
        <f t="shared" si="12"/>
      </c>
      <c r="O18" s="597">
        <f t="shared" si="7"/>
      </c>
      <c r="P18" s="597">
        <f t="shared" si="4"/>
      </c>
      <c r="Q18" s="591">
        <f>'西班牙ERP数据'!R17</f>
      </c>
      <c r="R18" s="591"/>
      <c r="S18" s="591">
        <f>'西班牙ERP数据'!Z17</f>
      </c>
      <c r="T18" s="591">
        <v>0</v>
      </c>
      <c r="U18" s="591">
        <v>0</v>
      </c>
      <c r="V18" s="594">
        <v>0</v>
      </c>
      <c r="W18" s="591">
        <v>0</v>
      </c>
      <c r="X18" s="596">
        <v>0</v>
      </c>
      <c r="Y18" s="591"/>
      <c r="Z18" s="591"/>
      <c r="AA18" s="591"/>
      <c r="AB18" s="591"/>
      <c r="AC18" s="591"/>
      <c r="AD18" s="598">
        <v>0</v>
      </c>
      <c r="AE18" s="592">
        <v>0</v>
      </c>
      <c r="AF18" s="591">
        <v>20</v>
      </c>
      <c r="AG18" s="591">
        <v>4.7</v>
      </c>
      <c r="AH18" s="599">
        <v>0</v>
      </c>
      <c r="AI18" s="591">
        <v>0</v>
      </c>
      <c r="AJ18" s="600">
        <f t="shared" si="8"/>
      </c>
      <c r="AK18" s="609">
        <v>0</v>
      </c>
      <c r="AL18" s="601">
        <f t="shared" si="5"/>
      </c>
      <c r="AM18" s="602">
        <f t="shared" si="1"/>
      </c>
      <c r="AN18" s="600">
        <f t="shared" si="13"/>
      </c>
      <c r="AO18" s="603">
        <f t="shared" si="9"/>
      </c>
      <c r="AP18" s="601">
        <v>0</v>
      </c>
      <c r="AQ18" s="594">
        <f t="shared" si="6"/>
      </c>
      <c r="AR18" s="597">
        <f t="shared" si="2"/>
      </c>
      <c r="AS18" s="597">
        <v>0</v>
      </c>
      <c r="AT18" s="600"/>
      <c r="AU18" s="597"/>
      <c r="AV18" s="600"/>
      <c r="AW18" s="604"/>
      <c r="AX18" s="604"/>
      <c r="AY18" s="605"/>
      <c r="AZ18" s="600"/>
      <c r="BA18" s="597"/>
      <c r="BB18" s="597"/>
      <c r="BC18" s="597"/>
      <c r="BD18" s="596"/>
      <c r="BE18" s="606"/>
      <c r="BF18" s="591"/>
      <c r="BG18" s="600"/>
      <c r="BH18" s="591"/>
      <c r="BI18" s="603"/>
      <c r="BJ18" s="591"/>
      <c r="BK18" s="592"/>
      <c r="BL18" s="591"/>
      <c r="BM18" s="607"/>
      <c r="BN18" s="608"/>
    </row>
    <row customHeight="true" ht="13.333333333333332" r="19">
      <c r="A19" s="590">
        <v>46008</v>
      </c>
      <c r="B19" s="591" t="s">
        <v>1359</v>
      </c>
      <c r="C19" s="592"/>
      <c r="D19" s="591">
        <v>54.99</v>
      </c>
      <c r="E19" s="593"/>
      <c r="F19" s="594">
        <v>0</v>
      </c>
      <c r="G19" s="594">
        <v>0</v>
      </c>
      <c r="H19" s="595">
        <f t="shared" si="11"/>
      </c>
      <c r="I19" s="594" t="s">
        <v>1357</v>
      </c>
      <c r="J19" s="596" t="s">
        <v>1357</v>
      </c>
      <c r="K19" s="591">
        <f>'西班牙ERP数据'!BC18</f>
      </c>
      <c r="L19" s="591">
        <f>'西班牙ERP数据'!BA18</f>
      </c>
      <c r="M19" s="591">
        <f t="shared" si="0"/>
      </c>
      <c r="N19" s="594">
        <f t="shared" si="12"/>
      </c>
      <c r="O19" s="597">
        <f t="shared" si="7"/>
      </c>
      <c r="P19" s="597">
        <f t="shared" si="4"/>
      </c>
      <c r="Q19" s="591">
        <f>'西班牙ERP数据'!R18</f>
      </c>
      <c r="R19" s="591"/>
      <c r="S19" s="591">
        <f>'西班牙ERP数据'!Z18</f>
      </c>
      <c r="T19" s="591">
        <v>0</v>
      </c>
      <c r="U19" s="591">
        <v>0</v>
      </c>
      <c r="V19" s="594">
        <v>0</v>
      </c>
      <c r="W19" s="591">
        <v>0</v>
      </c>
      <c r="X19" s="596">
        <v>0</v>
      </c>
      <c r="Y19" s="591"/>
      <c r="Z19" s="591"/>
      <c r="AA19" s="591"/>
      <c r="AB19" s="591"/>
      <c r="AC19" s="591"/>
      <c r="AD19" s="598">
        <v>0</v>
      </c>
      <c r="AE19" s="592">
        <v>0</v>
      </c>
      <c r="AF19" s="591">
        <v>21</v>
      </c>
      <c r="AG19" s="591">
        <v>4.8</v>
      </c>
      <c r="AH19" s="599">
        <v>0</v>
      </c>
      <c r="AI19" s="591">
        <v>0</v>
      </c>
      <c r="AJ19" s="600">
        <f t="shared" si="8"/>
      </c>
      <c r="AK19" s="609">
        <v>0</v>
      </c>
      <c r="AL19" s="601">
        <f t="shared" si="5"/>
      </c>
      <c r="AM19" s="602">
        <f t="shared" si="1"/>
      </c>
      <c r="AN19" s="600">
        <f t="shared" si="13"/>
      </c>
      <c r="AO19" s="603">
        <f t="shared" si="9"/>
      </c>
      <c r="AP19" s="601">
        <v>0</v>
      </c>
      <c r="AQ19" s="594">
        <f t="shared" si="6"/>
      </c>
      <c r="AR19" s="597">
        <f t="shared" si="2"/>
      </c>
      <c r="AS19" s="597">
        <v>0</v>
      </c>
      <c r="AT19" s="600"/>
      <c r="AU19" s="597"/>
      <c r="AV19" s="600"/>
      <c r="AW19" s="604"/>
      <c r="AX19" s="604"/>
      <c r="AY19" s="605"/>
      <c r="AZ19" s="600"/>
      <c r="BA19" s="597"/>
      <c r="BB19" s="597"/>
      <c r="BC19" s="597"/>
      <c r="BD19" s="596"/>
      <c r="BE19" s="606"/>
      <c r="BF19" s="591"/>
      <c r="BG19" s="600"/>
      <c r="BH19" s="591"/>
      <c r="BI19" s="603"/>
      <c r="BJ19" s="591"/>
      <c r="BK19" s="592"/>
      <c r="BL19" s="591"/>
      <c r="BM19" s="607"/>
      <c r="BN19" s="608"/>
    </row>
    <row customHeight="true" ht="13.333333333333332" r="20">
      <c r="A20" s="590">
        <v>46009</v>
      </c>
      <c r="B20" s="591" t="s">
        <v>1360</v>
      </c>
      <c r="C20" s="592"/>
      <c r="D20" s="591">
        <v>54.99</v>
      </c>
      <c r="E20" s="593"/>
      <c r="F20" s="594">
        <v>0</v>
      </c>
      <c r="G20" s="594">
        <v>0</v>
      </c>
      <c r="H20" s="595">
        <f t="shared" si="11"/>
      </c>
      <c r="I20" s="594" t="s">
        <v>1357</v>
      </c>
      <c r="J20" s="596" t="s">
        <v>1357</v>
      </c>
      <c r="K20" s="591">
        <f>'西班牙ERP数据'!BC19</f>
      </c>
      <c r="L20" s="591">
        <f>'西班牙ERP数据'!BA19</f>
      </c>
      <c r="M20" s="591">
        <f t="shared" si="0"/>
      </c>
      <c r="N20" s="594">
        <f t="shared" si="12"/>
      </c>
      <c r="O20" s="597">
        <f t="shared" si="7"/>
      </c>
      <c r="P20" s="597">
        <f t="shared" si="4"/>
      </c>
      <c r="Q20" s="591">
        <f>'西班牙ERP数据'!R19</f>
      </c>
      <c r="R20" s="591"/>
      <c r="S20" s="591">
        <f>'西班牙ERP数据'!Z19</f>
      </c>
      <c r="T20" s="591">
        <v>0</v>
      </c>
      <c r="U20" s="591">
        <v>0</v>
      </c>
      <c r="V20" s="594">
        <v>0</v>
      </c>
      <c r="W20" s="591">
        <v>0</v>
      </c>
      <c r="X20" s="596">
        <v>0</v>
      </c>
      <c r="Y20" s="591"/>
      <c r="Z20" s="591"/>
      <c r="AA20" s="591"/>
      <c r="AB20" s="591"/>
      <c r="AC20" s="591"/>
      <c r="AD20" s="598">
        <v>0</v>
      </c>
      <c r="AE20" s="592">
        <v>0</v>
      </c>
      <c r="AF20" s="591">
        <v>22</v>
      </c>
      <c r="AG20" s="591">
        <v>4.8</v>
      </c>
      <c r="AH20" s="599">
        <v>0</v>
      </c>
      <c r="AI20" s="591">
        <v>0</v>
      </c>
      <c r="AJ20" s="600">
        <f t="shared" si="8"/>
      </c>
      <c r="AK20" s="609">
        <v>0</v>
      </c>
      <c r="AL20" s="601">
        <f t="shared" si="5"/>
      </c>
      <c r="AM20" s="602">
        <f t="shared" si="1"/>
      </c>
      <c r="AN20" s="600">
        <f t="shared" si="13"/>
      </c>
      <c r="AO20" s="603">
        <f t="shared" si="9"/>
      </c>
      <c r="AP20" s="601">
        <v>0</v>
      </c>
      <c r="AQ20" s="594">
        <f t="shared" si="6"/>
      </c>
      <c r="AR20" s="597">
        <f t="shared" si="2"/>
      </c>
      <c r="AS20" s="597">
        <v>0</v>
      </c>
      <c r="AT20" s="600"/>
      <c r="AU20" s="597"/>
      <c r="AV20" s="600"/>
      <c r="AW20" s="604"/>
      <c r="AX20" s="604"/>
      <c r="AY20" s="605"/>
      <c r="AZ20" s="600"/>
      <c r="BA20" s="597"/>
      <c r="BB20" s="597"/>
      <c r="BC20" s="597"/>
      <c r="BD20" s="596"/>
      <c r="BE20" s="606"/>
      <c r="BF20" s="591"/>
      <c r="BG20" s="600"/>
      <c r="BH20" s="591"/>
      <c r="BI20" s="603"/>
      <c r="BJ20" s="591"/>
      <c r="BK20" s="592"/>
      <c r="BL20" s="591"/>
      <c r="BM20" s="607"/>
      <c r="BN20" s="608"/>
    </row>
    <row customHeight="true" ht="13.333333333333332" r="21">
      <c r="A21" s="590">
        <v>46010</v>
      </c>
      <c r="B21" s="591" t="s">
        <v>1361</v>
      </c>
      <c r="C21" s="592"/>
      <c r="D21" s="591">
        <v>54.99</v>
      </c>
      <c r="E21" s="593"/>
      <c r="F21" s="594">
        <v>0</v>
      </c>
      <c r="G21" s="594">
        <v>0</v>
      </c>
      <c r="H21" s="595">
        <f t="shared" si="11"/>
      </c>
      <c r="I21" s="594" t="s">
        <v>1357</v>
      </c>
      <c r="J21" s="596" t="s">
        <v>1357</v>
      </c>
      <c r="K21" s="591">
        <f>'西班牙ERP数据'!BC20</f>
      </c>
      <c r="L21" s="591">
        <f>'西班牙ERP数据'!BA20</f>
      </c>
      <c r="M21" s="591">
        <f t="shared" si="0"/>
      </c>
      <c r="N21" s="594">
        <f t="shared" si="12"/>
      </c>
      <c r="O21" s="597">
        <f t="shared" si="7"/>
      </c>
      <c r="P21" s="597">
        <f t="shared" si="4"/>
      </c>
      <c r="Q21" s="591">
        <f>'西班牙ERP数据'!R20</f>
      </c>
      <c r="R21" s="591"/>
      <c r="S21" s="591">
        <f>'西班牙ERP数据'!Z20</f>
      </c>
      <c r="T21" s="591">
        <v>0</v>
      </c>
      <c r="U21" s="591">
        <v>0</v>
      </c>
      <c r="V21" s="594">
        <v>0</v>
      </c>
      <c r="W21" s="591">
        <v>0</v>
      </c>
      <c r="X21" s="596">
        <v>0</v>
      </c>
      <c r="Y21" s="591"/>
      <c r="Z21" s="591"/>
      <c r="AA21" s="591"/>
      <c r="AB21" s="591"/>
      <c r="AC21" s="591"/>
      <c r="AD21" s="598">
        <v>0</v>
      </c>
      <c r="AE21" s="592">
        <v>0</v>
      </c>
      <c r="AF21" s="591">
        <v>25</v>
      </c>
      <c r="AG21" s="591">
        <v>4.8</v>
      </c>
      <c r="AH21" s="599">
        <v>0</v>
      </c>
      <c r="AI21" s="591">
        <v>0</v>
      </c>
      <c r="AJ21" s="600">
        <f t="shared" si="8"/>
      </c>
      <c r="AK21" s="609">
        <v>0</v>
      </c>
      <c r="AL21" s="601">
        <f t="shared" si="5"/>
      </c>
      <c r="AM21" s="602">
        <f t="shared" si="1"/>
      </c>
      <c r="AN21" s="600">
        <f t="shared" si="13"/>
      </c>
      <c r="AO21" s="603">
        <f t="shared" si="9"/>
      </c>
      <c r="AP21" s="601">
        <v>0</v>
      </c>
      <c r="AQ21" s="594">
        <f t="shared" si="6"/>
      </c>
      <c r="AR21" s="597">
        <f t="shared" si="2"/>
      </c>
      <c r="AS21" s="597">
        <v>0</v>
      </c>
      <c r="AT21" s="600"/>
      <c r="AU21" s="597"/>
      <c r="AV21" s="600"/>
      <c r="AW21" s="604"/>
      <c r="AX21" s="604"/>
      <c r="AY21" s="605"/>
      <c r="AZ21" s="600"/>
      <c r="BA21" s="597"/>
      <c r="BB21" s="597"/>
      <c r="BC21" s="597"/>
      <c r="BD21" s="596"/>
      <c r="BE21" s="606"/>
      <c r="BF21" s="591"/>
      <c r="BG21" s="600"/>
      <c r="BH21" s="591"/>
      <c r="BI21" s="603"/>
      <c r="BJ21" s="591"/>
      <c r="BK21" s="592"/>
      <c r="BL21" s="591"/>
      <c r="BM21" s="607"/>
      <c r="BN21" s="608"/>
    </row>
    <row customHeight="true" ht="13.333333333333332" r="22">
      <c r="A22" s="590">
        <v>46011</v>
      </c>
      <c r="B22" s="591" t="s">
        <v>1362</v>
      </c>
      <c r="C22" s="592"/>
      <c r="D22" s="591">
        <v>54.99</v>
      </c>
      <c r="E22" s="593"/>
      <c r="F22" s="594">
        <v>0</v>
      </c>
      <c r="G22" s="594">
        <v>0</v>
      </c>
      <c r="H22" s="595">
        <f t="shared" si="11"/>
      </c>
      <c r="I22" s="594" t="s">
        <v>1357</v>
      </c>
      <c r="J22" s="596" t="s">
        <v>1357</v>
      </c>
      <c r="K22" s="591">
        <f>'西班牙ERP数据'!BC21</f>
      </c>
      <c r="L22" s="591">
        <f>'西班牙ERP数据'!BA21</f>
      </c>
      <c r="M22" s="591">
        <f t="shared" si="0"/>
      </c>
      <c r="N22" s="594">
        <f t="shared" si="12"/>
      </c>
      <c r="O22" s="597">
        <f t="shared" si="7"/>
      </c>
      <c r="P22" s="597">
        <f t="shared" si="4"/>
      </c>
      <c r="Q22" s="591">
        <f>'西班牙ERP数据'!R21</f>
      </c>
      <c r="R22" s="591"/>
      <c r="S22" s="591">
        <f>'西班牙ERP数据'!Z21</f>
      </c>
      <c r="T22" s="591">
        <v>0</v>
      </c>
      <c r="U22" s="591">
        <v>0</v>
      </c>
      <c r="V22" s="594">
        <v>0</v>
      </c>
      <c r="W22" s="591">
        <v>0</v>
      </c>
      <c r="X22" s="596">
        <v>88.03</v>
      </c>
      <c r="Y22" s="591"/>
      <c r="Z22" s="591"/>
      <c r="AA22" s="591"/>
      <c r="AB22" s="591"/>
      <c r="AC22" s="591"/>
      <c r="AD22" s="598">
        <v>91234</v>
      </c>
      <c r="AE22" s="592">
        <v>237</v>
      </c>
      <c r="AF22" s="591">
        <v>25</v>
      </c>
      <c r="AG22" s="591">
        <v>4.8</v>
      </c>
      <c r="AH22" s="599">
        <v>0</v>
      </c>
      <c r="AI22" s="591">
        <v>0</v>
      </c>
      <c r="AJ22" s="600">
        <f t="shared" si="8"/>
      </c>
      <c r="AK22" s="609">
        <v>0</v>
      </c>
      <c r="AL22" s="601">
        <f t="shared" si="5"/>
      </c>
      <c r="AM22" s="602">
        <f t="shared" si="1"/>
      </c>
      <c r="AN22" s="600">
        <f t="shared" si="13"/>
      </c>
      <c r="AO22" s="603">
        <f t="shared" si="9"/>
      </c>
      <c r="AP22" s="601">
        <v>0</v>
      </c>
      <c r="AQ22" s="594">
        <f t="shared" ref="AQ22:AQ57" si="14">IFERROR(AP22/X22,0)</f>
      </c>
      <c r="AR22" s="597">
        <f t="shared" si="2"/>
      </c>
      <c r="AS22" s="597">
        <v>0</v>
      </c>
      <c r="AT22" s="600"/>
      <c r="AU22" s="597"/>
      <c r="AV22" s="600"/>
      <c r="AW22" s="604"/>
      <c r="AX22" s="604"/>
      <c r="AY22" s="605"/>
      <c r="AZ22" s="600"/>
      <c r="BA22" s="597"/>
      <c r="BB22" s="597"/>
      <c r="BC22" s="597"/>
      <c r="BD22" s="596"/>
      <c r="BE22" s="606"/>
      <c r="BF22" s="591"/>
      <c r="BG22" s="600"/>
      <c r="BH22" s="591"/>
      <c r="BI22" s="603"/>
      <c r="BJ22" s="591"/>
      <c r="BK22" s="592"/>
      <c r="BL22" s="591"/>
      <c r="BM22" s="607"/>
      <c r="BN22" s="608"/>
    </row>
    <row customHeight="true" ht="13.333333333333332" r="23">
      <c r="A23" s="590">
        <v>46012</v>
      </c>
      <c r="B23" s="591" t="s">
        <v>1363</v>
      </c>
      <c r="C23" s="592"/>
      <c r="D23" s="591">
        <v>54.99</v>
      </c>
      <c r="E23" s="593"/>
      <c r="F23" s="594">
        <v>0</v>
      </c>
      <c r="G23" s="594">
        <v>0</v>
      </c>
      <c r="H23" s="595">
        <f t="shared" si="11"/>
      </c>
      <c r="I23" s="594" t="s">
        <v>1357</v>
      </c>
      <c r="J23" s="596" t="s">
        <v>1357</v>
      </c>
      <c r="K23" s="591">
        <f>'西班牙ERP数据'!BC22</f>
      </c>
      <c r="L23" s="591">
        <f>'西班牙ERP数据'!BA22</f>
      </c>
      <c r="M23" s="591">
        <f t="shared" si="0"/>
      </c>
      <c r="N23" s="594">
        <f t="shared" si="12"/>
      </c>
      <c r="O23" s="597">
        <f t="shared" si="7"/>
      </c>
      <c r="P23" s="597">
        <f t="shared" si="4"/>
      </c>
      <c r="Q23" s="591">
        <f>'西班牙ERP数据'!R22</f>
      </c>
      <c r="R23" s="591"/>
      <c r="S23" s="591">
        <f>'西班牙ERP数据'!Z22</f>
      </c>
      <c r="T23" s="591">
        <v>0</v>
      </c>
      <c r="U23" s="591">
        <v>0</v>
      </c>
      <c r="V23" s="594">
        <v>0</v>
      </c>
      <c r="W23" s="591">
        <v>0</v>
      </c>
      <c r="X23" s="596">
        <v>0</v>
      </c>
      <c r="Y23" s="591"/>
      <c r="Z23" s="591"/>
      <c r="AA23" s="591"/>
      <c r="AB23" s="591"/>
      <c r="AC23" s="591"/>
      <c r="AD23" s="598">
        <v>59308</v>
      </c>
      <c r="AE23" s="592">
        <v>165</v>
      </c>
      <c r="AF23" s="591">
        <v>26</v>
      </c>
      <c r="AG23" s="591">
        <v>4.8</v>
      </c>
      <c r="AH23" s="599">
        <v>2794</v>
      </c>
      <c r="AI23" s="591">
        <v>17</v>
      </c>
      <c r="AJ23" s="600">
        <f t="shared" si="8"/>
      </c>
      <c r="AK23" s="609">
        <v>0</v>
      </c>
      <c r="AL23" s="601">
        <f t="shared" si="5"/>
      </c>
      <c r="AM23" s="602">
        <f t="shared" si="1"/>
      </c>
      <c r="AN23" s="600">
        <f t="shared" si="13"/>
      </c>
      <c r="AO23" s="603">
        <f t="shared" si="9"/>
      </c>
      <c r="AP23" s="601">
        <v>18.7</v>
      </c>
      <c r="AQ23" s="594">
        <f t="shared" si="14"/>
      </c>
      <c r="AR23" s="597">
        <f t="shared" si="2"/>
      </c>
      <c r="AS23" s="597">
        <v>148.08</v>
      </c>
      <c r="AT23" s="600">
        <f t="shared" ref="AT23:AT57" si="10">IFERROR(AS23/X23,0)</f>
      </c>
      <c r="AU23" s="597"/>
      <c r="AV23" s="600"/>
      <c r="AW23" s="604"/>
      <c r="AX23" s="604"/>
      <c r="AY23" s="605"/>
      <c r="AZ23" s="600"/>
      <c r="BA23" s="597"/>
      <c r="BB23" s="597"/>
      <c r="BC23" s="597"/>
      <c r="BD23" s="596"/>
      <c r="BE23" s="606"/>
      <c r="BF23" s="591"/>
      <c r="BG23" s="600"/>
      <c r="BH23" s="591"/>
      <c r="BI23" s="603"/>
      <c r="BJ23" s="591"/>
      <c r="BK23" s="592"/>
      <c r="BL23" s="591"/>
      <c r="BM23" s="607"/>
      <c r="BN23" s="608"/>
    </row>
    <row customHeight="true" ht="13.333333333333332" r="24">
      <c r="A24" s="590">
        <v>46013</v>
      </c>
      <c r="B24" s="591" t="s">
        <v>1356</v>
      </c>
      <c r="C24" s="592"/>
      <c r="D24" s="591">
        <v>54.99</v>
      </c>
      <c r="E24" s="593"/>
      <c r="F24" s="594">
        <v>0</v>
      </c>
      <c r="G24" s="594">
        <v>0</v>
      </c>
      <c r="H24" s="595">
        <f t="shared" si="11"/>
      </c>
      <c r="I24" s="594" t="s">
        <v>1357</v>
      </c>
      <c r="J24" s="596" t="s">
        <v>1357</v>
      </c>
      <c r="K24" s="591">
        <f>'西班牙ERP数据'!BC23</f>
      </c>
      <c r="L24" s="591">
        <f>'西班牙ERP数据'!BA23</f>
      </c>
      <c r="M24" s="591">
        <f t="shared" si="0"/>
      </c>
      <c r="N24" s="594">
        <f t="shared" si="12"/>
      </c>
      <c r="O24" s="597">
        <f t="shared" si="7"/>
      </c>
      <c r="P24" s="597">
        <f t="shared" si="4"/>
      </c>
      <c r="Q24" s="591">
        <f>'西班牙ERP数据'!R23</f>
      </c>
      <c r="R24" s="591"/>
      <c r="S24" s="591">
        <f>'西班牙ERP数据'!Z23</f>
      </c>
      <c r="T24" s="591">
        <v>0</v>
      </c>
      <c r="U24" s="591">
        <v>0</v>
      </c>
      <c r="V24" s="594">
        <v>0</v>
      </c>
      <c r="W24" s="591">
        <v>0</v>
      </c>
      <c r="X24" s="596">
        <v>0</v>
      </c>
      <c r="Y24" s="591"/>
      <c r="Z24" s="591"/>
      <c r="AA24" s="591"/>
      <c r="AB24" s="591"/>
      <c r="AC24" s="591"/>
      <c r="AD24" s="598">
        <v>63426</v>
      </c>
      <c r="AE24" s="592">
        <v>180</v>
      </c>
      <c r="AF24" s="591">
        <v>29</v>
      </c>
      <c r="AG24" s="591">
        <v>4.8</v>
      </c>
      <c r="AH24" s="599">
        <v>3570</v>
      </c>
      <c r="AI24" s="591">
        <v>26</v>
      </c>
      <c r="AJ24" s="600">
        <f t="shared" si="8"/>
      </c>
      <c r="AK24" s="609">
        <v>0</v>
      </c>
      <c r="AL24" s="601">
        <f t="shared" si="5"/>
      </c>
      <c r="AM24" s="602">
        <f t="shared" si="1"/>
      </c>
      <c r="AN24" s="600">
        <f t="shared" si="13"/>
      </c>
      <c r="AO24" s="603">
        <f t="shared" si="9"/>
      </c>
      <c r="AP24" s="601">
        <v>29.84</v>
      </c>
      <c r="AQ24" s="594">
        <f t="shared" si="14"/>
      </c>
      <c r="AR24" s="597">
        <v>0</v>
      </c>
      <c r="AS24" s="597">
        <v>0</v>
      </c>
      <c r="AT24" s="600">
        <f t="shared" si="10"/>
      </c>
      <c r="AU24" s="597"/>
      <c r="AV24" s="600"/>
      <c r="AW24" s="604"/>
      <c r="AX24" s="604"/>
      <c r="AY24" s="605"/>
      <c r="AZ24" s="600"/>
      <c r="BA24" s="597"/>
      <c r="BB24" s="597"/>
      <c r="BC24" s="597"/>
      <c r="BD24" s="596"/>
      <c r="BE24" s="606"/>
      <c r="BF24" s="591"/>
      <c r="BG24" s="600"/>
      <c r="BH24" s="591"/>
      <c r="BI24" s="603"/>
      <c r="BJ24" s="591"/>
      <c r="BK24" s="592"/>
      <c r="BL24" s="591"/>
      <c r="BM24" s="607"/>
      <c r="BN24" s="608"/>
    </row>
    <row customHeight="true" ht="13.333333333333332" r="25">
      <c r="A25" s="590">
        <v>46014</v>
      </c>
      <c r="B25" s="591" t="s">
        <v>1358</v>
      </c>
      <c r="C25" s="592"/>
      <c r="D25" s="591">
        <v>54.99</v>
      </c>
      <c r="E25" s="593"/>
      <c r="F25" s="594">
        <v>0</v>
      </c>
      <c r="G25" s="594">
        <v>0</v>
      </c>
      <c r="H25" s="595">
        <f t="shared" si="11"/>
      </c>
      <c r="I25" s="594" t="s">
        <v>1357</v>
      </c>
      <c r="J25" s="596" t="s">
        <v>1357</v>
      </c>
      <c r="K25" s="591">
        <f>'西班牙ERP数据'!BC24</f>
      </c>
      <c r="L25" s="591">
        <f>'西班牙ERP数据'!BA24</f>
      </c>
      <c r="M25" s="591">
        <f t="shared" si="0"/>
      </c>
      <c r="N25" s="594">
        <f t="shared" si="12"/>
      </c>
      <c r="O25" s="597">
        <f t="shared" si="7"/>
      </c>
      <c r="P25" s="597">
        <f t="shared" si="4"/>
      </c>
      <c r="Q25" s="591">
        <f>'西班牙ERP数据'!R24</f>
      </c>
      <c r="R25" s="591"/>
      <c r="S25" s="591">
        <f>'西班牙ERP数据'!Z24</f>
      </c>
      <c r="T25" s="591">
        <v>0</v>
      </c>
      <c r="U25" s="591">
        <v>0</v>
      </c>
      <c r="V25" s="594">
        <v>0</v>
      </c>
      <c r="W25" s="591">
        <v>0</v>
      </c>
      <c r="X25" s="596">
        <v>621.76</v>
      </c>
      <c r="Y25" s="591"/>
      <c r="Z25" s="591"/>
      <c r="AA25" s="591"/>
      <c r="AB25" s="591"/>
      <c r="AC25" s="591"/>
      <c r="AD25" s="598">
        <v>78356</v>
      </c>
      <c r="AE25" s="592">
        <v>193</v>
      </c>
      <c r="AF25" s="591">
        <v>39</v>
      </c>
      <c r="AG25" s="591">
        <v>4.9</v>
      </c>
      <c r="AH25" s="599">
        <v>3098</v>
      </c>
      <c r="AI25" s="591">
        <v>41</v>
      </c>
      <c r="AJ25" s="600">
        <f t="shared" si="8"/>
      </c>
      <c r="AK25" s="609">
        <v>0</v>
      </c>
      <c r="AL25" s="601">
        <f t="shared" si="5"/>
      </c>
      <c r="AM25" s="602">
        <f t="shared" si="1"/>
      </c>
      <c r="AN25" s="600">
        <f t="shared" si="13"/>
      </c>
      <c r="AO25" s="603">
        <f t="shared" si="9"/>
      </c>
      <c r="AP25" s="601">
        <v>47.8</v>
      </c>
      <c r="AQ25" s="594">
        <f t="shared" si="14"/>
      </c>
      <c r="AR25" s="597">
        <f t="shared" ref="AR25:AR57" si="3">AP25/AK25</f>
      </c>
      <c r="AS25" s="597">
        <v>444.24</v>
      </c>
      <c r="AT25" s="600">
        <f t="shared" si="10"/>
      </c>
      <c r="AU25" s="597"/>
      <c r="AV25" s="600"/>
      <c r="AW25" s="604"/>
      <c r="AX25" s="604"/>
      <c r="AY25" s="605"/>
      <c r="AZ25" s="600"/>
      <c r="BA25" s="597"/>
      <c r="BB25" s="597"/>
      <c r="BC25" s="597"/>
      <c r="BD25" s="596"/>
      <c r="BE25" s="606"/>
      <c r="BF25" s="591"/>
      <c r="BG25" s="600"/>
      <c r="BH25" s="591"/>
      <c r="BI25" s="603"/>
      <c r="BJ25" s="591"/>
      <c r="BK25" s="592"/>
      <c r="BL25" s="591"/>
      <c r="BM25" s="607"/>
      <c r="BN25" s="608"/>
    </row>
    <row customHeight="true" ht="13.333333333333332" r="26">
      <c r="A26" s="590">
        <v>46015</v>
      </c>
      <c r="B26" s="591" t="s">
        <v>1359</v>
      </c>
      <c r="C26" s="592"/>
      <c r="D26" s="591">
        <v>54.99</v>
      </c>
      <c r="E26" s="593"/>
      <c r="F26" s="594">
        <v>0</v>
      </c>
      <c r="G26" s="594">
        <v>0</v>
      </c>
      <c r="H26" s="595">
        <f t="shared" si="11"/>
      </c>
      <c r="I26" s="594" t="s">
        <v>1357</v>
      </c>
      <c r="J26" s="596" t="s">
        <v>1357</v>
      </c>
      <c r="K26" s="591">
        <f>'西班牙ERP数据'!BC25</f>
      </c>
      <c r="L26" s="591">
        <f>'西班牙ERP数据'!BA25</f>
      </c>
      <c r="M26" s="591">
        <f t="shared" si="0"/>
      </c>
      <c r="N26" s="594">
        <f t="shared" si="12"/>
      </c>
      <c r="O26" s="597">
        <f t="shared" si="7"/>
      </c>
      <c r="P26" s="597">
        <f t="shared" si="4"/>
      </c>
      <c r="Q26" s="591">
        <f>'西班牙ERP数据'!R25</f>
      </c>
      <c r="R26" s="591"/>
      <c r="S26" s="591">
        <f>'西班牙ERP数据'!Z25</f>
      </c>
      <c r="T26" s="591">
        <v>0</v>
      </c>
      <c r="U26" s="591">
        <v>0</v>
      </c>
      <c r="V26" s="594">
        <v>0</v>
      </c>
      <c r="W26" s="591">
        <v>0</v>
      </c>
      <c r="X26" s="596">
        <v>264.1</v>
      </c>
      <c r="Y26" s="591"/>
      <c r="Z26" s="591"/>
      <c r="AA26" s="591"/>
      <c r="AB26" s="591"/>
      <c r="AC26" s="591"/>
      <c r="AD26" s="598">
        <v>78356</v>
      </c>
      <c r="AE26" s="592">
        <v>193</v>
      </c>
      <c r="AF26" s="591">
        <v>42</v>
      </c>
      <c r="AG26" s="591">
        <v>4.9</v>
      </c>
      <c r="AH26" s="599">
        <v>3369</v>
      </c>
      <c r="AI26" s="591">
        <v>36</v>
      </c>
      <c r="AJ26" s="600">
        <f t="shared" si="8"/>
      </c>
      <c r="AK26" s="609">
        <v>0</v>
      </c>
      <c r="AL26" s="601">
        <f t="shared" si="5"/>
      </c>
      <c r="AM26" s="602">
        <f t="shared" si="1"/>
      </c>
      <c r="AN26" s="600">
        <f t="shared" si="13"/>
      </c>
      <c r="AO26" s="603">
        <f t="shared" si="9"/>
      </c>
      <c r="AP26" s="601">
        <v>43.42</v>
      </c>
      <c r="AQ26" s="594">
        <f t="shared" si="14"/>
      </c>
      <c r="AR26" s="597">
        <f t="shared" si="3"/>
      </c>
      <c r="AS26" s="597">
        <v>296.16</v>
      </c>
      <c r="AT26" s="600">
        <f t="shared" si="10"/>
      </c>
      <c r="AU26" s="597"/>
      <c r="AV26" s="600"/>
      <c r="AW26" s="604"/>
      <c r="AX26" s="604"/>
      <c r="AY26" s="605"/>
      <c r="AZ26" s="600"/>
      <c r="BA26" s="597"/>
      <c r="BB26" s="597"/>
      <c r="BC26" s="597"/>
      <c r="BD26" s="596"/>
      <c r="BE26" s="606"/>
      <c r="BF26" s="591"/>
      <c r="BG26" s="600"/>
      <c r="BH26" s="591"/>
      <c r="BI26" s="603"/>
      <c r="BJ26" s="591"/>
      <c r="BK26" s="592"/>
      <c r="BL26" s="591"/>
      <c r="BM26" s="607"/>
      <c r="BN26" s="608"/>
    </row>
    <row customHeight="true" ht="13.333333333333332" r="27">
      <c r="A27" s="590">
        <v>46016</v>
      </c>
      <c r="B27" s="591" t="s">
        <v>1360</v>
      </c>
      <c r="C27" s="592"/>
      <c r="D27" s="591">
        <v>54.99</v>
      </c>
      <c r="E27" s="593"/>
      <c r="F27" s="594">
        <v>0</v>
      </c>
      <c r="G27" s="594">
        <v>0</v>
      </c>
      <c r="H27" s="595">
        <f t="shared" si="11"/>
      </c>
      <c r="I27" s="594" t="s">
        <v>1357</v>
      </c>
      <c r="J27" s="596" t="s">
        <v>1357</v>
      </c>
      <c r="K27" s="591">
        <f>'西班牙ERP数据'!BC26</f>
      </c>
      <c r="L27" s="591">
        <f>'西班牙ERP数据'!BA26</f>
      </c>
      <c r="M27" s="591">
        <f t="shared" si="0"/>
      </c>
      <c r="N27" s="594">
        <f t="shared" si="12"/>
      </c>
      <c r="O27" s="597">
        <f t="shared" si="7"/>
      </c>
      <c r="P27" s="597">
        <f t="shared" si="4"/>
      </c>
      <c r="Q27" s="591">
        <f>'西班牙ERP数据'!R26</f>
      </c>
      <c r="R27" s="591"/>
      <c r="S27" s="591">
        <f>'西班牙ERP数据'!Z26</f>
      </c>
      <c r="T27" s="591">
        <v>0</v>
      </c>
      <c r="U27" s="591">
        <v>0</v>
      </c>
      <c r="V27" s="594">
        <v>0</v>
      </c>
      <c r="W27" s="591">
        <v>0</v>
      </c>
      <c r="X27" s="596">
        <v>607.69</v>
      </c>
      <c r="Y27" s="591"/>
      <c r="Z27" s="591"/>
      <c r="AA27" s="591"/>
      <c r="AB27" s="591"/>
      <c r="AC27" s="591"/>
      <c r="AD27" s="598">
        <v>9593</v>
      </c>
      <c r="AE27" s="592">
        <v>38</v>
      </c>
      <c r="AF27" s="591">
        <v>43</v>
      </c>
      <c r="AG27" s="591">
        <v>4.9</v>
      </c>
      <c r="AH27" s="599">
        <v>7693</v>
      </c>
      <c r="AI27" s="591">
        <v>60</v>
      </c>
      <c r="AJ27" s="600">
        <f t="shared" si="8"/>
      </c>
      <c r="AK27" s="609">
        <v>0</v>
      </c>
      <c r="AL27" s="601">
        <f t="shared" si="5"/>
      </c>
      <c r="AM27" s="602">
        <f t="shared" si="1"/>
      </c>
      <c r="AN27" s="600">
        <f t="shared" si="13"/>
      </c>
      <c r="AO27" s="603">
        <f t="shared" si="9"/>
      </c>
      <c r="AP27" s="601">
        <v>83.1</v>
      </c>
      <c r="AQ27" s="594">
        <f t="shared" si="14"/>
      </c>
      <c r="AR27" s="597">
        <f t="shared" si="3"/>
      </c>
      <c r="AS27" s="597">
        <v>296.16</v>
      </c>
      <c r="AT27" s="600">
        <f t="shared" si="10"/>
      </c>
      <c r="AU27" s="597"/>
      <c r="AV27" s="600"/>
      <c r="AW27" s="604"/>
      <c r="AX27" s="604"/>
      <c r="AY27" s="605"/>
      <c r="AZ27" s="600"/>
      <c r="BA27" s="597"/>
      <c r="BB27" s="597"/>
      <c r="BC27" s="597"/>
      <c r="BD27" s="596"/>
      <c r="BE27" s="606"/>
      <c r="BF27" s="591"/>
      <c r="BG27" s="600"/>
      <c r="BH27" s="591"/>
      <c r="BI27" s="603"/>
      <c r="BJ27" s="591"/>
      <c r="BK27" s="592"/>
      <c r="BL27" s="591"/>
      <c r="BM27" s="607"/>
      <c r="BN27" s="608"/>
    </row>
    <row customHeight="true" ht="13.333333333333332" r="28">
      <c r="A28" s="590">
        <v>46017</v>
      </c>
      <c r="B28" s="591" t="s">
        <v>1361</v>
      </c>
      <c r="C28" s="592"/>
      <c r="D28" s="591">
        <v>54.99</v>
      </c>
      <c r="E28" s="593"/>
      <c r="F28" s="594">
        <v>0</v>
      </c>
      <c r="G28" s="594">
        <v>0</v>
      </c>
      <c r="H28" s="595">
        <f t="shared" si="11"/>
      </c>
      <c r="I28" s="594" t="s">
        <v>1357</v>
      </c>
      <c r="J28" s="596" t="s">
        <v>1357</v>
      </c>
      <c r="K28" s="591">
        <f>'西班牙ERP数据'!BC27</f>
      </c>
      <c r="L28" s="591">
        <f>'西班牙ERP数据'!BA27</f>
      </c>
      <c r="M28" s="591">
        <f t="shared" si="0"/>
      </c>
      <c r="N28" s="594">
        <f t="shared" si="12"/>
      </c>
      <c r="O28" s="597">
        <f t="shared" si="7"/>
      </c>
      <c r="P28" s="597">
        <f t="shared" si="4"/>
      </c>
      <c r="Q28" s="591">
        <f>'西班牙ERP数据'!R27</f>
      </c>
      <c r="R28" s="591"/>
      <c r="S28" s="591">
        <f>'西班牙ERP数据'!Z27</f>
      </c>
      <c r="T28" s="591">
        <v>0</v>
      </c>
      <c r="U28" s="591">
        <v>0</v>
      </c>
      <c r="V28" s="594">
        <v>0</v>
      </c>
      <c r="W28" s="591">
        <v>0</v>
      </c>
      <c r="X28" s="596">
        <v>264.1</v>
      </c>
      <c r="Y28" s="591"/>
      <c r="Z28" s="591"/>
      <c r="AA28" s="591"/>
      <c r="AB28" s="591"/>
      <c r="AC28" s="591"/>
      <c r="AD28" s="598">
        <v>6816</v>
      </c>
      <c r="AE28" s="592">
        <v>30</v>
      </c>
      <c r="AF28" s="591">
        <v>44</v>
      </c>
      <c r="AG28" s="591">
        <v>4.9</v>
      </c>
      <c r="AH28" s="599">
        <v>7263</v>
      </c>
      <c r="AI28" s="591">
        <v>69</v>
      </c>
      <c r="AJ28" s="600">
        <f t="shared" si="8"/>
      </c>
      <c r="AK28" s="609">
        <v>0</v>
      </c>
      <c r="AL28" s="601">
        <f t="shared" si="5"/>
      </c>
      <c r="AM28" s="602">
        <f t="shared" si="1"/>
      </c>
      <c r="AN28" s="600">
        <f t="shared" si="13"/>
      </c>
      <c r="AO28" s="603">
        <f t="shared" si="9"/>
      </c>
      <c r="AP28" s="601">
        <v>108.66</v>
      </c>
      <c r="AQ28" s="594">
        <f t="shared" si="14"/>
      </c>
      <c r="AR28" s="597">
        <f t="shared" si="3"/>
      </c>
      <c r="AS28" s="597">
        <v>370.2</v>
      </c>
      <c r="AT28" s="600">
        <f t="shared" si="10"/>
      </c>
      <c r="AU28" s="597"/>
      <c r="AV28" s="600"/>
      <c r="AW28" s="604"/>
      <c r="AX28" s="604"/>
      <c r="AY28" s="605"/>
      <c r="AZ28" s="600"/>
      <c r="BA28" s="597"/>
      <c r="BB28" s="597"/>
      <c r="BC28" s="597"/>
      <c r="BD28" s="596"/>
      <c r="BE28" s="606"/>
      <c r="BF28" s="591"/>
      <c r="BG28" s="600"/>
      <c r="BH28" s="591"/>
      <c r="BI28" s="603"/>
      <c r="BJ28" s="591"/>
      <c r="BK28" s="592"/>
      <c r="BL28" s="591"/>
      <c r="BM28" s="607"/>
      <c r="BN28" s="608"/>
    </row>
    <row customHeight="true" ht="13.333333333333332" r="29">
      <c r="A29" s="590">
        <v>46018</v>
      </c>
      <c r="B29" s="591" t="s">
        <v>1362</v>
      </c>
      <c r="C29" s="592"/>
      <c r="D29" s="591">
        <v>54.99</v>
      </c>
      <c r="E29" s="593"/>
      <c r="F29" s="594">
        <v>0</v>
      </c>
      <c r="G29" s="594">
        <v>0</v>
      </c>
      <c r="H29" s="595">
        <f t="shared" si="11"/>
      </c>
      <c r="I29" s="594" t="s">
        <v>1357</v>
      </c>
      <c r="J29" s="596" t="s">
        <v>1357</v>
      </c>
      <c r="K29" s="591">
        <f>'西班牙ERP数据'!BC28</f>
      </c>
      <c r="L29" s="591">
        <f>'西班牙ERP数据'!BA28</f>
      </c>
      <c r="M29" s="591">
        <f t="shared" si="0"/>
      </c>
      <c r="N29" s="594">
        <f t="shared" si="12"/>
      </c>
      <c r="O29" s="597">
        <f t="shared" si="7"/>
      </c>
      <c r="P29" s="597">
        <f t="shared" si="4"/>
      </c>
      <c r="Q29" s="591">
        <f>'西班牙ERP数据'!R28</f>
      </c>
      <c r="R29" s="591"/>
      <c r="S29" s="591">
        <f>'西班牙ERP数据'!Z28</f>
      </c>
      <c r="T29" s="591">
        <v>0</v>
      </c>
      <c r="U29" s="591">
        <v>0</v>
      </c>
      <c r="V29" s="594">
        <v>0</v>
      </c>
      <c r="W29" s="591">
        <v>0</v>
      </c>
      <c r="X29" s="596">
        <v>444.06</v>
      </c>
      <c r="Y29" s="591"/>
      <c r="Z29" s="591"/>
      <c r="AA29" s="591"/>
      <c r="AB29" s="591"/>
      <c r="AC29" s="591"/>
      <c r="AD29" s="598">
        <v>7097</v>
      </c>
      <c r="AE29" s="592">
        <v>30</v>
      </c>
      <c r="AF29" s="591">
        <v>43</v>
      </c>
      <c r="AG29" s="591">
        <v>4.9</v>
      </c>
      <c r="AH29" s="599">
        <v>6617</v>
      </c>
      <c r="AI29" s="591">
        <v>75</v>
      </c>
      <c r="AJ29" s="600">
        <f t="shared" si="8"/>
      </c>
      <c r="AK29" s="609">
        <v>0</v>
      </c>
      <c r="AL29" s="601">
        <f t="shared" si="5"/>
      </c>
      <c r="AM29" s="602">
        <f t="shared" si="1"/>
      </c>
      <c r="AN29" s="600">
        <f t="shared" si="13"/>
      </c>
      <c r="AO29" s="603">
        <f t="shared" si="9"/>
      </c>
      <c r="AP29" s="601">
        <v>103.27</v>
      </c>
      <c r="AQ29" s="594">
        <f t="shared" si="14"/>
      </c>
      <c r="AR29" s="597">
        <f t="shared" si="3"/>
      </c>
      <c r="AS29" s="597">
        <v>148.08</v>
      </c>
      <c r="AT29" s="600">
        <f t="shared" si="10"/>
      </c>
      <c r="AU29" s="597"/>
      <c r="AV29" s="600"/>
      <c r="AW29" s="604"/>
      <c r="AX29" s="604"/>
      <c r="AY29" s="605"/>
      <c r="AZ29" s="600"/>
      <c r="BA29" s="597"/>
      <c r="BB29" s="597"/>
      <c r="BC29" s="597"/>
      <c r="BD29" s="596"/>
      <c r="BE29" s="606"/>
      <c r="BF29" s="591"/>
      <c r="BG29" s="600"/>
      <c r="BH29" s="591"/>
      <c r="BI29" s="603"/>
      <c r="BJ29" s="591"/>
      <c r="BK29" s="592"/>
      <c r="BL29" s="591"/>
      <c r="BM29" s="607"/>
      <c r="BN29" s="608"/>
    </row>
    <row customHeight="true" ht="13.333333333333332" r="30">
      <c r="A30" s="590">
        <v>46019</v>
      </c>
      <c r="B30" s="591" t="s">
        <v>1363</v>
      </c>
      <c r="C30" s="592"/>
      <c r="D30" s="591">
        <v>54.99</v>
      </c>
      <c r="E30" s="593"/>
      <c r="F30" s="594">
        <v>0</v>
      </c>
      <c r="G30" s="594">
        <v>0</v>
      </c>
      <c r="H30" s="595">
        <f t="shared" si="11"/>
      </c>
      <c r="I30" s="594" t="s">
        <v>1357</v>
      </c>
      <c r="J30" s="596" t="s">
        <v>1357</v>
      </c>
      <c r="K30" s="591">
        <f>'西班牙ERP数据'!BC29</f>
      </c>
      <c r="L30" s="591">
        <f>'西班牙ERP数据'!BA29</f>
      </c>
      <c r="M30" s="591">
        <f t="shared" si="0"/>
      </c>
      <c r="N30" s="594">
        <f t="shared" si="12"/>
      </c>
      <c r="O30" s="597">
        <f t="shared" si="7"/>
      </c>
      <c r="P30" s="597">
        <f t="shared" si="4"/>
      </c>
      <c r="Q30" s="591">
        <f>'西班牙ERP数据'!R29</f>
      </c>
      <c r="R30" s="591"/>
      <c r="S30" s="591">
        <f>'西班牙ERP数据'!Z29</f>
      </c>
      <c r="T30" s="591">
        <v>0</v>
      </c>
      <c r="U30" s="591">
        <v>0</v>
      </c>
      <c r="V30" s="594">
        <v>0</v>
      </c>
      <c r="W30" s="591">
        <v>0</v>
      </c>
      <c r="X30" s="596">
        <v>264.1</v>
      </c>
      <c r="Y30" s="591"/>
      <c r="Z30" s="591"/>
      <c r="AA30" s="591"/>
      <c r="AB30" s="591"/>
      <c r="AC30" s="591"/>
      <c r="AD30" s="598">
        <v>7200</v>
      </c>
      <c r="AE30" s="592">
        <v>33</v>
      </c>
      <c r="AF30" s="591">
        <v>46</v>
      </c>
      <c r="AG30" s="591">
        <v>4.9</v>
      </c>
      <c r="AH30" s="599">
        <v>4671</v>
      </c>
      <c r="AI30" s="591">
        <v>54</v>
      </c>
      <c r="AJ30" s="600">
        <f t="shared" si="8"/>
      </c>
      <c r="AK30" s="609">
        <v>0</v>
      </c>
      <c r="AL30" s="601">
        <f t="shared" si="5"/>
      </c>
      <c r="AM30" s="602">
        <f t="shared" si="1"/>
      </c>
      <c r="AN30" s="600">
        <f t="shared" si="13"/>
      </c>
      <c r="AO30" s="603">
        <f t="shared" si="9"/>
      </c>
      <c r="AP30" s="601">
        <v>82.61</v>
      </c>
      <c r="AQ30" s="594">
        <f t="shared" si="14"/>
      </c>
      <c r="AR30" s="597">
        <f t="shared" si="3"/>
      </c>
      <c r="AS30" s="597">
        <v>74.04</v>
      </c>
      <c r="AT30" s="600">
        <f t="shared" si="10"/>
      </c>
      <c r="AU30" s="597"/>
      <c r="AV30" s="600"/>
      <c r="AW30" s="604"/>
      <c r="AX30" s="604"/>
      <c r="AY30" s="605"/>
      <c r="AZ30" s="600"/>
      <c r="BA30" s="597"/>
      <c r="BB30" s="597"/>
      <c r="BC30" s="597"/>
      <c r="BD30" s="596"/>
      <c r="BE30" s="606"/>
      <c r="BF30" s="591"/>
      <c r="BG30" s="600"/>
      <c r="BH30" s="591"/>
      <c r="BI30" s="603"/>
      <c r="BJ30" s="591"/>
      <c r="BK30" s="592"/>
      <c r="BL30" s="591"/>
      <c r="BM30" s="607"/>
      <c r="BN30" s="608"/>
    </row>
    <row customHeight="true" ht="13.333333333333332" r="31">
      <c r="A31" s="590">
        <v>46020</v>
      </c>
      <c r="B31" s="591" t="s">
        <v>1356</v>
      </c>
      <c r="C31" s="592"/>
      <c r="D31" s="591">
        <v>54.99</v>
      </c>
      <c r="E31" s="593"/>
      <c r="F31" s="594">
        <v>0</v>
      </c>
      <c r="G31" s="594">
        <v>0</v>
      </c>
      <c r="H31" s="595">
        <f t="shared" si="11"/>
      </c>
      <c r="I31" s="594" t="s">
        <v>1357</v>
      </c>
      <c r="J31" s="596" t="s">
        <v>1357</v>
      </c>
      <c r="K31" s="591">
        <f>'西班牙ERP数据'!BC30</f>
      </c>
      <c r="L31" s="591">
        <f>'西班牙ERP数据'!BA30</f>
      </c>
      <c r="M31" s="591">
        <f t="shared" si="0"/>
      </c>
      <c r="N31" s="594">
        <f t="shared" si="12"/>
      </c>
      <c r="O31" s="597">
        <f t="shared" si="7"/>
      </c>
      <c r="P31" s="597">
        <f t="shared" si="4"/>
      </c>
      <c r="Q31" s="591">
        <f>'西班牙ERP数据'!R30</f>
      </c>
      <c r="R31" s="591"/>
      <c r="S31" s="591">
        <f>'西班牙ERP数据'!Z30</f>
      </c>
      <c r="T31" s="591">
        <v>0</v>
      </c>
      <c r="U31" s="591">
        <v>0</v>
      </c>
      <c r="V31" s="594">
        <v>0</v>
      </c>
      <c r="W31" s="591">
        <v>0</v>
      </c>
      <c r="X31" s="596">
        <v>268.77</v>
      </c>
      <c r="Y31" s="591"/>
      <c r="Z31" s="591"/>
      <c r="AA31" s="591"/>
      <c r="AB31" s="591"/>
      <c r="AC31" s="591"/>
      <c r="AD31" s="598">
        <v>12165</v>
      </c>
      <c r="AE31" s="592">
        <v>52</v>
      </c>
      <c r="AF31" s="591">
        <v>46</v>
      </c>
      <c r="AG31" s="591">
        <v>4.9</v>
      </c>
      <c r="AH31" s="599">
        <v>6422</v>
      </c>
      <c r="AI31" s="591">
        <v>52</v>
      </c>
      <c r="AJ31" s="600">
        <f t="shared" si="8"/>
      </c>
      <c r="AK31" s="609">
        <v>0</v>
      </c>
      <c r="AL31" s="601">
        <f t="shared" si="5"/>
      </c>
      <c r="AM31" s="602">
        <f t="shared" si="1"/>
      </c>
      <c r="AN31" s="600">
        <f t="shared" si="13"/>
      </c>
      <c r="AO31" s="603">
        <f t="shared" si="9"/>
      </c>
      <c r="AP31" s="601">
        <v>73.61</v>
      </c>
      <c r="AQ31" s="594">
        <f t="shared" si="14"/>
      </c>
      <c r="AR31" s="597">
        <f t="shared" si="3"/>
      </c>
      <c r="AS31" s="597">
        <v>74.04</v>
      </c>
      <c r="AT31" s="600">
        <f t="shared" si="10"/>
      </c>
      <c r="AU31" s="597"/>
      <c r="AV31" s="600"/>
      <c r="AW31" s="604"/>
      <c r="AX31" s="604"/>
      <c r="AY31" s="605"/>
      <c r="AZ31" s="600"/>
      <c r="BA31" s="597"/>
      <c r="BB31" s="597"/>
      <c r="BC31" s="597"/>
      <c r="BD31" s="596"/>
      <c r="BE31" s="606"/>
      <c r="BF31" s="591"/>
      <c r="BG31" s="600"/>
      <c r="BH31" s="591"/>
      <c r="BI31" s="603"/>
      <c r="BJ31" s="591"/>
      <c r="BK31" s="592"/>
      <c r="BL31" s="591"/>
      <c r="BM31" s="607"/>
      <c r="BN31" s="608"/>
    </row>
    <row customHeight="true" ht="13.333333333333332" r="32">
      <c r="A32" s="590">
        <v>46021</v>
      </c>
      <c r="B32" s="591" t="s">
        <v>1358</v>
      </c>
      <c r="C32" s="592"/>
      <c r="D32" s="591">
        <v>54.99</v>
      </c>
      <c r="E32" s="593"/>
      <c r="F32" s="594">
        <v>0</v>
      </c>
      <c r="G32" s="594">
        <v>0</v>
      </c>
      <c r="H32" s="595">
        <f t="shared" si="11"/>
      </c>
      <c r="I32" s="594" t="s">
        <v>1357</v>
      </c>
      <c r="J32" s="596" t="s">
        <v>1357</v>
      </c>
      <c r="K32" s="591">
        <f>'西班牙ERP数据'!BC31</f>
      </c>
      <c r="L32" s="591">
        <f>'西班牙ERP数据'!BA31</f>
      </c>
      <c r="M32" s="591">
        <f t="shared" si="0"/>
      </c>
      <c r="N32" s="594">
        <f t="shared" si="12"/>
      </c>
      <c r="O32" s="597">
        <f t="shared" si="7"/>
      </c>
      <c r="P32" s="597">
        <f t="shared" si="4"/>
      </c>
      <c r="Q32" s="591">
        <f>'西班牙ERP数据'!R31</f>
      </c>
      <c r="R32" s="591"/>
      <c r="S32" s="591">
        <f>'西班牙ERP数据'!Z31</f>
      </c>
      <c r="T32" s="591">
        <v>0</v>
      </c>
      <c r="U32" s="591">
        <v>0</v>
      </c>
      <c r="V32" s="594">
        <v>0</v>
      </c>
      <c r="W32" s="591">
        <v>0</v>
      </c>
      <c r="X32" s="596">
        <v>264.11</v>
      </c>
      <c r="Y32" s="591"/>
      <c r="Z32" s="591"/>
      <c r="AA32" s="591"/>
      <c r="AB32" s="591"/>
      <c r="AC32" s="591"/>
      <c r="AD32" s="598">
        <v>12925</v>
      </c>
      <c r="AE32" s="592">
        <v>54</v>
      </c>
      <c r="AF32" s="591">
        <v>46</v>
      </c>
      <c r="AG32" s="591">
        <v>4.9</v>
      </c>
      <c r="AH32" s="599">
        <v>2162</v>
      </c>
      <c r="AI32" s="591">
        <v>22</v>
      </c>
      <c r="AJ32" s="600">
        <f t="shared" si="8"/>
      </c>
      <c r="AK32" s="609">
        <v>0</v>
      </c>
      <c r="AL32" s="601">
        <f t="shared" si="5"/>
      </c>
      <c r="AM32" s="602">
        <f t="shared" si="1"/>
      </c>
      <c r="AN32" s="600">
        <f t="shared" si="13"/>
      </c>
      <c r="AO32" s="603">
        <f t="shared" si="9"/>
      </c>
      <c r="AP32" s="601">
        <v>1</v>
      </c>
      <c r="AQ32" s="594">
        <f t="shared" si="14"/>
      </c>
      <c r="AR32" s="597">
        <f t="shared" si="3"/>
      </c>
      <c r="AS32" s="597">
        <v>74.04</v>
      </c>
      <c r="AT32" s="600">
        <f t="shared" si="10"/>
      </c>
      <c r="AU32" s="597"/>
      <c r="AV32" s="600"/>
      <c r="AW32" s="604"/>
      <c r="AX32" s="604"/>
      <c r="AY32" s="605"/>
      <c r="AZ32" s="600"/>
      <c r="BA32" s="597"/>
      <c r="BB32" s="597"/>
      <c r="BC32" s="597"/>
      <c r="BD32" s="596"/>
      <c r="BE32" s="606"/>
      <c r="BF32" s="591"/>
      <c r="BG32" s="600"/>
      <c r="BH32" s="591"/>
      <c r="BI32" s="603"/>
      <c r="BJ32" s="591"/>
      <c r="BK32" s="592"/>
      <c r="BL32" s="591"/>
      <c r="BM32" s="607"/>
      <c r="BN32" s="608"/>
    </row>
    <row customHeight="true" ht="13.333333333333332" r="33">
      <c r="A33" s="590">
        <v>46022</v>
      </c>
      <c r="B33" s="591" t="s">
        <v>1359</v>
      </c>
      <c r="C33" s="592"/>
      <c r="D33" s="591">
        <v>54.99</v>
      </c>
      <c r="E33" s="593"/>
      <c r="F33" s="594">
        <v>0</v>
      </c>
      <c r="G33" s="594">
        <v>0</v>
      </c>
      <c r="H33" s="595">
        <f t="shared" si="11"/>
      </c>
      <c r="I33" s="594" t="s">
        <v>1357</v>
      </c>
      <c r="J33" s="596" t="s">
        <v>1357</v>
      </c>
      <c r="K33" s="591">
        <f>'西班牙ERP数据'!BC32</f>
      </c>
      <c r="L33" s="591">
        <f>'西班牙ERP数据'!BA32</f>
      </c>
      <c r="M33" s="591">
        <f t="shared" si="0"/>
      </c>
      <c r="N33" s="594">
        <f t="shared" si="12"/>
      </c>
      <c r="O33" s="597">
        <f t="shared" si="7"/>
      </c>
      <c r="P33" s="597">
        <f t="shared" si="4"/>
      </c>
      <c r="Q33" s="591">
        <f>'西班牙ERP数据'!R32</f>
      </c>
      <c r="R33" s="591"/>
      <c r="S33" s="591">
        <f>'西班牙ERP数据'!Z32</f>
      </c>
      <c r="T33" s="591">
        <v>0</v>
      </c>
      <c r="U33" s="591">
        <v>0</v>
      </c>
      <c r="V33" s="594">
        <v>0</v>
      </c>
      <c r="W33" s="591">
        <v>0</v>
      </c>
      <c r="X33" s="596">
        <v>264.11</v>
      </c>
      <c r="Y33" s="591"/>
      <c r="Z33" s="591"/>
      <c r="AA33" s="591"/>
      <c r="AB33" s="591"/>
      <c r="AC33" s="591"/>
      <c r="AD33" s="598">
        <v>12925</v>
      </c>
      <c r="AE33" s="592">
        <v>54</v>
      </c>
      <c r="AF33" s="591">
        <v>46</v>
      </c>
      <c r="AG33" s="591">
        <v>4.9</v>
      </c>
      <c r="AH33" s="599">
        <v>2162</v>
      </c>
      <c r="AI33" s="591">
        <v>14</v>
      </c>
      <c r="AJ33" s="600">
        <f t="shared" si="8"/>
      </c>
      <c r="AK33" s="609">
        <v>0</v>
      </c>
      <c r="AL33" s="601">
        <f t="shared" si="5"/>
      </c>
      <c r="AM33" s="602">
        <f t="shared" si="1"/>
      </c>
      <c r="AN33" s="600">
        <f t="shared" si="13"/>
      </c>
      <c r="AO33" s="603">
        <f t="shared" si="9"/>
      </c>
      <c r="AP33" s="601">
        <v>1</v>
      </c>
      <c r="AQ33" s="594">
        <f t="shared" si="14"/>
      </c>
      <c r="AR33" s="597">
        <f t="shared" si="3"/>
      </c>
      <c r="AS33" s="597">
        <v>74.04</v>
      </c>
      <c r="AT33" s="600">
        <f t="shared" si="10"/>
      </c>
      <c r="AU33" s="597"/>
      <c r="AV33" s="600"/>
      <c r="AW33" s="604"/>
      <c r="AX33" s="604"/>
      <c r="AY33" s="605"/>
      <c r="AZ33" s="600"/>
      <c r="BA33" s="597"/>
      <c r="BB33" s="597"/>
      <c r="BC33" s="597"/>
      <c r="BD33" s="596"/>
      <c r="BE33" s="606"/>
      <c r="BF33" s="591"/>
      <c r="BG33" s="600"/>
      <c r="BH33" s="591"/>
      <c r="BI33" s="603"/>
      <c r="BJ33" s="591"/>
      <c r="BK33" s="592"/>
      <c r="BL33" s="591"/>
      <c r="BM33" s="607"/>
      <c r="BN33" s="608"/>
    </row>
    <row customHeight="true" ht="13.333333333333332" r="34">
      <c r="A34" s="590">
        <v>46023</v>
      </c>
      <c r="B34" s="591" t="s">
        <v>1360</v>
      </c>
      <c r="C34" s="592"/>
      <c r="D34" s="591">
        <v>54.99</v>
      </c>
      <c r="E34" s="593"/>
      <c r="F34" s="594">
        <v>0</v>
      </c>
      <c r="G34" s="594">
        <v>0</v>
      </c>
      <c r="H34" s="595">
        <f t="shared" si="11"/>
      </c>
      <c r="I34" s="594" t="s">
        <v>1357</v>
      </c>
      <c r="J34" s="596" t="s">
        <v>1357</v>
      </c>
      <c r="K34" s="591">
        <f>'西班牙ERP数据'!BC33</f>
      </c>
      <c r="L34" s="591">
        <f>'西班牙ERP数据'!BA33</f>
      </c>
      <c r="M34" s="591">
        <f t="shared" si="0"/>
      </c>
      <c r="N34" s="594">
        <f t="shared" si="12"/>
      </c>
      <c r="O34" s="597">
        <f t="shared" si="7"/>
      </c>
      <c r="P34" s="597">
        <f t="shared" si="4"/>
      </c>
      <c r="Q34" s="591">
        <f>'西班牙ERP数据'!R33</f>
      </c>
      <c r="R34" s="591"/>
      <c r="S34" s="591">
        <f>'西班牙ERP数据'!Z33</f>
      </c>
      <c r="T34" s="591">
        <v>0</v>
      </c>
      <c r="U34" s="591">
        <v>0</v>
      </c>
      <c r="V34" s="594">
        <v>0</v>
      </c>
      <c r="W34" s="591">
        <v>0</v>
      </c>
      <c r="X34" s="596">
        <v>264.11</v>
      </c>
      <c r="Y34" s="591"/>
      <c r="Z34" s="591"/>
      <c r="AA34" s="591"/>
      <c r="AB34" s="591"/>
      <c r="AC34" s="591"/>
      <c r="AD34" s="598">
        <v>12925</v>
      </c>
      <c r="AE34" s="592">
        <v>54</v>
      </c>
      <c r="AF34" s="591">
        <v>46</v>
      </c>
      <c r="AG34" s="591">
        <v>4.9</v>
      </c>
      <c r="AH34" s="599">
        <v>2162</v>
      </c>
      <c r="AI34" s="591">
        <v>14</v>
      </c>
      <c r="AJ34" s="600">
        <f t="shared" si="8"/>
      </c>
      <c r="AK34" s="609">
        <v>0</v>
      </c>
      <c r="AL34" s="601">
        <f t="shared" si="5"/>
      </c>
      <c r="AM34" s="602">
        <f t="shared" si="1"/>
      </c>
      <c r="AN34" s="600">
        <f t="shared" si="13"/>
      </c>
      <c r="AO34" s="603">
        <f t="shared" si="9"/>
      </c>
      <c r="AP34" s="601">
        <v>1</v>
      </c>
      <c r="AQ34" s="594">
        <f t="shared" si="14"/>
      </c>
      <c r="AR34" s="597">
        <f t="shared" si="3"/>
      </c>
      <c r="AS34" s="597">
        <v>74.04</v>
      </c>
      <c r="AT34" s="600">
        <f t="shared" si="10"/>
      </c>
      <c r="AU34" s="597"/>
      <c r="AV34" s="600"/>
      <c r="AW34" s="604"/>
      <c r="AX34" s="604"/>
      <c r="AY34" s="605"/>
      <c r="AZ34" s="600"/>
      <c r="BA34" s="597"/>
      <c r="BB34" s="597"/>
      <c r="BC34" s="597"/>
      <c r="BD34" s="596"/>
      <c r="BE34" s="606"/>
      <c r="BF34" s="591"/>
      <c r="BG34" s="600"/>
      <c r="BH34" s="591"/>
      <c r="BI34" s="603"/>
      <c r="BJ34" s="591"/>
      <c r="BK34" s="592"/>
      <c r="BL34" s="591"/>
      <c r="BM34" s="607"/>
      <c r="BN34" s="608"/>
    </row>
    <row customHeight="true" ht="13.333333333333332" r="35">
      <c r="A35" s="590">
        <v>46024</v>
      </c>
      <c r="B35" s="591" t="s">
        <v>1361</v>
      </c>
      <c r="C35" s="592"/>
      <c r="D35" s="591">
        <v>54.99</v>
      </c>
      <c r="E35" s="593"/>
      <c r="F35" s="594">
        <v>0</v>
      </c>
      <c r="G35" s="594">
        <v>0</v>
      </c>
      <c r="H35" s="595">
        <f t="shared" si="11"/>
      </c>
      <c r="I35" s="594" t="s">
        <v>1357</v>
      </c>
      <c r="J35" s="596" t="s">
        <v>1357</v>
      </c>
      <c r="K35" s="591">
        <f>'西班牙ERP数据'!BC34</f>
      </c>
      <c r="L35" s="591">
        <f>'西班牙ERP数据'!BA34</f>
      </c>
      <c r="M35" s="591">
        <f t="shared" si="0"/>
      </c>
      <c r="N35" s="594">
        <f t="shared" si="12"/>
      </c>
      <c r="O35" s="597">
        <f t="shared" si="7"/>
      </c>
      <c r="P35" s="597">
        <f t="shared" si="4"/>
      </c>
      <c r="Q35" s="591">
        <f>'西班牙ERP数据'!R34</f>
      </c>
      <c r="R35" s="591"/>
      <c r="S35" s="591">
        <f>'西班牙ERP数据'!Z34</f>
      </c>
      <c r="T35" s="591">
        <v>0</v>
      </c>
      <c r="U35" s="591">
        <v>0</v>
      </c>
      <c r="V35" s="594">
        <v>0</v>
      </c>
      <c r="W35" s="591">
        <v>0</v>
      </c>
      <c r="X35" s="596">
        <v>264.11</v>
      </c>
      <c r="Y35" s="591"/>
      <c r="Z35" s="591"/>
      <c r="AA35" s="591"/>
      <c r="AB35" s="591"/>
      <c r="AC35" s="591"/>
      <c r="AD35" s="598">
        <v>12925</v>
      </c>
      <c r="AE35" s="592">
        <v>54</v>
      </c>
      <c r="AF35" s="591">
        <v>46</v>
      </c>
      <c r="AG35" s="591">
        <v>4.9</v>
      </c>
      <c r="AH35" s="599">
        <v>0</v>
      </c>
      <c r="AI35" s="591">
        <v>0</v>
      </c>
      <c r="AJ35" s="600">
        <f t="shared" si="8"/>
      </c>
      <c r="AK35" s="609">
        <v>0</v>
      </c>
      <c r="AL35" s="601">
        <f t="shared" si="5"/>
      </c>
      <c r="AM35" s="602">
        <f t="shared" si="1"/>
      </c>
      <c r="AN35" s="600">
        <f t="shared" si="13"/>
      </c>
      <c r="AO35" s="603">
        <f t="shared" si="9"/>
      </c>
      <c r="AP35" s="601">
        <v>0</v>
      </c>
      <c r="AQ35" s="594">
        <f t="shared" si="14"/>
      </c>
      <c r="AR35" s="597">
        <f t="shared" si="3"/>
      </c>
      <c r="AS35" s="597">
        <v>0</v>
      </c>
      <c r="AT35" s="600">
        <f t="shared" si="10"/>
      </c>
      <c r="AU35" s="597"/>
      <c r="AV35" s="600"/>
      <c r="AW35" s="604"/>
      <c r="AX35" s="604"/>
      <c r="AY35" s="605"/>
      <c r="AZ35" s="600"/>
      <c r="BA35" s="597"/>
      <c r="BB35" s="597"/>
      <c r="BC35" s="597"/>
      <c r="BD35" s="596"/>
      <c r="BE35" s="606"/>
      <c r="BF35" s="591"/>
      <c r="BG35" s="600"/>
      <c r="BH35" s="591"/>
      <c r="BI35" s="603"/>
      <c r="BJ35" s="591"/>
      <c r="BK35" s="592"/>
      <c r="BL35" s="591"/>
      <c r="BM35" s="607"/>
      <c r="BN35" s="608"/>
    </row>
    <row customHeight="true" ht="13.333333333333332" r="36">
      <c r="A36" s="590">
        <v>46025</v>
      </c>
      <c r="B36" s="591" t="s">
        <v>1362</v>
      </c>
      <c r="C36" s="592"/>
      <c r="D36" s="591">
        <v>54.99</v>
      </c>
      <c r="E36" s="593"/>
      <c r="F36" s="594">
        <v>0</v>
      </c>
      <c r="G36" s="594">
        <v>0</v>
      </c>
      <c r="H36" s="595">
        <f t="shared" si="11"/>
      </c>
      <c r="I36" s="594" t="s">
        <v>1357</v>
      </c>
      <c r="J36" s="596" t="s">
        <v>1357</v>
      </c>
      <c r="K36" s="591">
        <f>'西班牙ERP数据'!BC35</f>
      </c>
      <c r="L36" s="591">
        <f>'西班牙ERP数据'!BA35</f>
      </c>
      <c r="M36" s="591">
        <f t="shared" si="0"/>
      </c>
      <c r="N36" s="594">
        <f t="shared" si="12"/>
      </c>
      <c r="O36" s="597">
        <f t="shared" si="7"/>
      </c>
      <c r="P36" s="597">
        <f t="shared" si="4"/>
      </c>
      <c r="Q36" s="591">
        <f>'西班牙ERP数据'!R35</f>
      </c>
      <c r="R36" s="591"/>
      <c r="S36" s="591">
        <f>'西班牙ERP数据'!Z35</f>
      </c>
      <c r="T36" s="591">
        <v>0</v>
      </c>
      <c r="U36" s="591">
        <v>0</v>
      </c>
      <c r="V36" s="594">
        <v>0</v>
      </c>
      <c r="W36" s="591">
        <v>0</v>
      </c>
      <c r="X36" s="596">
        <v>264.11</v>
      </c>
      <c r="Y36" s="591"/>
      <c r="Z36" s="591"/>
      <c r="AA36" s="591"/>
      <c r="AB36" s="591"/>
      <c r="AC36" s="591"/>
      <c r="AD36" s="598">
        <v>12925</v>
      </c>
      <c r="AE36" s="592">
        <v>54</v>
      </c>
      <c r="AF36" s="591">
        <v>46</v>
      </c>
      <c r="AG36" s="591">
        <v>4.9</v>
      </c>
      <c r="AH36" s="599">
        <v>0</v>
      </c>
      <c r="AI36" s="591">
        <v>0</v>
      </c>
      <c r="AJ36" s="600">
        <f t="shared" si="8"/>
      </c>
      <c r="AK36" s="609">
        <v>0</v>
      </c>
      <c r="AL36" s="601">
        <f t="shared" si="5"/>
      </c>
      <c r="AM36" s="602">
        <f t="shared" si="1"/>
      </c>
      <c r="AN36" s="600">
        <f t="shared" si="13"/>
      </c>
      <c r="AO36" s="603">
        <f t="shared" si="9"/>
      </c>
      <c r="AP36" s="601">
        <v>0</v>
      </c>
      <c r="AQ36" s="594">
        <f t="shared" si="14"/>
      </c>
      <c r="AR36" s="597">
        <f t="shared" si="3"/>
      </c>
      <c r="AS36" s="597">
        <v>0</v>
      </c>
      <c r="AT36" s="600">
        <f t="shared" si="10"/>
      </c>
      <c r="AU36" s="597"/>
      <c r="AV36" s="600"/>
      <c r="AW36" s="604"/>
      <c r="AX36" s="604"/>
      <c r="AY36" s="605"/>
      <c r="AZ36" s="600"/>
      <c r="BA36" s="597"/>
      <c r="BB36" s="597"/>
      <c r="BC36" s="597"/>
      <c r="BD36" s="596"/>
      <c r="BE36" s="606"/>
      <c r="BF36" s="591"/>
      <c r="BG36" s="600"/>
      <c r="BH36" s="591"/>
      <c r="BI36" s="603"/>
      <c r="BJ36" s="591"/>
      <c r="BK36" s="592"/>
      <c r="BL36" s="591"/>
      <c r="BM36" s="607"/>
      <c r="BN36" s="608"/>
    </row>
    <row customHeight="true" ht="13.333333333333332" r="37">
      <c r="A37" s="590">
        <v>46026</v>
      </c>
      <c r="B37" s="591" t="s">
        <v>1363</v>
      </c>
      <c r="C37" s="592"/>
      <c r="D37" s="591">
        <v>54.99</v>
      </c>
      <c r="E37" s="593"/>
      <c r="F37" s="594">
        <v>0</v>
      </c>
      <c r="G37" s="594">
        <v>0</v>
      </c>
      <c r="H37" s="595">
        <f t="shared" si="11"/>
      </c>
      <c r="I37" s="594" t="s">
        <v>1357</v>
      </c>
      <c r="J37" s="596" t="s">
        <v>1357</v>
      </c>
      <c r="K37" s="591">
        <f>'西班牙ERP数据'!BC36</f>
      </c>
      <c r="L37" s="591">
        <f>'西班牙ERP数据'!BA36</f>
      </c>
      <c r="M37" s="591">
        <f t="shared" si="0"/>
      </c>
      <c r="N37" s="594">
        <f t="shared" si="12"/>
      </c>
      <c r="O37" s="597">
        <f t="shared" si="7"/>
      </c>
      <c r="P37" s="597">
        <f t="shared" si="4"/>
      </c>
      <c r="Q37" s="591">
        <f>'西班牙ERP数据'!R36</f>
      </c>
      <c r="R37" s="591"/>
      <c r="S37" s="591">
        <f>'西班牙ERP数据'!Z36</f>
      </c>
      <c r="T37" s="591">
        <v>0</v>
      </c>
      <c r="U37" s="591">
        <v>0</v>
      </c>
      <c r="V37" s="594">
        <v>0</v>
      </c>
      <c r="W37" s="591">
        <v>0</v>
      </c>
      <c r="X37" s="596">
        <v>264.11</v>
      </c>
      <c r="Y37" s="591"/>
      <c r="Z37" s="591"/>
      <c r="AA37" s="591"/>
      <c r="AB37" s="591"/>
      <c r="AC37" s="591"/>
      <c r="AD37" s="598">
        <v>12925</v>
      </c>
      <c r="AE37" s="592">
        <v>54</v>
      </c>
      <c r="AF37" s="591">
        <v>46</v>
      </c>
      <c r="AG37" s="591">
        <v>4.9</v>
      </c>
      <c r="AH37" s="599">
        <v>0</v>
      </c>
      <c r="AI37" s="591">
        <v>0</v>
      </c>
      <c r="AJ37" s="600">
        <f t="shared" si="8"/>
      </c>
      <c r="AK37" s="609">
        <v>0</v>
      </c>
      <c r="AL37" s="601">
        <f t="shared" si="5"/>
      </c>
      <c r="AM37" s="602">
        <f t="shared" si="1"/>
      </c>
      <c r="AN37" s="600">
        <f t="shared" si="13"/>
      </c>
      <c r="AO37" s="603">
        <f t="shared" si="9"/>
      </c>
      <c r="AP37" s="601">
        <v>0</v>
      </c>
      <c r="AQ37" s="594">
        <f t="shared" si="14"/>
      </c>
      <c r="AR37" s="597">
        <f t="shared" si="3"/>
      </c>
      <c r="AS37" s="597">
        <v>0</v>
      </c>
      <c r="AT37" s="600">
        <f t="shared" si="10"/>
      </c>
      <c r="AU37" s="597"/>
      <c r="AV37" s="600"/>
      <c r="AW37" s="604"/>
      <c r="AX37" s="604"/>
      <c r="AY37" s="605"/>
      <c r="AZ37" s="600"/>
      <c r="BA37" s="597"/>
      <c r="BB37" s="597"/>
      <c r="BC37" s="597"/>
      <c r="BD37" s="596"/>
      <c r="BE37" s="606"/>
      <c r="BF37" s="591"/>
      <c r="BG37" s="600"/>
      <c r="BH37" s="591"/>
      <c r="BI37" s="603"/>
      <c r="BJ37" s="591"/>
      <c r="BK37" s="592"/>
      <c r="BL37" s="591"/>
      <c r="BM37" s="607"/>
      <c r="BN37" s="608"/>
    </row>
    <row customHeight="true" ht="13.333333333333332" r="38">
      <c r="A38" s="590">
        <v>46027</v>
      </c>
      <c r="B38" s="591" t="s">
        <v>1356</v>
      </c>
      <c r="C38" s="592"/>
      <c r="D38" s="591">
        <v>54.99</v>
      </c>
      <c r="E38" s="593"/>
      <c r="F38" s="594">
        <v>0</v>
      </c>
      <c r="G38" s="594">
        <v>0</v>
      </c>
      <c r="H38" s="595">
        <f t="shared" si="11"/>
      </c>
      <c r="I38" s="594" t="s">
        <v>1357</v>
      </c>
      <c r="J38" s="596" t="s">
        <v>1357</v>
      </c>
      <c r="K38" s="591">
        <f>'西班牙ERP数据'!BC37</f>
      </c>
      <c r="L38" s="591">
        <f>'西班牙ERP数据'!BA37</f>
      </c>
      <c r="M38" s="591">
        <f t="shared" si="0"/>
      </c>
      <c r="N38" s="594">
        <f t="shared" si="12"/>
      </c>
      <c r="O38" s="597">
        <f t="shared" si="7"/>
      </c>
      <c r="P38" s="597">
        <f t="shared" si="4"/>
      </c>
      <c r="Q38" s="591">
        <f>'西班牙ERP数据'!R37</f>
      </c>
      <c r="R38" s="591"/>
      <c r="S38" s="591">
        <f>'西班牙ERP数据'!Z37</f>
      </c>
      <c r="T38" s="591">
        <v>0</v>
      </c>
      <c r="U38" s="591">
        <v>0</v>
      </c>
      <c r="V38" s="594">
        <v>0</v>
      </c>
      <c r="W38" s="591">
        <v>0</v>
      </c>
      <c r="X38" s="596">
        <v>264.11</v>
      </c>
      <c r="Y38" s="591"/>
      <c r="Z38" s="591"/>
      <c r="AA38" s="591"/>
      <c r="AB38" s="591"/>
      <c r="AC38" s="591"/>
      <c r="AD38" s="598">
        <v>12925</v>
      </c>
      <c r="AE38" s="592">
        <v>54</v>
      </c>
      <c r="AF38" s="591">
        <v>46</v>
      </c>
      <c r="AG38" s="591">
        <v>4.9</v>
      </c>
      <c r="AH38" s="599">
        <v>1639</v>
      </c>
      <c r="AI38" s="609">
        <v>0</v>
      </c>
      <c r="AJ38" s="600">
        <f t="shared" si="8"/>
      </c>
      <c r="AK38" s="609">
        <v>0</v>
      </c>
      <c r="AL38" s="601">
        <f t="shared" si="5"/>
      </c>
      <c r="AM38" s="602">
        <f t="shared" si="1"/>
      </c>
      <c r="AN38" s="600">
        <f t="shared" si="13"/>
      </c>
      <c r="AO38" s="603">
        <f t="shared" si="9"/>
      </c>
      <c r="AP38" s="601">
        <v>29.13</v>
      </c>
      <c r="AQ38" s="594">
        <f t="shared" si="14"/>
      </c>
      <c r="AR38" s="597">
        <f t="shared" si="3"/>
      </c>
      <c r="AS38" s="597">
        <v>70.24</v>
      </c>
      <c r="AT38" s="600">
        <f t="shared" si="10"/>
      </c>
      <c r="AU38" s="597"/>
      <c r="AV38" s="600"/>
      <c r="AW38" s="604"/>
      <c r="AX38" s="604"/>
      <c r="AY38" s="605"/>
      <c r="AZ38" s="600"/>
      <c r="BA38" s="597"/>
      <c r="BB38" s="597"/>
      <c r="BC38" s="597"/>
      <c r="BD38" s="596"/>
      <c r="BE38" s="606"/>
      <c r="BF38" s="591"/>
      <c r="BG38" s="600"/>
      <c r="BH38" s="591"/>
      <c r="BI38" s="603"/>
      <c r="BJ38" s="591"/>
      <c r="BK38" s="592"/>
      <c r="BL38" s="591"/>
      <c r="BM38" s="607"/>
      <c r="BN38" s="608"/>
    </row>
    <row customHeight="true" ht="13.333333333333332" r="39">
      <c r="A39" s="590">
        <v>46028</v>
      </c>
      <c r="B39" s="591" t="s">
        <v>1358</v>
      </c>
      <c r="C39" s="592"/>
      <c r="D39" s="591">
        <v>54.99</v>
      </c>
      <c r="E39" s="593"/>
      <c r="F39" s="594">
        <v>0</v>
      </c>
      <c r="G39" s="594">
        <v>0</v>
      </c>
      <c r="H39" s="595">
        <f t="shared" si="11"/>
      </c>
      <c r="I39" s="594" t="s">
        <v>1357</v>
      </c>
      <c r="J39" s="596" t="s">
        <v>1357</v>
      </c>
      <c r="K39" s="591">
        <f>'西班牙ERP数据'!BC38</f>
      </c>
      <c r="L39" s="591">
        <f>'西班牙ERP数据'!BA38</f>
      </c>
      <c r="M39" s="591">
        <f t="shared" si="0"/>
      </c>
      <c r="N39" s="594">
        <f t="shared" si="12"/>
      </c>
      <c r="O39" s="597">
        <f t="shared" si="7"/>
      </c>
      <c r="P39" s="597">
        <f t="shared" si="4"/>
      </c>
      <c r="Q39" s="591">
        <f>'西班牙ERP数据'!R38</f>
      </c>
      <c r="R39" s="591"/>
      <c r="S39" s="591">
        <f>'西班牙ERP数据'!Z38</f>
      </c>
      <c r="T39" s="591">
        <v>0</v>
      </c>
      <c r="U39" s="591">
        <v>0</v>
      </c>
      <c r="V39" s="594">
        <v>0</v>
      </c>
      <c r="W39" s="591">
        <v>0</v>
      </c>
      <c r="X39" s="596">
        <v>264.11</v>
      </c>
      <c r="Y39" s="591"/>
      <c r="Z39" s="591"/>
      <c r="AA39" s="591"/>
      <c r="AB39" s="591"/>
      <c r="AC39" s="591"/>
      <c r="AD39" s="598">
        <v>12925</v>
      </c>
      <c r="AE39" s="592">
        <v>54</v>
      </c>
      <c r="AF39" s="591">
        <v>46</v>
      </c>
      <c r="AG39" s="591">
        <v>4.9</v>
      </c>
      <c r="AH39" s="599">
        <v>4370</v>
      </c>
      <c r="AI39" s="609">
        <v>0</v>
      </c>
      <c r="AJ39" s="600">
        <f t="shared" si="8"/>
      </c>
      <c r="AK39" s="609">
        <v>0</v>
      </c>
      <c r="AL39" s="601">
        <f t="shared" si="5"/>
      </c>
      <c r="AM39" s="602">
        <f t="shared" si="1"/>
      </c>
      <c r="AN39" s="600">
        <f t="shared" si="13"/>
      </c>
      <c r="AO39" s="603">
        <f t="shared" si="9"/>
      </c>
      <c r="AP39" s="601">
        <v>70.75</v>
      </c>
      <c r="AQ39" s="594">
        <f t="shared" si="14"/>
      </c>
      <c r="AR39" s="597">
        <f t="shared" si="3"/>
      </c>
      <c r="AS39" s="597">
        <v>140.48</v>
      </c>
      <c r="AT39" s="600">
        <f t="shared" si="10"/>
      </c>
      <c r="AU39" s="597"/>
      <c r="AV39" s="600"/>
      <c r="AW39" s="604"/>
      <c r="AX39" s="604"/>
      <c r="AY39" s="605"/>
      <c r="AZ39" s="600"/>
      <c r="BA39" s="597"/>
      <c r="BB39" s="597"/>
      <c r="BC39" s="597"/>
      <c r="BD39" s="596"/>
      <c r="BE39" s="606"/>
      <c r="BF39" s="591"/>
      <c r="BG39" s="600"/>
      <c r="BH39" s="591"/>
      <c r="BI39" s="603"/>
      <c r="BJ39" s="591"/>
      <c r="BK39" s="592"/>
      <c r="BL39" s="591"/>
      <c r="BM39" s="607"/>
      <c r="BN39" s="608"/>
    </row>
    <row customHeight="true" ht="13.333333333333332" r="40">
      <c r="A40" s="590">
        <v>46029</v>
      </c>
      <c r="B40" s="591" t="s">
        <v>1359</v>
      </c>
      <c r="C40" s="592"/>
      <c r="D40" s="591">
        <v>54.99</v>
      </c>
      <c r="E40" s="593"/>
      <c r="F40" s="594">
        <v>0</v>
      </c>
      <c r="G40" s="594">
        <v>0</v>
      </c>
      <c r="H40" s="595">
        <f t="shared" si="11"/>
      </c>
      <c r="I40" s="594" t="s">
        <v>1357</v>
      </c>
      <c r="J40" s="596" t="s">
        <v>1357</v>
      </c>
      <c r="K40" s="591">
        <f>'西班牙ERP数据'!BC39</f>
      </c>
      <c r="L40" s="591">
        <f>'西班牙ERP数据'!BA39</f>
      </c>
      <c r="M40" s="591">
        <f t="shared" si="0"/>
      </c>
      <c r="N40" s="594">
        <f t="shared" si="12"/>
      </c>
      <c r="O40" s="597">
        <f t="shared" si="7"/>
      </c>
      <c r="P40" s="597">
        <f t="shared" si="4"/>
      </c>
      <c r="Q40" s="591">
        <f>'西班牙ERP数据'!R39</f>
      </c>
      <c r="R40" s="591"/>
      <c r="S40" s="591">
        <f>'西班牙ERP数据'!Z39</f>
      </c>
      <c r="T40" s="591">
        <v>0</v>
      </c>
      <c r="U40" s="591">
        <v>0</v>
      </c>
      <c r="V40" s="594">
        <v>0</v>
      </c>
      <c r="W40" s="591">
        <v>0</v>
      </c>
      <c r="X40" s="596">
        <v>264.11</v>
      </c>
      <c r="Y40" s="591"/>
      <c r="Z40" s="591"/>
      <c r="AA40" s="591"/>
      <c r="AB40" s="591"/>
      <c r="AC40" s="591"/>
      <c r="AD40" s="598">
        <v>12925</v>
      </c>
      <c r="AE40" s="592">
        <v>54</v>
      </c>
      <c r="AF40" s="591">
        <v>46</v>
      </c>
      <c r="AG40" s="591">
        <v>4.9</v>
      </c>
      <c r="AH40" s="599">
        <v>9844</v>
      </c>
      <c r="AI40" s="609">
        <v>0</v>
      </c>
      <c r="AJ40" s="600">
        <f t="shared" si="8"/>
      </c>
      <c r="AK40" s="609">
        <v>0</v>
      </c>
      <c r="AL40" s="601">
        <f t="shared" si="5"/>
      </c>
      <c r="AM40" s="602">
        <f t="shared" si="1"/>
      </c>
      <c r="AN40" s="600">
        <f t="shared" si="13"/>
      </c>
      <c r="AO40" s="603">
        <f t="shared" si="9"/>
      </c>
      <c r="AP40" s="601">
        <v>134.31</v>
      </c>
      <c r="AQ40" s="594">
        <f t="shared" si="14"/>
      </c>
      <c r="AR40" s="597">
        <f t="shared" si="3"/>
      </c>
      <c r="AS40" s="597">
        <v>421.44</v>
      </c>
      <c r="AT40" s="600">
        <f t="shared" si="10"/>
      </c>
      <c r="AU40" s="597"/>
      <c r="AV40" s="600"/>
      <c r="AW40" s="604"/>
      <c r="AX40" s="604"/>
      <c r="AY40" s="605"/>
      <c r="AZ40" s="600"/>
      <c r="BA40" s="597"/>
      <c r="BB40" s="597"/>
      <c r="BC40" s="597"/>
      <c r="BD40" s="596"/>
      <c r="BE40" s="606"/>
      <c r="BF40" s="591"/>
      <c r="BG40" s="600"/>
      <c r="BH40" s="591"/>
      <c r="BI40" s="603"/>
      <c r="BJ40" s="591"/>
      <c r="BK40" s="592"/>
      <c r="BL40" s="591"/>
      <c r="BM40" s="607"/>
      <c r="BN40" s="608"/>
    </row>
    <row customHeight="true" ht="13.333333333333332" r="41">
      <c r="A41" s="590">
        <v>46030</v>
      </c>
      <c r="B41" s="591" t="s">
        <v>1360</v>
      </c>
      <c r="C41" s="592"/>
      <c r="D41" s="591">
        <v>54.99</v>
      </c>
      <c r="E41" s="593"/>
      <c r="F41" s="594">
        <v>0</v>
      </c>
      <c r="G41" s="594">
        <v>0</v>
      </c>
      <c r="H41" s="595">
        <f t="shared" si="11"/>
      </c>
      <c r="I41" s="594" t="s">
        <v>1357</v>
      </c>
      <c r="J41" s="596" t="s">
        <v>1357</v>
      </c>
      <c r="K41" s="591">
        <f>'西班牙ERP数据'!BC40</f>
      </c>
      <c r="L41" s="591">
        <f>'西班牙ERP数据'!BA40</f>
      </c>
      <c r="M41" s="591">
        <f t="shared" si="0"/>
      </c>
      <c r="N41" s="594">
        <f t="shared" si="12"/>
      </c>
      <c r="O41" s="597">
        <f t="shared" si="7"/>
      </c>
      <c r="P41" s="597">
        <f t="shared" si="4"/>
      </c>
      <c r="Q41" s="591">
        <f>'西班牙ERP数据'!R40</f>
      </c>
      <c r="R41" s="591"/>
      <c r="S41" s="591">
        <f>'西班牙ERP数据'!Z40</f>
      </c>
      <c r="T41" s="591">
        <v>0</v>
      </c>
      <c r="U41" s="591">
        <v>0</v>
      </c>
      <c r="V41" s="594">
        <v>0</v>
      </c>
      <c r="W41" s="591">
        <v>0</v>
      </c>
      <c r="X41" s="596">
        <v>264.11</v>
      </c>
      <c r="Y41" s="591"/>
      <c r="Z41" s="591"/>
      <c r="AA41" s="591"/>
      <c r="AB41" s="591"/>
      <c r="AC41" s="591"/>
      <c r="AD41" s="598">
        <v>12925</v>
      </c>
      <c r="AE41" s="592">
        <v>54</v>
      </c>
      <c r="AF41" s="591">
        <v>46</v>
      </c>
      <c r="AG41" s="591">
        <v>4.9</v>
      </c>
      <c r="AH41" s="599">
        <v>9178</v>
      </c>
      <c r="AI41" s="609">
        <v>0</v>
      </c>
      <c r="AJ41" s="600">
        <f t="shared" si="8"/>
      </c>
      <c r="AK41" s="609">
        <v>0</v>
      </c>
      <c r="AL41" s="601">
        <f t="shared" si="5"/>
      </c>
      <c r="AM41" s="602">
        <f t="shared" si="1"/>
      </c>
      <c r="AN41" s="600">
        <f t="shared" si="13"/>
      </c>
      <c r="AO41" s="603">
        <f t="shared" si="9"/>
      </c>
      <c r="AP41" s="601">
        <v>129.01</v>
      </c>
      <c r="AQ41" s="594">
        <f t="shared" si="14"/>
      </c>
      <c r="AR41" s="597">
        <f t="shared" si="3"/>
      </c>
      <c r="AS41" s="597">
        <v>632.16</v>
      </c>
      <c r="AT41" s="600">
        <f t="shared" si="10"/>
      </c>
      <c r="AU41" s="597"/>
      <c r="AV41" s="600"/>
      <c r="AW41" s="604"/>
      <c r="AX41" s="604"/>
      <c r="AY41" s="605"/>
      <c r="AZ41" s="600"/>
      <c r="BA41" s="597"/>
      <c r="BB41" s="597"/>
      <c r="BC41" s="597"/>
      <c r="BD41" s="596"/>
      <c r="BE41" s="606"/>
      <c r="BF41" s="591"/>
      <c r="BG41" s="600"/>
      <c r="BH41" s="591"/>
      <c r="BI41" s="603"/>
      <c r="BJ41" s="591"/>
      <c r="BK41" s="592"/>
      <c r="BL41" s="591"/>
      <c r="BM41" s="607"/>
      <c r="BN41" s="608"/>
    </row>
    <row customHeight="true" ht="13.333333333333332" r="42">
      <c r="A42" s="590">
        <v>46031</v>
      </c>
      <c r="B42" s="591" t="s">
        <v>1361</v>
      </c>
      <c r="C42" s="592"/>
      <c r="D42" s="591">
        <v>54.99</v>
      </c>
      <c r="E42" s="593"/>
      <c r="F42" s="594">
        <v>0</v>
      </c>
      <c r="G42" s="594">
        <v>0</v>
      </c>
      <c r="H42" s="595">
        <f t="shared" si="11"/>
      </c>
      <c r="I42" s="594" t="s">
        <v>1357</v>
      </c>
      <c r="J42" s="596" t="s">
        <v>1357</v>
      </c>
      <c r="K42" s="591">
        <f>'西班牙ERP数据'!BC41</f>
      </c>
      <c r="L42" s="591">
        <f>'西班牙ERP数据'!BA41</f>
      </c>
      <c r="M42" s="591">
        <f t="shared" si="0"/>
      </c>
      <c r="N42" s="594">
        <f t="shared" si="12"/>
      </c>
      <c r="O42" s="597">
        <f t="shared" si="7"/>
      </c>
      <c r="P42" s="597">
        <f t="shared" si="4"/>
      </c>
      <c r="Q42" s="591">
        <f>'西班牙ERP数据'!R41</f>
      </c>
      <c r="R42" s="591"/>
      <c r="S42" s="591">
        <f>'西班牙ERP数据'!Z41</f>
      </c>
      <c r="T42" s="591">
        <v>0</v>
      </c>
      <c r="U42" s="591">
        <v>0</v>
      </c>
      <c r="V42" s="594">
        <v>0</v>
      </c>
      <c r="W42" s="591">
        <v>0</v>
      </c>
      <c r="X42" s="596">
        <v>264.11</v>
      </c>
      <c r="Y42" s="591"/>
      <c r="Z42" s="591"/>
      <c r="AA42" s="591"/>
      <c r="AB42" s="591"/>
      <c r="AC42" s="591"/>
      <c r="AD42" s="598">
        <v>12925</v>
      </c>
      <c r="AE42" s="592">
        <v>54</v>
      </c>
      <c r="AF42" s="591">
        <v>46</v>
      </c>
      <c r="AG42" s="591">
        <v>4.9</v>
      </c>
      <c r="AH42" s="599">
        <v>21592</v>
      </c>
      <c r="AI42" s="609">
        <v>0</v>
      </c>
      <c r="AJ42" s="600">
        <f t="shared" si="8"/>
      </c>
      <c r="AK42" s="609">
        <v>0</v>
      </c>
      <c r="AL42" s="601">
        <f t="shared" si="5"/>
      </c>
      <c r="AM42" s="602">
        <f t="shared" si="1"/>
      </c>
      <c r="AN42" s="600">
        <f t="shared" si="13"/>
      </c>
      <c r="AO42" s="603">
        <f t="shared" si="9"/>
      </c>
      <c r="AP42" s="601">
        <v>285.83</v>
      </c>
      <c r="AQ42" s="594">
        <f t="shared" si="14"/>
      </c>
      <c r="AR42" s="597">
        <f t="shared" si="3"/>
      </c>
      <c r="AS42" s="597">
        <v>1264.32</v>
      </c>
      <c r="AT42" s="600">
        <f t="shared" si="10"/>
      </c>
      <c r="AU42" s="597"/>
      <c r="AV42" s="600"/>
      <c r="AW42" s="604"/>
      <c r="AX42" s="604"/>
      <c r="AY42" s="605"/>
      <c r="AZ42" s="600"/>
      <c r="BA42" s="597"/>
      <c r="BB42" s="597"/>
      <c r="BC42" s="597"/>
      <c r="BD42" s="596"/>
      <c r="BE42" s="606"/>
      <c r="BF42" s="591"/>
      <c r="BG42" s="600"/>
      <c r="BH42" s="591"/>
      <c r="BI42" s="603"/>
      <c r="BJ42" s="591"/>
      <c r="BK42" s="592"/>
      <c r="BL42" s="591"/>
      <c r="BM42" s="607"/>
      <c r="BN42" s="608"/>
    </row>
    <row customHeight="true" ht="13.333333333333332" r="43">
      <c r="A43" s="590">
        <v>46032</v>
      </c>
      <c r="B43" s="591" t="s">
        <v>1362</v>
      </c>
      <c r="C43" s="592"/>
      <c r="D43" s="591">
        <v>54.99</v>
      </c>
      <c r="E43" s="593"/>
      <c r="F43" s="594">
        <v>0</v>
      </c>
      <c r="G43" s="594">
        <v>0</v>
      </c>
      <c r="H43" s="595">
        <f t="shared" si="11"/>
      </c>
      <c r="I43" s="594" t="s">
        <v>1357</v>
      </c>
      <c r="J43" s="596" t="s">
        <v>1357</v>
      </c>
      <c r="K43" s="591">
        <f>'西班牙ERP数据'!BC42</f>
      </c>
      <c r="L43" s="591">
        <f>'西班牙ERP数据'!BA42</f>
      </c>
      <c r="M43" s="591">
        <f t="shared" si="0"/>
      </c>
      <c r="N43" s="594">
        <f t="shared" si="12"/>
      </c>
      <c r="O43" s="597">
        <f t="shared" si="7"/>
      </c>
      <c r="P43" s="597">
        <f t="shared" si="4"/>
      </c>
      <c r="Q43" s="591">
        <f>'西班牙ERP数据'!R42</f>
      </c>
      <c r="R43" s="591"/>
      <c r="S43" s="591">
        <f>'西班牙ERP数据'!Z42</f>
      </c>
      <c r="T43" s="591">
        <v>0</v>
      </c>
      <c r="U43" s="591">
        <v>0</v>
      </c>
      <c r="V43" s="594">
        <v>0</v>
      </c>
      <c r="W43" s="591">
        <v>0</v>
      </c>
      <c r="X43" s="596">
        <v>264.11</v>
      </c>
      <c r="Y43" s="591"/>
      <c r="Z43" s="591"/>
      <c r="AA43" s="591"/>
      <c r="AB43" s="591"/>
      <c r="AC43" s="591"/>
      <c r="AD43" s="598">
        <v>12925</v>
      </c>
      <c r="AE43" s="592">
        <v>54</v>
      </c>
      <c r="AF43" s="591">
        <v>46</v>
      </c>
      <c r="AG43" s="591">
        <v>4.9</v>
      </c>
      <c r="AH43" s="599">
        <v>14192</v>
      </c>
      <c r="AI43" s="609">
        <v>0</v>
      </c>
      <c r="AJ43" s="600">
        <f t="shared" si="8"/>
      </c>
      <c r="AK43" s="609">
        <v>0</v>
      </c>
      <c r="AL43" s="601">
        <f t="shared" si="5"/>
      </c>
      <c r="AM43" s="602">
        <f t="shared" si="1"/>
      </c>
      <c r="AN43" s="600">
        <f t="shared" si="13"/>
      </c>
      <c r="AO43" s="603">
        <f t="shared" si="9"/>
      </c>
      <c r="AP43" s="601">
        <v>163.65</v>
      </c>
      <c r="AQ43" s="594">
        <f t="shared" si="14"/>
      </c>
      <c r="AR43" s="597">
        <f t="shared" si="3"/>
      </c>
      <c r="AS43" s="597">
        <v>632.16</v>
      </c>
      <c r="AT43" s="600">
        <f t="shared" si="10"/>
      </c>
      <c r="AU43" s="597"/>
      <c r="AV43" s="600"/>
      <c r="AW43" s="604"/>
      <c r="AX43" s="604"/>
      <c r="AY43" s="605"/>
      <c r="AZ43" s="600"/>
      <c r="BA43" s="597"/>
      <c r="BB43" s="597"/>
      <c r="BC43" s="597"/>
      <c r="BD43" s="596"/>
      <c r="BE43" s="606"/>
      <c r="BF43" s="591"/>
      <c r="BG43" s="600"/>
      <c r="BH43" s="591"/>
      <c r="BI43" s="603"/>
      <c r="BJ43" s="591"/>
      <c r="BK43" s="592"/>
      <c r="BL43" s="591"/>
      <c r="BM43" s="607"/>
      <c r="BN43" s="608"/>
    </row>
    <row customHeight="true" ht="13.333333333333332" r="44">
      <c r="A44" s="590">
        <v>46033</v>
      </c>
      <c r="B44" s="591" t="s">
        <v>1363</v>
      </c>
      <c r="C44" s="592"/>
      <c r="D44" s="591">
        <v>54.99</v>
      </c>
      <c r="E44" s="593"/>
      <c r="F44" s="594">
        <v>0</v>
      </c>
      <c r="G44" s="594">
        <v>0</v>
      </c>
      <c r="H44" s="595">
        <f t="shared" si="11"/>
      </c>
      <c r="I44" s="594" t="s">
        <v>1357</v>
      </c>
      <c r="J44" s="596" t="s">
        <v>1357</v>
      </c>
      <c r="K44" s="591">
        <f>'西班牙ERP数据'!BC43</f>
      </c>
      <c r="L44" s="591">
        <f>'西班牙ERP数据'!BA43</f>
      </c>
      <c r="M44" s="591">
        <f t="shared" si="0"/>
      </c>
      <c r="N44" s="594">
        <f t="shared" si="12"/>
      </c>
      <c r="O44" s="597">
        <f t="shared" si="7"/>
      </c>
      <c r="P44" s="597">
        <f t="shared" si="4"/>
      </c>
      <c r="Q44" s="591">
        <f>'西班牙ERP数据'!R43</f>
      </c>
      <c r="R44" s="591"/>
      <c r="S44" s="591">
        <f>'西班牙ERP数据'!Z43</f>
      </c>
      <c r="T44" s="591">
        <v>0</v>
      </c>
      <c r="U44" s="591">
        <v>0</v>
      </c>
      <c r="V44" s="594">
        <v>0</v>
      </c>
      <c r="W44" s="591">
        <v>0</v>
      </c>
      <c r="X44" s="596">
        <v>264.11</v>
      </c>
      <c r="Y44" s="591"/>
      <c r="Z44" s="591"/>
      <c r="AA44" s="591"/>
      <c r="AB44" s="591"/>
      <c r="AC44" s="591"/>
      <c r="AD44" s="598">
        <v>12925</v>
      </c>
      <c r="AE44" s="592">
        <v>54</v>
      </c>
      <c r="AF44" s="591">
        <v>46</v>
      </c>
      <c r="AG44" s="591">
        <v>4.9</v>
      </c>
      <c r="AH44" s="599">
        <v>18257</v>
      </c>
      <c r="AI44" s="609">
        <v>0</v>
      </c>
      <c r="AJ44" s="600">
        <f t="shared" si="8"/>
      </c>
      <c r="AK44" s="609">
        <v>0</v>
      </c>
      <c r="AL44" s="601">
        <f t="shared" si="5"/>
      </c>
      <c r="AM44" s="602">
        <f t="shared" si="1"/>
      </c>
      <c r="AN44" s="600">
        <f t="shared" si="13"/>
      </c>
      <c r="AO44" s="603">
        <f t="shared" si="9"/>
      </c>
      <c r="AP44" s="601">
        <v>126.73</v>
      </c>
      <c r="AQ44" s="594">
        <f t="shared" si="14"/>
      </c>
      <c r="AR44" s="597">
        <f t="shared" si="3"/>
      </c>
      <c r="AS44" s="597">
        <v>491.68</v>
      </c>
      <c r="AT44" s="600">
        <f t="shared" si="10"/>
      </c>
      <c r="AU44" s="597"/>
      <c r="AV44" s="600"/>
      <c r="AW44" s="604"/>
      <c r="AX44" s="604"/>
      <c r="AY44" s="605"/>
      <c r="AZ44" s="600"/>
      <c r="BA44" s="597"/>
      <c r="BB44" s="597"/>
      <c r="BC44" s="597"/>
      <c r="BD44" s="596"/>
      <c r="BE44" s="606"/>
      <c r="BF44" s="591"/>
      <c r="BG44" s="600"/>
      <c r="BH44" s="591"/>
      <c r="BI44" s="603"/>
      <c r="BJ44" s="591"/>
      <c r="BK44" s="592"/>
      <c r="BL44" s="591"/>
      <c r="BM44" s="607"/>
      <c r="BN44" s="608"/>
    </row>
    <row customHeight="true" ht="13.333333333333332" r="45">
      <c r="A45" s="590">
        <v>46034</v>
      </c>
      <c r="B45" s="591" t="s">
        <v>1356</v>
      </c>
      <c r="C45" s="592"/>
      <c r="D45" s="591">
        <v>54.99</v>
      </c>
      <c r="E45" s="593"/>
      <c r="F45" s="594">
        <v>0</v>
      </c>
      <c r="G45" s="594">
        <v>0</v>
      </c>
      <c r="H45" s="595">
        <f t="shared" si="11"/>
      </c>
      <c r="I45" s="594" t="s">
        <v>1357</v>
      </c>
      <c r="J45" s="596" t="s">
        <v>1357</v>
      </c>
      <c r="K45" s="591">
        <f>'西班牙ERP数据'!BC44</f>
      </c>
      <c r="L45" s="591">
        <f>'西班牙ERP数据'!BA44</f>
      </c>
      <c r="M45" s="591">
        <f t="shared" si="0"/>
      </c>
      <c r="N45" s="594">
        <f t="shared" si="12"/>
      </c>
      <c r="O45" s="597">
        <f t="shared" si="7"/>
      </c>
      <c r="P45" s="597">
        <f t="shared" si="4"/>
      </c>
      <c r="Q45" s="591">
        <f>'西班牙ERP数据'!R44</f>
      </c>
      <c r="R45" s="591"/>
      <c r="S45" s="591">
        <f>'西班牙ERP数据'!Z44</f>
      </c>
      <c r="T45" s="591">
        <v>0</v>
      </c>
      <c r="U45" s="591">
        <v>0</v>
      </c>
      <c r="V45" s="594">
        <v>0</v>
      </c>
      <c r="W45" s="591">
        <v>0</v>
      </c>
      <c r="X45" s="596">
        <v>264.11</v>
      </c>
      <c r="Y45" s="591"/>
      <c r="Z45" s="591"/>
      <c r="AA45" s="591"/>
      <c r="AB45" s="591"/>
      <c r="AC45" s="591"/>
      <c r="AD45" s="598">
        <v>12925</v>
      </c>
      <c r="AE45" s="592">
        <v>54</v>
      </c>
      <c r="AF45" s="591">
        <v>46</v>
      </c>
      <c r="AG45" s="591">
        <v>4.9</v>
      </c>
      <c r="AH45" s="599">
        <v>2162</v>
      </c>
      <c r="AI45" s="609">
        <v>0</v>
      </c>
      <c r="AJ45" s="600">
        <f t="shared" si="8"/>
      </c>
      <c r="AK45" s="609">
        <v>0</v>
      </c>
      <c r="AL45" s="601">
        <f t="shared" si="5"/>
      </c>
      <c r="AM45" s="602">
        <f t="shared" si="1"/>
      </c>
      <c r="AN45" s="600">
        <f t="shared" si="13"/>
      </c>
      <c r="AO45" s="603">
        <f t="shared" si="9"/>
      </c>
      <c r="AP45" s="601">
        <v>35.13</v>
      </c>
      <c r="AQ45" s="594">
        <f t="shared" si="14"/>
      </c>
      <c r="AR45" s="597">
        <f t="shared" si="3"/>
      </c>
      <c r="AS45" s="597">
        <v>74.04</v>
      </c>
      <c r="AT45" s="600">
        <f t="shared" si="10"/>
      </c>
      <c r="AU45" s="597"/>
      <c r="AV45" s="600"/>
      <c r="AW45" s="604"/>
      <c r="AX45" s="604"/>
      <c r="AY45" s="605"/>
      <c r="AZ45" s="600"/>
      <c r="BA45" s="597"/>
      <c r="BB45" s="597"/>
      <c r="BC45" s="597"/>
      <c r="BD45" s="596"/>
      <c r="BE45" s="606"/>
      <c r="BF45" s="591"/>
      <c r="BG45" s="600"/>
      <c r="BH45" s="591"/>
      <c r="BI45" s="603"/>
      <c r="BJ45" s="591"/>
      <c r="BK45" s="592"/>
      <c r="BL45" s="591"/>
      <c r="BM45" s="607"/>
      <c r="BN45" s="608"/>
    </row>
    <row customHeight="true" ht="13.333333333333332" r="46">
      <c r="A46" s="590">
        <v>46035</v>
      </c>
      <c r="B46" s="591" t="s">
        <v>1358</v>
      </c>
      <c r="C46" s="592"/>
      <c r="D46" s="609">
        <v>54.99</v>
      </c>
      <c r="E46" s="610"/>
      <c r="F46" s="611">
        <v>0</v>
      </c>
      <c r="G46" s="611">
        <v>0</v>
      </c>
      <c r="H46" s="612">
        <f t="shared" si="11"/>
      </c>
      <c r="I46" s="611" t="s">
        <v>1357</v>
      </c>
      <c r="J46" s="613" t="s">
        <v>1357</v>
      </c>
      <c r="K46" s="609">
        <f>'西班牙ERP数据'!BC45</f>
      </c>
      <c r="L46" s="609">
        <f>'西班牙ERP数据'!BA45</f>
      </c>
      <c r="M46" s="609">
        <f t="shared" si="0"/>
      </c>
      <c r="N46" s="611">
        <f t="shared" si="12"/>
      </c>
      <c r="O46" s="614">
        <f t="shared" si="7"/>
      </c>
      <c r="P46" s="614">
        <f t="shared" si="4"/>
      </c>
      <c r="Q46" s="609">
        <f>'西班牙ERP数据'!R45</f>
      </c>
      <c r="R46" s="609"/>
      <c r="S46" s="609">
        <f>'西班牙ERP数据'!Z45</f>
      </c>
      <c r="T46" s="609">
        <v>0</v>
      </c>
      <c r="U46" s="609">
        <v>0</v>
      </c>
      <c r="V46" s="611">
        <v>0</v>
      </c>
      <c r="W46" s="609">
        <v>0</v>
      </c>
      <c r="X46" s="613">
        <v>264.11</v>
      </c>
      <c r="Y46" s="609"/>
      <c r="Z46" s="609"/>
      <c r="AA46" s="609"/>
      <c r="AB46" s="609"/>
      <c r="AC46" s="609"/>
      <c r="AD46" s="615">
        <v>12925</v>
      </c>
      <c r="AE46" s="616">
        <v>54</v>
      </c>
      <c r="AF46" s="609">
        <v>46</v>
      </c>
      <c r="AG46" s="609">
        <v>4.9</v>
      </c>
      <c r="AH46" s="617">
        <v>2162</v>
      </c>
      <c r="AI46" s="609">
        <v>0</v>
      </c>
      <c r="AJ46" s="618">
        <f t="shared" si="8"/>
      </c>
      <c r="AK46" s="609">
        <v>0</v>
      </c>
      <c r="AL46" s="619">
        <f t="shared" si="5"/>
      </c>
      <c r="AM46" s="620">
        <f t="shared" si="1"/>
      </c>
      <c r="AN46" s="618">
        <f t="shared" si="13"/>
      </c>
      <c r="AO46" s="621">
        <f t="shared" si="9"/>
      </c>
      <c r="AP46" s="619">
        <v>35.13</v>
      </c>
      <c r="AQ46" s="611">
        <f t="shared" si="14"/>
      </c>
      <c r="AR46" s="614">
        <f t="shared" si="3"/>
      </c>
      <c r="AS46" s="614">
        <v>74.04</v>
      </c>
      <c r="AT46" s="618">
        <f t="shared" si="10"/>
      </c>
      <c r="AU46" s="614"/>
      <c r="AV46" s="618"/>
      <c r="AW46" s="622"/>
      <c r="AX46" s="622"/>
      <c r="AY46" s="623"/>
      <c r="AZ46" s="618"/>
      <c r="BA46" s="614"/>
      <c r="BB46" s="614"/>
      <c r="BC46" s="614"/>
      <c r="BD46" s="613"/>
      <c r="BE46" s="624"/>
      <c r="BF46" s="609"/>
      <c r="BG46" s="618"/>
      <c r="BH46" s="609"/>
      <c r="BI46" s="621"/>
      <c r="BJ46" s="609"/>
      <c r="BK46" s="616"/>
      <c r="BL46" s="609"/>
      <c r="BM46" s="625"/>
      <c r="BN46" s="626"/>
    </row>
    <row customHeight="true" ht="13.333333333333332" r="47">
      <c r="A47" s="590">
        <v>46036</v>
      </c>
      <c r="B47" s="591" t="s">
        <v>1359</v>
      </c>
      <c r="C47" s="592"/>
      <c r="D47" s="609">
        <v>54.99</v>
      </c>
      <c r="E47" s="610"/>
      <c r="F47" s="611">
        <v>0</v>
      </c>
      <c r="G47" s="611">
        <v>0</v>
      </c>
      <c r="H47" s="612">
        <f t="shared" si="11"/>
      </c>
      <c r="I47" s="611" t="s">
        <v>1357</v>
      </c>
      <c r="J47" s="613" t="s">
        <v>1357</v>
      </c>
      <c r="K47" s="609">
        <f>'西班牙ERP数据'!BC46</f>
      </c>
      <c r="L47" s="609">
        <f>'西班牙ERP数据'!BA46</f>
      </c>
      <c r="M47" s="609">
        <f t="shared" si="0"/>
      </c>
      <c r="N47" s="611">
        <f t="shared" si="12"/>
      </c>
      <c r="O47" s="614">
        <f t="shared" si="7"/>
      </c>
      <c r="P47" s="614">
        <f t="shared" si="4"/>
      </c>
      <c r="Q47" s="609">
        <f>'西班牙ERP数据'!R46</f>
      </c>
      <c r="R47" s="609"/>
      <c r="S47" s="609">
        <f>'西班牙ERP数据'!Z46</f>
      </c>
      <c r="T47" s="609">
        <v>0</v>
      </c>
      <c r="U47" s="609">
        <v>0</v>
      </c>
      <c r="V47" s="611">
        <v>0</v>
      </c>
      <c r="W47" s="609">
        <v>0</v>
      </c>
      <c r="X47" s="613">
        <v>264.11</v>
      </c>
      <c r="Y47" s="609"/>
      <c r="Z47" s="609"/>
      <c r="AA47" s="609"/>
      <c r="AB47" s="609"/>
      <c r="AC47" s="609"/>
      <c r="AD47" s="615">
        <v>12925</v>
      </c>
      <c r="AE47" s="616">
        <v>54</v>
      </c>
      <c r="AF47" s="609">
        <v>46</v>
      </c>
      <c r="AG47" s="609">
        <v>4.9</v>
      </c>
      <c r="AH47" s="617">
        <v>2162</v>
      </c>
      <c r="AI47" s="609">
        <v>0</v>
      </c>
      <c r="AJ47" s="618">
        <f t="shared" si="8"/>
      </c>
      <c r="AK47" s="609">
        <v>0</v>
      </c>
      <c r="AL47" s="619">
        <f t="shared" si="5"/>
      </c>
      <c r="AM47" s="620">
        <f t="shared" si="1"/>
      </c>
      <c r="AN47" s="618">
        <f t="shared" si="13"/>
      </c>
      <c r="AO47" s="621">
        <f t="shared" si="9"/>
      </c>
      <c r="AP47" s="619">
        <v>35.13</v>
      </c>
      <c r="AQ47" s="611">
        <f t="shared" si="14"/>
      </c>
      <c r="AR47" s="614">
        <f t="shared" si="3"/>
      </c>
      <c r="AS47" s="614">
        <v>74.04</v>
      </c>
      <c r="AT47" s="618">
        <f t="shared" si="10"/>
      </c>
      <c r="AU47" s="614"/>
      <c r="AV47" s="618"/>
      <c r="AW47" s="622"/>
      <c r="AX47" s="622"/>
      <c r="AY47" s="623"/>
      <c r="AZ47" s="618"/>
      <c r="BA47" s="614"/>
      <c r="BB47" s="614"/>
      <c r="BC47" s="614"/>
      <c r="BD47" s="613"/>
      <c r="BE47" s="624"/>
      <c r="BF47" s="609"/>
      <c r="BG47" s="618"/>
      <c r="BH47" s="609"/>
      <c r="BI47" s="621"/>
      <c r="BJ47" s="609"/>
      <c r="BK47" s="616"/>
      <c r="BL47" s="609"/>
      <c r="BM47" s="625"/>
      <c r="BN47" s="626"/>
    </row>
    <row customHeight="true" ht="13.333333333333332" r="48">
      <c r="A48" s="590">
        <v>46037</v>
      </c>
      <c r="B48" s="591" t="s">
        <v>1360</v>
      </c>
      <c r="C48" s="592"/>
      <c r="D48" s="609">
        <v>54.99</v>
      </c>
      <c r="E48" s="610"/>
      <c r="F48" s="611">
        <v>0</v>
      </c>
      <c r="G48" s="611">
        <v>0</v>
      </c>
      <c r="H48" s="612">
        <f t="shared" si="11"/>
      </c>
      <c r="I48" s="611" t="s">
        <v>1357</v>
      </c>
      <c r="J48" s="613" t="s">
        <v>1357</v>
      </c>
      <c r="K48" s="609">
        <f>'西班牙ERP数据'!BC47</f>
      </c>
      <c r="L48" s="609">
        <f>'西班牙ERP数据'!BA47</f>
      </c>
      <c r="M48" s="609">
        <f t="shared" si="0"/>
      </c>
      <c r="N48" s="611">
        <f t="shared" si="12"/>
      </c>
      <c r="O48" s="614">
        <f t="shared" si="7"/>
      </c>
      <c r="P48" s="614">
        <f t="shared" si="4"/>
      </c>
      <c r="Q48" s="609">
        <f>'西班牙ERP数据'!R47</f>
      </c>
      <c r="R48" s="609"/>
      <c r="S48" s="609">
        <f>'西班牙ERP数据'!Z47</f>
      </c>
      <c r="T48" s="609">
        <v>0</v>
      </c>
      <c r="U48" s="609">
        <v>0</v>
      </c>
      <c r="V48" s="611">
        <v>0</v>
      </c>
      <c r="W48" s="609">
        <v>0</v>
      </c>
      <c r="X48" s="613">
        <v>264.11</v>
      </c>
      <c r="Y48" s="609"/>
      <c r="Z48" s="609"/>
      <c r="AA48" s="609"/>
      <c r="AB48" s="609"/>
      <c r="AC48" s="609"/>
      <c r="AD48" s="615">
        <v>12925</v>
      </c>
      <c r="AE48" s="616">
        <v>54</v>
      </c>
      <c r="AF48" s="609">
        <v>46</v>
      </c>
      <c r="AG48" s="609">
        <v>4.9</v>
      </c>
      <c r="AH48" s="617">
        <v>2162</v>
      </c>
      <c r="AI48" s="609">
        <v>0</v>
      </c>
      <c r="AJ48" s="618">
        <f t="shared" si="8"/>
      </c>
      <c r="AK48" s="609">
        <v>0</v>
      </c>
      <c r="AL48" s="619">
        <f t="shared" si="5"/>
      </c>
      <c r="AM48" s="620">
        <f t="shared" si="1"/>
      </c>
      <c r="AN48" s="618">
        <f t="shared" si="13"/>
      </c>
      <c r="AO48" s="621">
        <f t="shared" si="9"/>
      </c>
      <c r="AP48" s="619">
        <v>35.13</v>
      </c>
      <c r="AQ48" s="611">
        <f t="shared" si="14"/>
      </c>
      <c r="AR48" s="614">
        <f t="shared" si="3"/>
      </c>
      <c r="AS48" s="614">
        <v>74.04</v>
      </c>
      <c r="AT48" s="618">
        <f t="shared" si="10"/>
      </c>
      <c r="AU48" s="614"/>
      <c r="AV48" s="618"/>
      <c r="AW48" s="622"/>
      <c r="AX48" s="622"/>
      <c r="AY48" s="623"/>
      <c r="AZ48" s="618"/>
      <c r="BA48" s="614"/>
      <c r="BB48" s="614"/>
      <c r="BC48" s="614"/>
      <c r="BD48" s="613"/>
      <c r="BE48" s="624"/>
      <c r="BF48" s="609"/>
      <c r="BG48" s="618"/>
      <c r="BH48" s="609"/>
      <c r="BI48" s="621"/>
      <c r="BJ48" s="609"/>
      <c r="BK48" s="616"/>
      <c r="BL48" s="609"/>
      <c r="BM48" s="625"/>
      <c r="BN48" s="626"/>
    </row>
    <row customHeight="true" ht="13.333333333333332" r="49">
      <c r="A49" s="590">
        <v>46038</v>
      </c>
      <c r="B49" s="591" t="s">
        <v>1361</v>
      </c>
      <c r="C49" s="592"/>
      <c r="D49" s="609">
        <v>54.99</v>
      </c>
      <c r="E49" s="610"/>
      <c r="F49" s="611">
        <v>0</v>
      </c>
      <c r="G49" s="611">
        <v>0</v>
      </c>
      <c r="H49" s="612">
        <f t="shared" si="11"/>
      </c>
      <c r="I49" s="611" t="s">
        <v>1357</v>
      </c>
      <c r="J49" s="613" t="s">
        <v>1357</v>
      </c>
      <c r="K49" s="609">
        <f>'西班牙ERP数据'!BC48</f>
      </c>
      <c r="L49" s="609">
        <f>'西班牙ERP数据'!BA48</f>
      </c>
      <c r="M49" s="609">
        <f t="shared" si="0"/>
      </c>
      <c r="N49" s="611">
        <f t="shared" si="12"/>
      </c>
      <c r="O49" s="614">
        <f t="shared" si="7"/>
      </c>
      <c r="P49" s="614">
        <f t="shared" si="4"/>
      </c>
      <c r="Q49" s="609">
        <f>'西班牙ERP数据'!R48</f>
      </c>
      <c r="R49" s="609"/>
      <c r="S49" s="609">
        <f>'西班牙ERP数据'!Z48</f>
      </c>
      <c r="T49" s="609">
        <v>0</v>
      </c>
      <c r="U49" s="609">
        <v>0</v>
      </c>
      <c r="V49" s="611">
        <v>0</v>
      </c>
      <c r="W49" s="609">
        <v>0</v>
      </c>
      <c r="X49" s="613">
        <v>264.11</v>
      </c>
      <c r="Y49" s="609"/>
      <c r="Z49" s="609"/>
      <c r="AA49" s="609"/>
      <c r="AB49" s="609"/>
      <c r="AC49" s="609"/>
      <c r="AD49" s="615">
        <v>12925</v>
      </c>
      <c r="AE49" s="616">
        <v>54</v>
      </c>
      <c r="AF49" s="609">
        <v>46</v>
      </c>
      <c r="AG49" s="609">
        <v>4.9</v>
      </c>
      <c r="AH49" s="617">
        <v>2162</v>
      </c>
      <c r="AI49" s="609">
        <v>0</v>
      </c>
      <c r="AJ49" s="618">
        <f t="shared" si="8"/>
      </c>
      <c r="AK49" s="609">
        <v>0</v>
      </c>
      <c r="AL49" s="619">
        <f t="shared" si="5"/>
      </c>
      <c r="AM49" s="620">
        <f t="shared" si="1"/>
      </c>
      <c r="AN49" s="618">
        <f t="shared" si="13"/>
      </c>
      <c r="AO49" s="621">
        <f t="shared" si="9"/>
      </c>
      <c r="AP49" s="619">
        <v>35.13</v>
      </c>
      <c r="AQ49" s="611">
        <f t="shared" si="14"/>
      </c>
      <c r="AR49" s="614">
        <f t="shared" si="3"/>
      </c>
      <c r="AS49" s="614">
        <v>74.04</v>
      </c>
      <c r="AT49" s="618">
        <f t="shared" si="10"/>
      </c>
      <c r="AU49" s="614"/>
      <c r="AV49" s="618"/>
      <c r="AW49" s="622"/>
      <c r="AX49" s="622"/>
      <c r="AY49" s="623"/>
      <c r="AZ49" s="618"/>
      <c r="BA49" s="614"/>
      <c r="BB49" s="614"/>
      <c r="BC49" s="614"/>
      <c r="BD49" s="613"/>
      <c r="BE49" s="624"/>
      <c r="BF49" s="609"/>
      <c r="BG49" s="618"/>
      <c r="BH49" s="609"/>
      <c r="BI49" s="621"/>
      <c r="BJ49" s="609"/>
      <c r="BK49" s="616"/>
      <c r="BL49" s="609"/>
      <c r="BM49" s="625"/>
      <c r="BN49" s="626"/>
    </row>
    <row customHeight="true" ht="13.333333333333332" r="50">
      <c r="A50" s="590">
        <v>46039</v>
      </c>
      <c r="B50" s="591" t="s">
        <v>1362</v>
      </c>
      <c r="C50" s="592"/>
      <c r="D50" s="609">
        <v>54.99</v>
      </c>
      <c r="E50" s="610"/>
      <c r="F50" s="611">
        <v>0</v>
      </c>
      <c r="G50" s="611">
        <v>0</v>
      </c>
      <c r="H50" s="612">
        <f t="shared" si="11"/>
      </c>
      <c r="I50" s="611" t="s">
        <v>1357</v>
      </c>
      <c r="J50" s="613" t="s">
        <v>1357</v>
      </c>
      <c r="K50" s="609">
        <f>'西班牙ERP数据'!BC49</f>
      </c>
      <c r="L50" s="609">
        <f>'西班牙ERP数据'!BA49</f>
      </c>
      <c r="M50" s="609">
        <f t="shared" si="0"/>
      </c>
      <c r="N50" s="611">
        <f t="shared" si="12"/>
      </c>
      <c r="O50" s="614">
        <f t="shared" si="7"/>
      </c>
      <c r="P50" s="614">
        <f t="shared" si="4"/>
      </c>
      <c r="Q50" s="609">
        <f>'西班牙ERP数据'!R49</f>
      </c>
      <c r="R50" s="609"/>
      <c r="S50" s="609">
        <f>'西班牙ERP数据'!Z49</f>
      </c>
      <c r="T50" s="609">
        <v>0</v>
      </c>
      <c r="U50" s="609">
        <v>0</v>
      </c>
      <c r="V50" s="611">
        <v>0</v>
      </c>
      <c r="W50" s="609">
        <v>0</v>
      </c>
      <c r="X50" s="613">
        <v>264.11</v>
      </c>
      <c r="Y50" s="609"/>
      <c r="Z50" s="609"/>
      <c r="AA50" s="609"/>
      <c r="AB50" s="609"/>
      <c r="AC50" s="609"/>
      <c r="AD50" s="615">
        <v>12925</v>
      </c>
      <c r="AE50" s="616">
        <v>54</v>
      </c>
      <c r="AF50" s="609">
        <v>46</v>
      </c>
      <c r="AG50" s="609">
        <v>4.9</v>
      </c>
      <c r="AH50" s="617">
        <v>2162</v>
      </c>
      <c r="AI50" s="609">
        <v>0</v>
      </c>
      <c r="AJ50" s="618">
        <f t="shared" si="8"/>
      </c>
      <c r="AK50" s="609">
        <v>0</v>
      </c>
      <c r="AL50" s="619">
        <f t="shared" si="5"/>
      </c>
      <c r="AM50" s="620">
        <f t="shared" si="1"/>
      </c>
      <c r="AN50" s="618">
        <f t="shared" si="13"/>
      </c>
      <c r="AO50" s="621">
        <f t="shared" si="9"/>
      </c>
      <c r="AP50" s="619">
        <v>35.13</v>
      </c>
      <c r="AQ50" s="611">
        <f t="shared" si="14"/>
      </c>
      <c r="AR50" s="614">
        <f t="shared" si="3"/>
      </c>
      <c r="AS50" s="614">
        <v>74.04</v>
      </c>
      <c r="AT50" s="618">
        <f t="shared" si="10"/>
      </c>
      <c r="AU50" s="614"/>
      <c r="AV50" s="618"/>
      <c r="AW50" s="622"/>
      <c r="AX50" s="622"/>
      <c r="AY50" s="623"/>
      <c r="AZ50" s="618"/>
      <c r="BA50" s="614"/>
      <c r="BB50" s="614"/>
      <c r="BC50" s="614"/>
      <c r="BD50" s="613"/>
      <c r="BE50" s="624"/>
      <c r="BF50" s="609"/>
      <c r="BG50" s="618"/>
      <c r="BH50" s="609"/>
      <c r="BI50" s="621"/>
      <c r="BJ50" s="609"/>
      <c r="BK50" s="616"/>
      <c r="BL50" s="609"/>
      <c r="BM50" s="625"/>
      <c r="BN50" s="626"/>
    </row>
    <row customHeight="true" ht="13.333333333333332" r="51">
      <c r="A51" s="590">
        <v>46040</v>
      </c>
      <c r="B51" s="591" t="s">
        <v>1363</v>
      </c>
      <c r="C51" s="592"/>
      <c r="D51" s="609">
        <v>54.99</v>
      </c>
      <c r="E51" s="610"/>
      <c r="F51" s="611">
        <v>0</v>
      </c>
      <c r="G51" s="611">
        <v>0</v>
      </c>
      <c r="H51" s="612">
        <f t="shared" si="11"/>
      </c>
      <c r="I51" s="611" t="s">
        <v>1357</v>
      </c>
      <c r="J51" s="613" t="s">
        <v>1357</v>
      </c>
      <c r="K51" s="609">
        <f>'西班牙ERP数据'!BC50</f>
      </c>
      <c r="L51" s="609">
        <f>'西班牙ERP数据'!BA50</f>
      </c>
      <c r="M51" s="609">
        <f t="shared" si="0"/>
      </c>
      <c r="N51" s="611">
        <f t="shared" si="12"/>
      </c>
      <c r="O51" s="614">
        <f t="shared" si="7"/>
      </c>
      <c r="P51" s="614">
        <f t="shared" si="4"/>
      </c>
      <c r="Q51" s="609">
        <f>'西班牙ERP数据'!R50</f>
      </c>
      <c r="R51" s="609"/>
      <c r="S51" s="609">
        <f>'西班牙ERP数据'!Z50</f>
      </c>
      <c r="T51" s="609">
        <v>0</v>
      </c>
      <c r="U51" s="609">
        <v>0</v>
      </c>
      <c r="V51" s="611">
        <v>0</v>
      </c>
      <c r="W51" s="609">
        <v>0</v>
      </c>
      <c r="X51" s="613">
        <v>264.11</v>
      </c>
      <c r="Y51" s="609"/>
      <c r="Z51" s="609"/>
      <c r="AA51" s="609"/>
      <c r="AB51" s="609"/>
      <c r="AC51" s="609"/>
      <c r="AD51" s="615">
        <v>12925</v>
      </c>
      <c r="AE51" s="616">
        <v>54</v>
      </c>
      <c r="AF51" s="609">
        <v>46</v>
      </c>
      <c r="AG51" s="609">
        <v>4.9</v>
      </c>
      <c r="AH51" s="617">
        <v>2162</v>
      </c>
      <c r="AI51" s="609">
        <v>0</v>
      </c>
      <c r="AJ51" s="618">
        <f t="shared" si="8"/>
      </c>
      <c r="AK51" s="609">
        <v>0</v>
      </c>
      <c r="AL51" s="619">
        <f t="shared" si="5"/>
      </c>
      <c r="AM51" s="620">
        <f t="shared" si="1"/>
      </c>
      <c r="AN51" s="618">
        <f t="shared" si="13"/>
      </c>
      <c r="AO51" s="621">
        <f t="shared" si="9"/>
      </c>
      <c r="AP51" s="619">
        <v>35.13</v>
      </c>
      <c r="AQ51" s="611">
        <f t="shared" si="14"/>
      </c>
      <c r="AR51" s="614">
        <f t="shared" si="3"/>
      </c>
      <c r="AS51" s="614">
        <v>74.04</v>
      </c>
      <c r="AT51" s="618">
        <f t="shared" si="10"/>
      </c>
      <c r="AU51" s="614"/>
      <c r="AV51" s="618"/>
      <c r="AW51" s="622"/>
      <c r="AX51" s="622"/>
      <c r="AY51" s="623"/>
      <c r="AZ51" s="618"/>
      <c r="BA51" s="614"/>
      <c r="BB51" s="614"/>
      <c r="BC51" s="614"/>
      <c r="BD51" s="613"/>
      <c r="BE51" s="624"/>
      <c r="BF51" s="609"/>
      <c r="BG51" s="618"/>
      <c r="BH51" s="609"/>
      <c r="BI51" s="621"/>
      <c r="BJ51" s="609"/>
      <c r="BK51" s="616"/>
      <c r="BL51" s="609"/>
      <c r="BM51" s="625"/>
      <c r="BN51" s="626"/>
    </row>
    <row customHeight="true" ht="13.333333333333332" r="52">
      <c r="A52" s="590">
        <v>46041</v>
      </c>
      <c r="B52" s="591" t="s">
        <v>1356</v>
      </c>
      <c r="C52" s="592"/>
      <c r="D52" s="609">
        <v>54.99</v>
      </c>
      <c r="E52" s="610"/>
      <c r="F52" s="611">
        <v>0</v>
      </c>
      <c r="G52" s="611">
        <v>0</v>
      </c>
      <c r="H52" s="612">
        <f t="shared" si="11"/>
      </c>
      <c r="I52" s="611" t="s">
        <v>1357</v>
      </c>
      <c r="J52" s="613" t="s">
        <v>1357</v>
      </c>
      <c r="K52" s="609">
        <f>'西班牙ERP数据'!BC51</f>
      </c>
      <c r="L52" s="609">
        <f>'西班牙ERP数据'!BA51</f>
      </c>
      <c r="M52" s="609">
        <f t="shared" si="0"/>
      </c>
      <c r="N52" s="611">
        <f t="shared" si="12"/>
      </c>
      <c r="O52" s="614">
        <f t="shared" si="7"/>
      </c>
      <c r="P52" s="614">
        <f t="shared" si="4"/>
      </c>
      <c r="Q52" s="609">
        <f>'西班牙ERP数据'!R51</f>
      </c>
      <c r="R52" s="609"/>
      <c r="S52" s="609">
        <f>'西班牙ERP数据'!Z51</f>
      </c>
      <c r="T52" s="609">
        <v>0</v>
      </c>
      <c r="U52" s="609">
        <v>0</v>
      </c>
      <c r="V52" s="611">
        <v>0</v>
      </c>
      <c r="W52" s="609">
        <v>0</v>
      </c>
      <c r="X52" s="613">
        <v>264.11</v>
      </c>
      <c r="Y52" s="609"/>
      <c r="Z52" s="609"/>
      <c r="AA52" s="609"/>
      <c r="AB52" s="609"/>
      <c r="AC52" s="609"/>
      <c r="AD52" s="615">
        <v>12925</v>
      </c>
      <c r="AE52" s="616">
        <v>54</v>
      </c>
      <c r="AF52" s="609">
        <v>46</v>
      </c>
      <c r="AG52" s="609">
        <v>4.9</v>
      </c>
      <c r="AH52" s="617">
        <v>2162</v>
      </c>
      <c r="AI52" s="609">
        <v>0</v>
      </c>
      <c r="AJ52" s="618">
        <f t="shared" si="8"/>
      </c>
      <c r="AK52" s="609">
        <v>0</v>
      </c>
      <c r="AL52" s="619">
        <f t="shared" si="5"/>
      </c>
      <c r="AM52" s="620">
        <f t="shared" si="1"/>
      </c>
      <c r="AN52" s="618">
        <f t="shared" si="13"/>
      </c>
      <c r="AO52" s="621">
        <f t="shared" si="9"/>
      </c>
      <c r="AP52" s="619">
        <v>35.13</v>
      </c>
      <c r="AQ52" s="611">
        <f t="shared" si="14"/>
      </c>
      <c r="AR52" s="614">
        <f t="shared" si="3"/>
      </c>
      <c r="AS52" s="614">
        <v>74.04</v>
      </c>
      <c r="AT52" s="618">
        <f t="shared" si="10"/>
      </c>
      <c r="AU52" s="614"/>
      <c r="AV52" s="618"/>
      <c r="AW52" s="622"/>
      <c r="AX52" s="622"/>
      <c r="AY52" s="623"/>
      <c r="AZ52" s="618"/>
      <c r="BA52" s="614"/>
      <c r="BB52" s="614"/>
      <c r="BC52" s="614"/>
      <c r="BD52" s="613"/>
      <c r="BE52" s="624"/>
      <c r="BF52" s="609"/>
      <c r="BG52" s="618"/>
      <c r="BH52" s="609"/>
      <c r="BI52" s="621"/>
      <c r="BJ52" s="609"/>
      <c r="BK52" s="616"/>
      <c r="BL52" s="609"/>
      <c r="BM52" s="625"/>
      <c r="BN52" s="626"/>
    </row>
    <row customHeight="true" ht="13.333333333333332" r="53">
      <c r="A53" s="590">
        <v>46042</v>
      </c>
      <c r="B53" s="591" t="s">
        <v>1358</v>
      </c>
      <c r="C53" s="592"/>
      <c r="D53" s="609">
        <v>54.99</v>
      </c>
      <c r="E53" s="610"/>
      <c r="F53" s="611">
        <v>0</v>
      </c>
      <c r="G53" s="611">
        <v>0</v>
      </c>
      <c r="H53" s="612">
        <f t="shared" si="11"/>
      </c>
      <c r="I53" s="611" t="s">
        <v>1357</v>
      </c>
      <c r="J53" s="613" t="s">
        <v>1357</v>
      </c>
      <c r="K53" s="609">
        <f>'西班牙ERP数据'!BC52</f>
      </c>
      <c r="L53" s="609">
        <f>'西班牙ERP数据'!BA52</f>
      </c>
      <c r="M53" s="609">
        <f t="shared" si="0"/>
      </c>
      <c r="N53" s="611">
        <f t="shared" si="12"/>
      </c>
      <c r="O53" s="614">
        <f t="shared" si="7"/>
      </c>
      <c r="P53" s="614">
        <f t="shared" si="4"/>
      </c>
      <c r="Q53" s="609">
        <f>'西班牙ERP数据'!R52</f>
      </c>
      <c r="R53" s="609"/>
      <c r="S53" s="609">
        <f>'西班牙ERP数据'!Z52</f>
      </c>
      <c r="T53" s="609">
        <v>0</v>
      </c>
      <c r="U53" s="609">
        <v>0</v>
      </c>
      <c r="V53" s="611">
        <v>0</v>
      </c>
      <c r="W53" s="609">
        <v>0</v>
      </c>
      <c r="X53" s="613">
        <v>264.11</v>
      </c>
      <c r="Y53" s="609"/>
      <c r="Z53" s="609"/>
      <c r="AA53" s="609"/>
      <c r="AB53" s="609"/>
      <c r="AC53" s="609"/>
      <c r="AD53" s="615">
        <v>12925</v>
      </c>
      <c r="AE53" s="616">
        <v>54</v>
      </c>
      <c r="AF53" s="609">
        <v>46</v>
      </c>
      <c r="AG53" s="609">
        <v>4.9</v>
      </c>
      <c r="AH53" s="617">
        <v>2162</v>
      </c>
      <c r="AI53" s="609">
        <v>0</v>
      </c>
      <c r="AJ53" s="618">
        <f t="shared" si="8"/>
      </c>
      <c r="AK53" s="609">
        <v>0</v>
      </c>
      <c r="AL53" s="619">
        <f t="shared" si="5"/>
      </c>
      <c r="AM53" s="620">
        <f t="shared" si="1"/>
      </c>
      <c r="AN53" s="618">
        <f t="shared" si="13"/>
      </c>
      <c r="AO53" s="621">
        <f t="shared" si="9"/>
      </c>
      <c r="AP53" s="619">
        <v>35.13</v>
      </c>
      <c r="AQ53" s="611">
        <f t="shared" si="14"/>
      </c>
      <c r="AR53" s="614">
        <f t="shared" si="3"/>
      </c>
      <c r="AS53" s="614">
        <v>74.04</v>
      </c>
      <c r="AT53" s="618">
        <f t="shared" si="10"/>
      </c>
      <c r="AU53" s="614"/>
      <c r="AV53" s="618"/>
      <c r="AW53" s="622"/>
      <c r="AX53" s="622"/>
      <c r="AY53" s="623"/>
      <c r="AZ53" s="618"/>
      <c r="BA53" s="614"/>
      <c r="BB53" s="614"/>
      <c r="BC53" s="614"/>
      <c r="BD53" s="613"/>
      <c r="BE53" s="624"/>
      <c r="BF53" s="609"/>
      <c r="BG53" s="618"/>
      <c r="BH53" s="609"/>
      <c r="BI53" s="621"/>
      <c r="BJ53" s="609"/>
      <c r="BK53" s="616"/>
      <c r="BL53" s="609"/>
      <c r="BM53" s="625"/>
      <c r="BN53" s="626"/>
    </row>
    <row customHeight="true" ht="13.333333333333332" r="54">
      <c r="A54" s="590">
        <v>46043</v>
      </c>
      <c r="B54" s="591" t="s">
        <v>1359</v>
      </c>
      <c r="C54" s="592"/>
      <c r="D54" s="609">
        <v>54.99</v>
      </c>
      <c r="E54" s="610"/>
      <c r="F54" s="611">
        <v>0</v>
      </c>
      <c r="G54" s="611">
        <v>0</v>
      </c>
      <c r="H54" s="612">
        <f t="shared" si="11"/>
      </c>
      <c r="I54" s="611" t="s">
        <v>1357</v>
      </c>
      <c r="J54" s="613" t="s">
        <v>1357</v>
      </c>
      <c r="K54" s="609">
        <f>'西班牙ERP数据'!BC53</f>
      </c>
      <c r="L54" s="609">
        <f>'西班牙ERP数据'!BA53</f>
      </c>
      <c r="M54" s="609">
        <f t="shared" si="0"/>
      </c>
      <c r="N54" s="611">
        <f t="shared" si="12"/>
      </c>
      <c r="O54" s="614">
        <f t="shared" si="7"/>
      </c>
      <c r="P54" s="614">
        <f t="shared" si="4"/>
      </c>
      <c r="Q54" s="609">
        <f>'西班牙ERP数据'!R53</f>
      </c>
      <c r="R54" s="609"/>
      <c r="S54" s="609">
        <f>'西班牙ERP数据'!Z53</f>
      </c>
      <c r="T54" s="609">
        <v>0</v>
      </c>
      <c r="U54" s="609">
        <v>0</v>
      </c>
      <c r="V54" s="611">
        <v>0</v>
      </c>
      <c r="W54" s="609">
        <v>0</v>
      </c>
      <c r="X54" s="613">
        <v>264.11</v>
      </c>
      <c r="Y54" s="609"/>
      <c r="Z54" s="609"/>
      <c r="AA54" s="609"/>
      <c r="AB54" s="609"/>
      <c r="AC54" s="609"/>
      <c r="AD54" s="615">
        <v>12925</v>
      </c>
      <c r="AE54" s="616">
        <v>54</v>
      </c>
      <c r="AF54" s="609">
        <v>46</v>
      </c>
      <c r="AG54" s="609">
        <v>4.9</v>
      </c>
      <c r="AH54" s="617">
        <v>2162</v>
      </c>
      <c r="AI54" s="609">
        <v>0</v>
      </c>
      <c r="AJ54" s="618">
        <f t="shared" si="8"/>
      </c>
      <c r="AK54" s="609">
        <v>0</v>
      </c>
      <c r="AL54" s="619">
        <f t="shared" si="5"/>
      </c>
      <c r="AM54" s="620">
        <f t="shared" si="1"/>
      </c>
      <c r="AN54" s="618">
        <f t="shared" si="13"/>
      </c>
      <c r="AO54" s="621">
        <f t="shared" si="9"/>
      </c>
      <c r="AP54" s="619">
        <v>35.13</v>
      </c>
      <c r="AQ54" s="611">
        <f t="shared" si="14"/>
      </c>
      <c r="AR54" s="614">
        <f t="shared" si="3"/>
      </c>
      <c r="AS54" s="614">
        <v>74.04</v>
      </c>
      <c r="AT54" s="618">
        <f t="shared" si="10"/>
      </c>
      <c r="AU54" s="614"/>
      <c r="AV54" s="618"/>
      <c r="AW54" s="622"/>
      <c r="AX54" s="622"/>
      <c r="AY54" s="623"/>
      <c r="AZ54" s="618"/>
      <c r="BA54" s="614"/>
      <c r="BB54" s="614"/>
      <c r="BC54" s="614"/>
      <c r="BD54" s="613"/>
      <c r="BE54" s="624"/>
      <c r="BF54" s="609"/>
      <c r="BG54" s="618"/>
      <c r="BH54" s="609"/>
      <c r="BI54" s="621"/>
      <c r="BJ54" s="609"/>
      <c r="BK54" s="616"/>
      <c r="BL54" s="609"/>
      <c r="BM54" s="625"/>
      <c r="BN54" s="626"/>
    </row>
    <row customHeight="true" ht="13.333333333333332" r="55">
      <c r="A55" s="590">
        <v>46044</v>
      </c>
      <c r="B55" s="591" t="s">
        <v>1360</v>
      </c>
      <c r="C55" s="592"/>
      <c r="D55" s="609">
        <v>54.99</v>
      </c>
      <c r="E55" s="610"/>
      <c r="F55" s="611">
        <v>0</v>
      </c>
      <c r="G55" s="611">
        <v>0</v>
      </c>
      <c r="H55" s="612">
        <f t="shared" si="11"/>
      </c>
      <c r="I55" s="611" t="s">
        <v>1357</v>
      </c>
      <c r="J55" s="613" t="s">
        <v>1357</v>
      </c>
      <c r="K55" s="609">
        <f>'西班牙ERP数据'!BC54</f>
      </c>
      <c r="L55" s="609">
        <f>'西班牙ERP数据'!BA54</f>
      </c>
      <c r="M55" s="609">
        <f t="shared" si="0"/>
      </c>
      <c r="N55" s="611">
        <f t="shared" si="12"/>
      </c>
      <c r="O55" s="614">
        <f t="shared" si="7"/>
      </c>
      <c r="P55" s="614">
        <f t="shared" si="4"/>
      </c>
      <c r="Q55" s="609">
        <f>'西班牙ERP数据'!R54</f>
      </c>
      <c r="R55" s="609"/>
      <c r="S55" s="609">
        <f>'西班牙ERP数据'!Z54</f>
      </c>
      <c r="T55" s="609">
        <v>0</v>
      </c>
      <c r="U55" s="609">
        <v>0</v>
      </c>
      <c r="V55" s="611">
        <v>0</v>
      </c>
      <c r="W55" s="609">
        <v>0</v>
      </c>
      <c r="X55" s="613">
        <v>264.11</v>
      </c>
      <c r="Y55" s="609"/>
      <c r="Z55" s="609"/>
      <c r="AA55" s="609"/>
      <c r="AB55" s="609"/>
      <c r="AC55" s="609"/>
      <c r="AD55" s="615">
        <v>12925</v>
      </c>
      <c r="AE55" s="616">
        <v>54</v>
      </c>
      <c r="AF55" s="609">
        <v>46</v>
      </c>
      <c r="AG55" s="609">
        <v>4.9</v>
      </c>
      <c r="AH55" s="617">
        <v>2162</v>
      </c>
      <c r="AI55" s="609">
        <v>0</v>
      </c>
      <c r="AJ55" s="618">
        <f t="shared" si="8"/>
      </c>
      <c r="AK55" s="609">
        <v>0</v>
      </c>
      <c r="AL55" s="619">
        <f t="shared" si="5"/>
      </c>
      <c r="AM55" s="620">
        <f t="shared" si="1"/>
      </c>
      <c r="AN55" s="618">
        <f t="shared" si="13"/>
      </c>
      <c r="AO55" s="621">
        <f t="shared" si="9"/>
      </c>
      <c r="AP55" s="619">
        <v>35.13</v>
      </c>
      <c r="AQ55" s="611">
        <f t="shared" si="14"/>
      </c>
      <c r="AR55" s="614">
        <f t="shared" si="3"/>
      </c>
      <c r="AS55" s="614">
        <v>74.04</v>
      </c>
      <c r="AT55" s="618">
        <f t="shared" si="10"/>
      </c>
      <c r="AU55" s="614"/>
      <c r="AV55" s="618"/>
      <c r="AW55" s="622"/>
      <c r="AX55" s="622"/>
      <c r="AY55" s="623"/>
      <c r="AZ55" s="618"/>
      <c r="BA55" s="614"/>
      <c r="BB55" s="614"/>
      <c r="BC55" s="614"/>
      <c r="BD55" s="613"/>
      <c r="BE55" s="624"/>
      <c r="BF55" s="609"/>
      <c r="BG55" s="618"/>
      <c r="BH55" s="609"/>
      <c r="BI55" s="621"/>
      <c r="BJ55" s="609"/>
      <c r="BK55" s="616"/>
      <c r="BL55" s="609"/>
      <c r="BM55" s="625"/>
      <c r="BN55" s="626"/>
    </row>
    <row customHeight="true" ht="13.333333333333332" r="56">
      <c r="A56" s="590">
        <v>46045</v>
      </c>
      <c r="B56" s="591" t="s">
        <v>1361</v>
      </c>
      <c r="C56" s="592"/>
      <c r="D56" s="609">
        <v>54.99</v>
      </c>
      <c r="E56" s="610"/>
      <c r="F56" s="611">
        <v>0</v>
      </c>
      <c r="G56" s="611">
        <v>0</v>
      </c>
      <c r="H56" s="612">
        <f t="shared" si="11"/>
      </c>
      <c r="I56" s="611" t="s">
        <v>1357</v>
      </c>
      <c r="J56" s="613" t="s">
        <v>1357</v>
      </c>
      <c r="K56" s="609">
        <f>'西班牙ERP数据'!BC55</f>
      </c>
      <c r="L56" s="609">
        <f>'西班牙ERP数据'!BA55</f>
      </c>
      <c r="M56" s="609">
        <f t="shared" si="0"/>
      </c>
      <c r="N56" s="611">
        <f t="shared" si="12"/>
      </c>
      <c r="O56" s="614">
        <f t="shared" si="7"/>
      </c>
      <c r="P56" s="614">
        <f t="shared" si="4"/>
      </c>
      <c r="Q56" s="609">
        <f>'西班牙ERP数据'!R55</f>
      </c>
      <c r="R56" s="609"/>
      <c r="S56" s="609">
        <f>'西班牙ERP数据'!Z55</f>
      </c>
      <c r="T56" s="609">
        <v>0</v>
      </c>
      <c r="U56" s="609">
        <v>0</v>
      </c>
      <c r="V56" s="611">
        <v>0</v>
      </c>
      <c r="W56" s="609">
        <v>0</v>
      </c>
      <c r="X56" s="613">
        <v>264.11</v>
      </c>
      <c r="Y56" s="609"/>
      <c r="Z56" s="609"/>
      <c r="AA56" s="609"/>
      <c r="AB56" s="609"/>
      <c r="AC56" s="609"/>
      <c r="AD56" s="615">
        <v>12925</v>
      </c>
      <c r="AE56" s="616">
        <v>54</v>
      </c>
      <c r="AF56" s="609">
        <v>46</v>
      </c>
      <c r="AG56" s="609">
        <v>4.9</v>
      </c>
      <c r="AH56" s="617">
        <v>2162</v>
      </c>
      <c r="AI56" s="609">
        <v>0</v>
      </c>
      <c r="AJ56" s="618">
        <f t="shared" si="8"/>
      </c>
      <c r="AK56" s="609">
        <v>0</v>
      </c>
      <c r="AL56" s="619">
        <f t="shared" si="5"/>
      </c>
      <c r="AM56" s="620">
        <f t="shared" si="1"/>
      </c>
      <c r="AN56" s="618">
        <f t="shared" si="13"/>
      </c>
      <c r="AO56" s="621">
        <f t="shared" si="9"/>
      </c>
      <c r="AP56" s="619">
        <v>35.13</v>
      </c>
      <c r="AQ56" s="611">
        <f t="shared" si="14"/>
      </c>
      <c r="AR56" s="614">
        <f t="shared" si="3"/>
      </c>
      <c r="AS56" s="614">
        <v>74.04</v>
      </c>
      <c r="AT56" s="618">
        <f t="shared" si="10"/>
      </c>
      <c r="AU56" s="614"/>
      <c r="AV56" s="618"/>
      <c r="AW56" s="622"/>
      <c r="AX56" s="622"/>
      <c r="AY56" s="623"/>
      <c r="AZ56" s="618"/>
      <c r="BA56" s="614"/>
      <c r="BB56" s="614"/>
      <c r="BC56" s="614"/>
      <c r="BD56" s="613"/>
      <c r="BE56" s="624"/>
      <c r="BF56" s="609"/>
      <c r="BG56" s="618"/>
      <c r="BH56" s="609"/>
      <c r="BI56" s="621"/>
      <c r="BJ56" s="609"/>
      <c r="BK56" s="616"/>
      <c r="BL56" s="609"/>
      <c r="BM56" s="625"/>
      <c r="BN56" s="626"/>
    </row>
    <row customHeight="true" ht="13.333333333333332" r="57">
      <c r="A57" s="590">
        <v>46046</v>
      </c>
      <c r="B57" s="591" t="s">
        <v>1362</v>
      </c>
      <c r="C57" s="592"/>
      <c r="D57" s="609">
        <v>54.99</v>
      </c>
      <c r="E57" s="610"/>
      <c r="F57" s="611">
        <v>0</v>
      </c>
      <c r="G57" s="611">
        <v>0</v>
      </c>
      <c r="H57" s="612">
        <f t="shared" si="11"/>
      </c>
      <c r="I57" s="611" t="s">
        <v>1357</v>
      </c>
      <c r="J57" s="613" t="s">
        <v>1357</v>
      </c>
      <c r="K57" s="609">
        <f>'西班牙ERP数据'!BC56</f>
      </c>
      <c r="L57" s="609">
        <f>'西班牙ERP数据'!BA56</f>
      </c>
      <c r="M57" s="609">
        <f t="shared" si="0"/>
      </c>
      <c r="N57" s="611">
        <f t="shared" si="12"/>
      </c>
      <c r="O57" s="614">
        <f t="shared" si="7"/>
      </c>
      <c r="P57" s="614">
        <f t="shared" si="4"/>
      </c>
      <c r="Q57" s="609">
        <f>'西班牙ERP数据'!R56</f>
      </c>
      <c r="R57" s="609"/>
      <c r="S57" s="609">
        <f>'西班牙ERP数据'!Z56</f>
      </c>
      <c r="T57" s="609">
        <v>0</v>
      </c>
      <c r="U57" s="609">
        <v>0</v>
      </c>
      <c r="V57" s="611">
        <v>0</v>
      </c>
      <c r="W57" s="609">
        <v>0</v>
      </c>
      <c r="X57" s="613">
        <v>264.11</v>
      </c>
      <c r="Y57" s="609"/>
      <c r="Z57" s="609"/>
      <c r="AA57" s="609"/>
      <c r="AB57" s="609"/>
      <c r="AC57" s="609"/>
      <c r="AD57" s="615">
        <v>12925</v>
      </c>
      <c r="AE57" s="616">
        <v>54</v>
      </c>
      <c r="AF57" s="609">
        <v>46</v>
      </c>
      <c r="AG57" s="609">
        <v>4.9</v>
      </c>
      <c r="AH57" s="617">
        <v>2162</v>
      </c>
      <c r="AI57" s="609">
        <v>0</v>
      </c>
      <c r="AJ57" s="618">
        <f t="shared" si="8"/>
      </c>
      <c r="AK57" s="609">
        <v>0</v>
      </c>
      <c r="AL57" s="619">
        <f t="shared" si="5"/>
      </c>
      <c r="AM57" s="620">
        <f t="shared" si="1"/>
      </c>
      <c r="AN57" s="618">
        <f t="shared" si="13"/>
      </c>
      <c r="AO57" s="621">
        <f t="shared" si="9"/>
      </c>
      <c r="AP57" s="619">
        <v>35.13</v>
      </c>
      <c r="AQ57" s="611">
        <f t="shared" si="14"/>
      </c>
      <c r="AR57" s="614">
        <f t="shared" si="3"/>
      </c>
      <c r="AS57" s="614">
        <v>74.04</v>
      </c>
      <c r="AT57" s="618">
        <f t="shared" si="10"/>
      </c>
      <c r="AU57" s="614"/>
      <c r="AV57" s="618"/>
      <c r="AW57" s="622"/>
      <c r="AX57" s="622"/>
      <c r="AY57" s="623"/>
      <c r="AZ57" s="618"/>
      <c r="BA57" s="614"/>
      <c r="BB57" s="614"/>
      <c r="BC57" s="614"/>
      <c r="BD57" s="613"/>
      <c r="BE57" s="624"/>
      <c r="BF57" s="609"/>
      <c r="BG57" s="618"/>
      <c r="BH57" s="609"/>
      <c r="BI57" s="621"/>
      <c r="BJ57" s="609"/>
      <c r="BK57" s="616"/>
      <c r="BL57" s="609"/>
      <c r="BM57" s="625"/>
      <c r="BN57" s="626"/>
    </row>
    <row customHeight="true" ht="13.333333333333332" r="58">
      <c r="A58" s="590">
        <v>46047</v>
      </c>
      <c r="B58" s="591" t="s">
        <v>1363</v>
      </c>
      <c r="C58" s="592"/>
      <c r="D58" s="591"/>
      <c r="E58" s="593"/>
      <c r="F58" s="594"/>
      <c r="G58" s="594"/>
      <c r="H58" s="591"/>
      <c r="I58" s="594"/>
      <c r="J58" s="596"/>
      <c r="K58" s="591"/>
      <c r="L58" s="591"/>
      <c r="M58" s="591"/>
      <c r="N58" s="594"/>
      <c r="O58" s="597"/>
      <c r="P58" s="597"/>
      <c r="Q58" s="591"/>
      <c r="R58" s="591"/>
      <c r="S58" s="591"/>
      <c r="T58" s="591"/>
      <c r="U58" s="591"/>
      <c r="V58" s="594"/>
      <c r="W58" s="591"/>
      <c r="X58" s="596"/>
      <c r="Y58" s="591"/>
      <c r="Z58" s="591"/>
      <c r="AA58" s="591"/>
      <c r="AB58" s="591"/>
      <c r="AC58" s="591"/>
      <c r="AD58" s="598"/>
      <c r="AE58" s="592"/>
      <c r="AF58" s="591"/>
      <c r="AG58" s="591"/>
      <c r="AH58" s="599"/>
      <c r="AI58" s="591"/>
      <c r="AJ58" s="600"/>
      <c r="AK58" s="591"/>
      <c r="AL58" s="601"/>
      <c r="AM58" s="602"/>
      <c r="AN58" s="600"/>
      <c r="AO58" s="600"/>
      <c r="AP58" s="601"/>
      <c r="AQ58" s="594"/>
      <c r="AR58" s="597"/>
      <c r="AS58" s="597"/>
      <c r="AT58" s="600"/>
      <c r="AU58" s="597"/>
      <c r="AV58" s="600"/>
      <c r="AW58" s="604"/>
      <c r="AX58" s="604"/>
      <c r="AY58" s="605"/>
      <c r="AZ58" s="600"/>
      <c r="BA58" s="597"/>
      <c r="BB58" s="597"/>
      <c r="BC58" s="597"/>
      <c r="BD58" s="596"/>
      <c r="BE58" s="596"/>
      <c r="BF58" s="591"/>
      <c r="BG58" s="600"/>
      <c r="BH58" s="591"/>
      <c r="BI58" s="603"/>
      <c r="BJ58" s="591"/>
      <c r="BK58" s="592"/>
      <c r="BL58" s="591"/>
      <c r="BM58" s="607"/>
      <c r="BN58" s="608"/>
    </row>
    <row customHeight="true" ht="13.333333333333332" r="59">
      <c r="A59" s="590">
        <v>46048</v>
      </c>
      <c r="B59" s="591" t="s">
        <v>1356</v>
      </c>
      <c r="C59" s="592"/>
      <c r="D59" s="591"/>
      <c r="E59" s="593"/>
      <c r="F59" s="594"/>
      <c r="G59" s="594"/>
      <c r="H59" s="591"/>
      <c r="I59" s="594"/>
      <c r="J59" s="596"/>
      <c r="K59" s="591"/>
      <c r="L59" s="591"/>
      <c r="M59" s="591"/>
      <c r="N59" s="594"/>
      <c r="O59" s="597"/>
      <c r="P59" s="597"/>
      <c r="Q59" s="591"/>
      <c r="R59" s="591"/>
      <c r="S59" s="591"/>
      <c r="T59" s="591"/>
      <c r="U59" s="591"/>
      <c r="V59" s="594"/>
      <c r="W59" s="591"/>
      <c r="X59" s="596"/>
      <c r="Y59" s="591"/>
      <c r="Z59" s="591"/>
      <c r="AA59" s="591"/>
      <c r="AB59" s="591"/>
      <c r="AC59" s="591"/>
      <c r="AD59" s="598"/>
      <c r="AE59" s="592"/>
      <c r="AF59" s="591"/>
      <c r="AG59" s="591"/>
      <c r="AH59" s="599"/>
      <c r="AI59" s="591"/>
      <c r="AJ59" s="600"/>
      <c r="AK59" s="591"/>
      <c r="AL59" s="601"/>
      <c r="AM59" s="602"/>
      <c r="AN59" s="600"/>
      <c r="AO59" s="600"/>
      <c r="AP59" s="601"/>
      <c r="AQ59" s="594"/>
      <c r="AR59" s="597"/>
      <c r="AS59" s="597"/>
      <c r="AT59" s="600"/>
      <c r="AU59" s="597"/>
      <c r="AV59" s="600"/>
      <c r="AW59" s="604"/>
      <c r="AX59" s="604"/>
      <c r="AY59" s="605"/>
      <c r="AZ59" s="600"/>
      <c r="BA59" s="597"/>
      <c r="BB59" s="597"/>
      <c r="BC59" s="597"/>
      <c r="BD59" s="596"/>
      <c r="BE59" s="596"/>
      <c r="BF59" s="591"/>
      <c r="BG59" s="600"/>
      <c r="BH59" s="591"/>
      <c r="BI59" s="603"/>
      <c r="BJ59" s="591"/>
      <c r="BK59" s="592"/>
      <c r="BL59" s="591"/>
      <c r="BM59" s="607"/>
      <c r="BN59" s="608"/>
    </row>
    <row customHeight="true" ht="13.333333333333332" r="60">
      <c r="A60" s="590">
        <v>46049</v>
      </c>
      <c r="B60" s="591" t="s">
        <v>1358</v>
      </c>
      <c r="C60" s="592"/>
      <c r="D60" s="591"/>
      <c r="E60" s="593"/>
      <c r="F60" s="594"/>
      <c r="G60" s="594"/>
      <c r="H60" s="591"/>
      <c r="I60" s="594"/>
      <c r="J60" s="596"/>
      <c r="K60" s="591"/>
      <c r="L60" s="591"/>
      <c r="M60" s="591"/>
      <c r="N60" s="594"/>
      <c r="O60" s="597"/>
      <c r="P60" s="597"/>
      <c r="Q60" s="591"/>
      <c r="R60" s="591"/>
      <c r="S60" s="591"/>
      <c r="T60" s="591"/>
      <c r="U60" s="591"/>
      <c r="V60" s="594"/>
      <c r="W60" s="591"/>
      <c r="X60" s="596"/>
      <c r="Y60" s="591"/>
      <c r="Z60" s="591"/>
      <c r="AA60" s="591"/>
      <c r="AB60" s="591"/>
      <c r="AC60" s="591"/>
      <c r="AD60" s="598"/>
      <c r="AE60" s="592"/>
      <c r="AF60" s="591"/>
      <c r="AG60" s="591"/>
      <c r="AH60" s="599"/>
      <c r="AI60" s="591"/>
      <c r="AJ60" s="600"/>
      <c r="AK60" s="591"/>
      <c r="AL60" s="601"/>
      <c r="AM60" s="602"/>
      <c r="AN60" s="600"/>
      <c r="AO60" s="600"/>
      <c r="AP60" s="601"/>
      <c r="AQ60" s="594"/>
      <c r="AR60" s="597"/>
      <c r="AS60" s="597"/>
      <c r="AT60" s="600"/>
      <c r="AU60" s="597"/>
      <c r="AV60" s="600"/>
      <c r="AW60" s="604"/>
      <c r="AX60" s="604"/>
      <c r="AY60" s="605"/>
      <c r="AZ60" s="600"/>
      <c r="BA60" s="597"/>
      <c r="BB60" s="597"/>
      <c r="BC60" s="597"/>
      <c r="BD60" s="596"/>
      <c r="BE60" s="596"/>
      <c r="BF60" s="591"/>
      <c r="BG60" s="600"/>
      <c r="BH60" s="591"/>
      <c r="BI60" s="603"/>
      <c r="BJ60" s="591"/>
      <c r="BK60" s="592"/>
      <c r="BL60" s="591"/>
      <c r="BM60" s="607"/>
      <c r="BN60" s="608"/>
    </row>
    <row customHeight="true" ht="13.333333333333332" r="61">
      <c r="A61" s="590">
        <v>46050</v>
      </c>
      <c r="B61" s="591" t="s">
        <v>1359</v>
      </c>
      <c r="C61" s="592"/>
      <c r="D61" s="591"/>
      <c r="E61" s="593"/>
      <c r="F61" s="594"/>
      <c r="G61" s="594"/>
      <c r="H61" s="591"/>
      <c r="I61" s="594"/>
      <c r="J61" s="596"/>
      <c r="K61" s="591"/>
      <c r="L61" s="591"/>
      <c r="M61" s="591"/>
      <c r="N61" s="594"/>
      <c r="O61" s="597"/>
      <c r="P61" s="597"/>
      <c r="Q61" s="591"/>
      <c r="R61" s="591"/>
      <c r="S61" s="591"/>
      <c r="T61" s="591"/>
      <c r="U61" s="591"/>
      <c r="V61" s="594"/>
      <c r="W61" s="591"/>
      <c r="X61" s="596"/>
      <c r="Y61" s="591"/>
      <c r="Z61" s="591"/>
      <c r="AA61" s="591"/>
      <c r="AB61" s="591"/>
      <c r="AC61" s="591"/>
      <c r="AD61" s="598"/>
      <c r="AE61" s="592"/>
      <c r="AF61" s="591"/>
      <c r="AG61" s="591"/>
      <c r="AH61" s="599"/>
      <c r="AI61" s="591"/>
      <c r="AJ61" s="600"/>
      <c r="AK61" s="591"/>
      <c r="AL61" s="601"/>
      <c r="AM61" s="602"/>
      <c r="AN61" s="600"/>
      <c r="AO61" s="600"/>
      <c r="AP61" s="601"/>
      <c r="AQ61" s="594"/>
      <c r="AR61" s="597"/>
      <c r="AS61" s="597"/>
      <c r="AT61" s="600"/>
      <c r="AU61" s="597"/>
      <c r="AV61" s="600"/>
      <c r="AW61" s="604"/>
      <c r="AX61" s="604"/>
      <c r="AY61" s="605"/>
      <c r="AZ61" s="600"/>
      <c r="BA61" s="597"/>
      <c r="BB61" s="597"/>
      <c r="BC61" s="597"/>
      <c r="BD61" s="596"/>
      <c r="BE61" s="596"/>
      <c r="BF61" s="591"/>
      <c r="BG61" s="600"/>
      <c r="BH61" s="591"/>
      <c r="BI61" s="603"/>
      <c r="BJ61" s="591"/>
      <c r="BK61" s="592"/>
      <c r="BL61" s="591"/>
      <c r="BM61" s="607"/>
      <c r="BN61" s="608"/>
    </row>
    <row customHeight="true" ht="13.333333333333332" r="62">
      <c r="A62" s="590">
        <v>46051</v>
      </c>
      <c r="B62" s="591" t="s">
        <v>1360</v>
      </c>
      <c r="C62" s="592"/>
      <c r="D62" s="591"/>
      <c r="E62" s="593"/>
      <c r="F62" s="594"/>
      <c r="G62" s="594"/>
      <c r="H62" s="591"/>
      <c r="I62" s="594"/>
      <c r="J62" s="596"/>
      <c r="K62" s="591"/>
      <c r="L62" s="591"/>
      <c r="M62" s="591"/>
      <c r="N62" s="594"/>
      <c r="O62" s="597"/>
      <c r="P62" s="597"/>
      <c r="Q62" s="591"/>
      <c r="R62" s="591"/>
      <c r="S62" s="591"/>
      <c r="T62" s="591"/>
      <c r="U62" s="591"/>
      <c r="V62" s="594"/>
      <c r="W62" s="591"/>
      <c r="X62" s="596"/>
      <c r="Y62" s="591"/>
      <c r="Z62" s="591"/>
      <c r="AA62" s="591"/>
      <c r="AB62" s="591"/>
      <c r="AC62" s="591"/>
      <c r="AD62" s="598"/>
      <c r="AE62" s="592"/>
      <c r="AF62" s="591"/>
      <c r="AG62" s="591"/>
      <c r="AH62" s="599"/>
      <c r="AI62" s="591"/>
      <c r="AJ62" s="600"/>
      <c r="AK62" s="591"/>
      <c r="AL62" s="601"/>
      <c r="AM62" s="602"/>
      <c r="AN62" s="600"/>
      <c r="AO62" s="600"/>
      <c r="AP62" s="601"/>
      <c r="AQ62" s="594"/>
      <c r="AR62" s="597"/>
      <c r="AS62" s="597"/>
      <c r="AT62" s="600"/>
      <c r="AU62" s="597"/>
      <c r="AV62" s="600"/>
      <c r="AW62" s="604"/>
      <c r="AX62" s="604"/>
      <c r="AY62" s="605"/>
      <c r="AZ62" s="600"/>
      <c r="BA62" s="597"/>
      <c r="BB62" s="597"/>
      <c r="BC62" s="597"/>
      <c r="BD62" s="596"/>
      <c r="BE62" s="596"/>
      <c r="BF62" s="591"/>
      <c r="BG62" s="600"/>
      <c r="BH62" s="591"/>
      <c r="BI62" s="603"/>
      <c r="BJ62" s="591"/>
      <c r="BK62" s="592"/>
      <c r="BL62" s="591"/>
      <c r="BM62" s="607"/>
      <c r="BN62" s="608"/>
    </row>
    <row customHeight="true" ht="13.333333333333332" r="63">
      <c r="A63" s="590">
        <v>46052</v>
      </c>
      <c r="B63" s="591" t="s">
        <v>1361</v>
      </c>
      <c r="C63" s="592"/>
      <c r="D63" s="591"/>
      <c r="E63" s="593"/>
      <c r="F63" s="594"/>
      <c r="G63" s="594"/>
      <c r="H63" s="591"/>
      <c r="I63" s="594"/>
      <c r="J63" s="596"/>
      <c r="K63" s="591"/>
      <c r="L63" s="591"/>
      <c r="M63" s="591"/>
      <c r="N63" s="594"/>
      <c r="O63" s="597"/>
      <c r="P63" s="597"/>
      <c r="Q63" s="591"/>
      <c r="R63" s="591"/>
      <c r="S63" s="591"/>
      <c r="T63" s="591"/>
      <c r="U63" s="591"/>
      <c r="V63" s="594"/>
      <c r="W63" s="591"/>
      <c r="X63" s="596"/>
      <c r="Y63" s="591"/>
      <c r="Z63" s="591"/>
      <c r="AA63" s="591"/>
      <c r="AB63" s="591"/>
      <c r="AC63" s="591"/>
      <c r="AD63" s="598"/>
      <c r="AE63" s="592"/>
      <c r="AF63" s="591"/>
      <c r="AG63" s="591"/>
      <c r="AH63" s="599"/>
      <c r="AI63" s="591"/>
      <c r="AJ63" s="600"/>
      <c r="AK63" s="591"/>
      <c r="AL63" s="601"/>
      <c r="AM63" s="602"/>
      <c r="AN63" s="600"/>
      <c r="AO63" s="600"/>
      <c r="AP63" s="601"/>
      <c r="AQ63" s="594"/>
      <c r="AR63" s="597"/>
      <c r="AS63" s="597"/>
      <c r="AT63" s="600"/>
      <c r="AU63" s="597"/>
      <c r="AV63" s="600"/>
      <c r="AW63" s="604"/>
      <c r="AX63" s="604"/>
      <c r="AY63" s="605"/>
      <c r="AZ63" s="600"/>
      <c r="BA63" s="597"/>
      <c r="BB63" s="597"/>
      <c r="BC63" s="597"/>
      <c r="BD63" s="596"/>
      <c r="BE63" s="596"/>
      <c r="BF63" s="591"/>
      <c r="BG63" s="600"/>
      <c r="BH63" s="591"/>
      <c r="BI63" s="603"/>
      <c r="BJ63" s="591"/>
      <c r="BK63" s="592"/>
      <c r="BL63" s="591"/>
      <c r="BM63" s="607"/>
      <c r="BN63" s="608"/>
    </row>
    <row customHeight="true" ht="13.333333333333332" r="64">
      <c r="A64" s="590">
        <v>46053</v>
      </c>
      <c r="B64" s="591" t="s">
        <v>1362</v>
      </c>
      <c r="C64" s="592"/>
      <c r="D64" s="591"/>
      <c r="E64" s="593"/>
      <c r="F64" s="594"/>
      <c r="G64" s="594"/>
      <c r="H64" s="591"/>
      <c r="I64" s="594"/>
      <c r="J64" s="596"/>
      <c r="K64" s="591"/>
      <c r="L64" s="591"/>
      <c r="M64" s="591"/>
      <c r="N64" s="594"/>
      <c r="O64" s="597"/>
      <c r="P64" s="597"/>
      <c r="Q64" s="591"/>
      <c r="R64" s="591"/>
      <c r="S64" s="591"/>
      <c r="T64" s="591"/>
      <c r="U64" s="591"/>
      <c r="V64" s="594"/>
      <c r="W64" s="591"/>
      <c r="X64" s="596"/>
      <c r="Y64" s="591"/>
      <c r="Z64" s="591"/>
      <c r="AA64" s="591"/>
      <c r="AB64" s="591"/>
      <c r="AC64" s="591"/>
      <c r="AD64" s="598"/>
      <c r="AE64" s="592"/>
      <c r="AF64" s="591"/>
      <c r="AG64" s="591"/>
      <c r="AH64" s="599"/>
      <c r="AI64" s="591"/>
      <c r="AJ64" s="600"/>
      <c r="AK64" s="591"/>
      <c r="AL64" s="601"/>
      <c r="AM64" s="602"/>
      <c r="AN64" s="600"/>
      <c r="AO64" s="600"/>
      <c r="AP64" s="601"/>
      <c r="AQ64" s="594"/>
      <c r="AR64" s="597"/>
      <c r="AS64" s="597"/>
      <c r="AT64" s="600"/>
      <c r="AU64" s="597"/>
      <c r="AV64" s="600"/>
      <c r="AW64" s="604"/>
      <c r="AX64" s="604"/>
      <c r="AY64" s="605"/>
      <c r="AZ64" s="600"/>
      <c r="BA64" s="597"/>
      <c r="BB64" s="597"/>
      <c r="BC64" s="597"/>
      <c r="BD64" s="596"/>
      <c r="BE64" s="596"/>
      <c r="BF64" s="591"/>
      <c r="BG64" s="600"/>
      <c r="BH64" s="591"/>
      <c r="BI64" s="603"/>
      <c r="BJ64" s="591"/>
      <c r="BK64" s="592"/>
      <c r="BL64" s="591"/>
      <c r="BM64" s="607"/>
      <c r="BN64" s="608"/>
    </row>
    <row customHeight="true" ht="13.333333333333332" r="65">
      <c r="A65" s="590">
        <v>46054</v>
      </c>
      <c r="B65" s="591" t="s">
        <v>1363</v>
      </c>
      <c r="C65" s="592"/>
      <c r="D65" s="591"/>
      <c r="E65" s="593"/>
      <c r="F65" s="594"/>
      <c r="G65" s="594"/>
      <c r="H65" s="591"/>
      <c r="I65" s="594"/>
      <c r="J65" s="596"/>
      <c r="K65" s="591"/>
      <c r="L65" s="591"/>
      <c r="M65" s="591"/>
      <c r="N65" s="594"/>
      <c r="O65" s="597"/>
      <c r="P65" s="597"/>
      <c r="Q65" s="591"/>
      <c r="R65" s="591"/>
      <c r="S65" s="591"/>
      <c r="T65" s="591"/>
      <c r="U65" s="591"/>
      <c r="V65" s="594"/>
      <c r="W65" s="591"/>
      <c r="X65" s="596"/>
      <c r="Y65" s="591"/>
      <c r="Z65" s="591"/>
      <c r="AA65" s="591"/>
      <c r="AB65" s="591"/>
      <c r="AC65" s="591"/>
      <c r="AD65" s="598"/>
      <c r="AE65" s="592"/>
      <c r="AF65" s="591"/>
      <c r="AG65" s="591"/>
      <c r="AH65" s="599"/>
      <c r="AI65" s="591"/>
      <c r="AJ65" s="600"/>
      <c r="AK65" s="591"/>
      <c r="AL65" s="601"/>
      <c r="AM65" s="602"/>
      <c r="AN65" s="600"/>
      <c r="AO65" s="600"/>
      <c r="AP65" s="601"/>
      <c r="AQ65" s="594"/>
      <c r="AR65" s="597"/>
      <c r="AS65" s="597"/>
      <c r="AT65" s="600"/>
      <c r="AU65" s="597"/>
      <c r="AV65" s="600"/>
      <c r="AW65" s="604"/>
      <c r="AX65" s="604"/>
      <c r="AY65" s="605"/>
      <c r="AZ65" s="600"/>
      <c r="BA65" s="597"/>
      <c r="BB65" s="597"/>
      <c r="BC65" s="597"/>
      <c r="BD65" s="596"/>
      <c r="BE65" s="596"/>
      <c r="BF65" s="591"/>
      <c r="BG65" s="600"/>
      <c r="BH65" s="591"/>
      <c r="BI65" s="603"/>
      <c r="BJ65" s="591"/>
      <c r="BK65" s="592"/>
      <c r="BL65" s="591"/>
      <c r="BM65" s="607"/>
      <c r="BN65" s="608"/>
    </row>
    <row customHeight="true" ht="13.333333333333332" r="66">
      <c r="A66" s="590">
        <v>46055</v>
      </c>
      <c r="B66" s="591" t="s">
        <v>1356</v>
      </c>
      <c r="C66" s="592"/>
      <c r="D66" s="591"/>
      <c r="E66" s="593"/>
      <c r="F66" s="594"/>
      <c r="G66" s="594"/>
      <c r="H66" s="591"/>
      <c r="I66" s="594"/>
      <c r="J66" s="596"/>
      <c r="K66" s="591"/>
      <c r="L66" s="591"/>
      <c r="M66" s="591"/>
      <c r="N66" s="594"/>
      <c r="O66" s="597"/>
      <c r="P66" s="597"/>
      <c r="Q66" s="591"/>
      <c r="R66" s="591"/>
      <c r="S66" s="591"/>
      <c r="T66" s="591"/>
      <c r="U66" s="591"/>
      <c r="V66" s="594"/>
      <c r="W66" s="591"/>
      <c r="X66" s="596"/>
      <c r="Y66" s="591"/>
      <c r="Z66" s="591"/>
      <c r="AA66" s="591"/>
      <c r="AB66" s="591"/>
      <c r="AC66" s="591"/>
      <c r="AD66" s="598"/>
      <c r="AE66" s="592"/>
      <c r="AF66" s="591"/>
      <c r="AG66" s="591"/>
      <c r="AH66" s="599"/>
      <c r="AI66" s="591"/>
      <c r="AJ66" s="600"/>
      <c r="AK66" s="591"/>
      <c r="AL66" s="601"/>
      <c r="AM66" s="602"/>
      <c r="AN66" s="600"/>
      <c r="AO66" s="600"/>
      <c r="AP66" s="601"/>
      <c r="AQ66" s="594"/>
      <c r="AR66" s="597"/>
      <c r="AS66" s="597"/>
      <c r="AT66" s="600"/>
      <c r="AU66" s="597"/>
      <c r="AV66" s="600"/>
      <c r="AW66" s="604"/>
      <c r="AX66" s="604"/>
      <c r="AY66" s="605"/>
      <c r="AZ66" s="600"/>
      <c r="BA66" s="597"/>
      <c r="BB66" s="597"/>
      <c r="BC66" s="597"/>
      <c r="BD66" s="596"/>
      <c r="BE66" s="596"/>
      <c r="BF66" s="591"/>
      <c r="BG66" s="600"/>
      <c r="BH66" s="591"/>
      <c r="BI66" s="603"/>
      <c r="BJ66" s="591"/>
      <c r="BK66" s="592"/>
      <c r="BL66" s="591"/>
      <c r="BM66" s="607"/>
      <c r="BN66" s="608"/>
    </row>
    <row customHeight="true" ht="13.333333333333332" r="67">
      <c r="A67" s="590">
        <v>46056</v>
      </c>
      <c r="B67" s="591" t="s">
        <v>1358</v>
      </c>
      <c r="C67" s="592"/>
      <c r="D67" s="591"/>
      <c r="E67" s="593"/>
      <c r="F67" s="594"/>
      <c r="G67" s="594"/>
      <c r="H67" s="591"/>
      <c r="I67" s="594"/>
      <c r="J67" s="596"/>
      <c r="K67" s="591"/>
      <c r="L67" s="591"/>
      <c r="M67" s="591"/>
      <c r="N67" s="594"/>
      <c r="O67" s="597"/>
      <c r="P67" s="597"/>
      <c r="Q67" s="591"/>
      <c r="R67" s="591"/>
      <c r="S67" s="591"/>
      <c r="T67" s="591"/>
      <c r="U67" s="591"/>
      <c r="V67" s="594"/>
      <c r="W67" s="591"/>
      <c r="X67" s="596"/>
      <c r="Y67" s="591"/>
      <c r="Z67" s="591"/>
      <c r="AA67" s="591"/>
      <c r="AB67" s="591"/>
      <c r="AC67" s="591"/>
      <c r="AD67" s="598"/>
      <c r="AE67" s="592"/>
      <c r="AF67" s="591"/>
      <c r="AG67" s="591"/>
      <c r="AH67" s="599"/>
      <c r="AI67" s="591"/>
      <c r="AJ67" s="600"/>
      <c r="AK67" s="591"/>
      <c r="AL67" s="601"/>
      <c r="AM67" s="602"/>
      <c r="AN67" s="600"/>
      <c r="AO67" s="600"/>
      <c r="AP67" s="601"/>
      <c r="AQ67" s="594"/>
      <c r="AR67" s="597"/>
      <c r="AS67" s="597"/>
      <c r="AT67" s="600"/>
      <c r="AU67" s="597"/>
      <c r="AV67" s="600"/>
      <c r="AW67" s="604"/>
      <c r="AX67" s="604"/>
      <c r="AY67" s="605"/>
      <c r="AZ67" s="600"/>
      <c r="BA67" s="597"/>
      <c r="BB67" s="597"/>
      <c r="BC67" s="597"/>
      <c r="BD67" s="596"/>
      <c r="BE67" s="596"/>
      <c r="BF67" s="591"/>
      <c r="BG67" s="600"/>
      <c r="BH67" s="591"/>
      <c r="BI67" s="603"/>
      <c r="BJ67" s="591"/>
      <c r="BK67" s="592"/>
      <c r="BL67" s="591"/>
      <c r="BM67" s="607"/>
      <c r="BN67" s="608"/>
    </row>
    <row customHeight="true" ht="13.333333333333332" r="68">
      <c r="A68" s="590">
        <v>46057</v>
      </c>
      <c r="B68" s="591" t="s">
        <v>1359</v>
      </c>
      <c r="C68" s="592"/>
      <c r="D68" s="591"/>
      <c r="E68" s="593"/>
      <c r="F68" s="594"/>
      <c r="G68" s="594"/>
      <c r="H68" s="591"/>
      <c r="I68" s="594"/>
      <c r="J68" s="596"/>
      <c r="K68" s="591"/>
      <c r="L68" s="591"/>
      <c r="M68" s="591"/>
      <c r="N68" s="594"/>
      <c r="O68" s="597"/>
      <c r="P68" s="597"/>
      <c r="Q68" s="591"/>
      <c r="R68" s="591"/>
      <c r="S68" s="591"/>
      <c r="T68" s="591"/>
      <c r="U68" s="591"/>
      <c r="V68" s="594"/>
      <c r="W68" s="591"/>
      <c r="X68" s="596"/>
      <c r="Y68" s="591"/>
      <c r="Z68" s="591"/>
      <c r="AA68" s="591"/>
      <c r="AB68" s="591"/>
      <c r="AC68" s="591"/>
      <c r="AD68" s="598"/>
      <c r="AE68" s="592"/>
      <c r="AF68" s="591"/>
      <c r="AG68" s="591"/>
      <c r="AH68" s="599"/>
      <c r="AI68" s="591"/>
      <c r="AJ68" s="600"/>
      <c r="AK68" s="591"/>
      <c r="AL68" s="601"/>
      <c r="AM68" s="602"/>
      <c r="AN68" s="600"/>
      <c r="AO68" s="600"/>
      <c r="AP68" s="601"/>
      <c r="AQ68" s="594"/>
      <c r="AR68" s="597"/>
      <c r="AS68" s="597"/>
      <c r="AT68" s="600"/>
      <c r="AU68" s="597"/>
      <c r="AV68" s="600"/>
      <c r="AW68" s="604"/>
      <c r="AX68" s="604"/>
      <c r="AY68" s="605"/>
      <c r="AZ68" s="600"/>
      <c r="BA68" s="597"/>
      <c r="BB68" s="597"/>
      <c r="BC68" s="597"/>
      <c r="BD68" s="596"/>
      <c r="BE68" s="596"/>
      <c r="BF68" s="591"/>
      <c r="BG68" s="600"/>
      <c r="BH68" s="591"/>
      <c r="BI68" s="603"/>
      <c r="BJ68" s="591"/>
      <c r="BK68" s="592"/>
      <c r="BL68" s="591"/>
      <c r="BM68" s="607"/>
      <c r="BN68" s="627"/>
    </row>
    <row customHeight="true" ht="13.333333333333332" r="69">
      <c r="A69" s="590">
        <v>46058</v>
      </c>
      <c r="B69" s="591" t="s">
        <v>1360</v>
      </c>
      <c r="C69" s="628"/>
      <c r="D69" s="591"/>
      <c r="E69" s="593"/>
      <c r="F69" s="594"/>
      <c r="G69" s="594"/>
      <c r="H69" s="591"/>
      <c r="I69" s="594"/>
      <c r="J69" s="596"/>
      <c r="K69" s="591"/>
      <c r="L69" s="591"/>
      <c r="M69" s="591"/>
      <c r="N69" s="594"/>
      <c r="O69" s="597"/>
      <c r="P69" s="597"/>
      <c r="Q69" s="591"/>
      <c r="R69" s="591"/>
      <c r="S69" s="591"/>
      <c r="T69" s="591"/>
      <c r="U69" s="591"/>
      <c r="V69" s="594"/>
      <c r="W69" s="591"/>
      <c r="X69" s="596"/>
      <c r="Y69" s="591"/>
      <c r="Z69" s="591"/>
      <c r="AA69" s="591"/>
      <c r="AB69" s="591"/>
      <c r="AC69" s="591"/>
      <c r="AD69" s="598"/>
      <c r="AE69" s="592"/>
      <c r="AF69" s="591"/>
      <c r="AG69" s="591"/>
      <c r="AH69" s="599"/>
      <c r="AI69" s="591"/>
      <c r="AJ69" s="600"/>
      <c r="AK69" s="591"/>
      <c r="AL69" s="601"/>
      <c r="AM69" s="602"/>
      <c r="AN69" s="600"/>
      <c r="AO69" s="600"/>
      <c r="AP69" s="601"/>
      <c r="AQ69" s="594"/>
      <c r="AR69" s="597"/>
      <c r="AS69" s="597"/>
      <c r="AT69" s="600"/>
      <c r="AU69" s="597"/>
      <c r="AV69" s="600"/>
      <c r="AW69" s="604"/>
      <c r="AX69" s="604"/>
      <c r="AY69" s="605"/>
      <c r="AZ69" s="600"/>
      <c r="BA69" s="597"/>
      <c r="BB69" s="597"/>
      <c r="BC69" s="597"/>
      <c r="BD69" s="596"/>
      <c r="BE69" s="596"/>
      <c r="BF69" s="591"/>
      <c r="BG69" s="600"/>
      <c r="BH69" s="591"/>
      <c r="BI69" s="603"/>
      <c r="BJ69" s="591"/>
      <c r="BK69" s="592"/>
      <c r="BL69" s="591"/>
      <c r="BM69" s="607"/>
      <c r="BN69" s="627"/>
    </row>
    <row customHeight="true" ht="13.333333333333332" r="70">
      <c r="A70" s="590">
        <v>46059</v>
      </c>
      <c r="B70" s="591" t="s">
        <v>1361</v>
      </c>
      <c r="C70" s="628"/>
      <c r="D70" s="591"/>
      <c r="E70" s="593"/>
      <c r="F70" s="594"/>
      <c r="G70" s="594"/>
      <c r="H70" s="591"/>
      <c r="I70" s="594"/>
      <c r="J70" s="596"/>
      <c r="K70" s="591"/>
      <c r="L70" s="591"/>
      <c r="M70" s="591"/>
      <c r="N70" s="594"/>
      <c r="O70" s="597"/>
      <c r="P70" s="597"/>
      <c r="Q70" s="591"/>
      <c r="R70" s="591"/>
      <c r="S70" s="591"/>
      <c r="T70" s="591"/>
      <c r="U70" s="591"/>
      <c r="V70" s="594"/>
      <c r="W70" s="591"/>
      <c r="X70" s="596"/>
      <c r="Y70" s="591"/>
      <c r="Z70" s="591"/>
      <c r="AA70" s="591"/>
      <c r="AB70" s="591"/>
      <c r="AC70" s="591"/>
      <c r="AD70" s="598"/>
      <c r="AE70" s="592"/>
      <c r="AF70" s="591"/>
      <c r="AG70" s="591"/>
      <c r="AH70" s="599"/>
      <c r="AI70" s="591"/>
      <c r="AJ70" s="600"/>
      <c r="AK70" s="591"/>
      <c r="AL70" s="601"/>
      <c r="AM70" s="602"/>
      <c r="AN70" s="600"/>
      <c r="AO70" s="600"/>
      <c r="AP70" s="601"/>
      <c r="AQ70" s="594"/>
      <c r="AR70" s="597"/>
      <c r="AS70" s="597"/>
      <c r="AT70" s="600"/>
      <c r="AU70" s="597"/>
      <c r="AV70" s="600"/>
      <c r="AW70" s="604"/>
      <c r="AX70" s="604"/>
      <c r="AY70" s="605"/>
      <c r="AZ70" s="600"/>
      <c r="BA70" s="597"/>
      <c r="BB70" s="597"/>
      <c r="BC70" s="597"/>
      <c r="BD70" s="596"/>
      <c r="BE70" s="596"/>
      <c r="BF70" s="591"/>
      <c r="BG70" s="600"/>
      <c r="BH70" s="591"/>
      <c r="BI70" s="603"/>
      <c r="BJ70" s="591"/>
      <c r="BK70" s="592"/>
      <c r="BL70" s="591"/>
      <c r="BM70" s="607"/>
      <c r="BN70" s="627"/>
    </row>
    <row customHeight="true" ht="13.333333333333332" r="71">
      <c r="A71" s="590">
        <v>46060</v>
      </c>
      <c r="B71" s="591" t="s">
        <v>1362</v>
      </c>
      <c r="C71" s="628"/>
      <c r="D71" s="591"/>
      <c r="E71" s="593"/>
      <c r="F71" s="594"/>
      <c r="G71" s="594"/>
      <c r="H71" s="591"/>
      <c r="I71" s="594"/>
      <c r="J71" s="596"/>
      <c r="K71" s="591"/>
      <c r="L71" s="591"/>
      <c r="M71" s="591"/>
      <c r="N71" s="594"/>
      <c r="O71" s="597"/>
      <c r="P71" s="597"/>
      <c r="Q71" s="591"/>
      <c r="R71" s="591"/>
      <c r="S71" s="591"/>
      <c r="T71" s="591"/>
      <c r="U71" s="591"/>
      <c r="V71" s="594"/>
      <c r="W71" s="591"/>
      <c r="X71" s="596"/>
      <c r="Y71" s="591"/>
      <c r="Z71" s="591"/>
      <c r="AA71" s="591"/>
      <c r="AB71" s="591"/>
      <c r="AC71" s="591"/>
      <c r="AD71" s="598"/>
      <c r="AE71" s="592"/>
      <c r="AF71" s="591"/>
      <c r="AG71" s="591"/>
      <c r="AH71" s="599"/>
      <c r="AI71" s="591"/>
      <c r="AJ71" s="600"/>
      <c r="AK71" s="591"/>
      <c r="AL71" s="601"/>
      <c r="AM71" s="602"/>
      <c r="AN71" s="600"/>
      <c r="AO71" s="600"/>
      <c r="AP71" s="601"/>
      <c r="AQ71" s="594"/>
      <c r="AR71" s="597"/>
      <c r="AS71" s="597"/>
      <c r="AT71" s="600"/>
      <c r="AU71" s="597"/>
      <c r="AV71" s="600"/>
      <c r="AW71" s="604"/>
      <c r="AX71" s="604"/>
      <c r="AY71" s="605"/>
      <c r="AZ71" s="600"/>
      <c r="BA71" s="597"/>
      <c r="BB71" s="597"/>
      <c r="BC71" s="597"/>
      <c r="BD71" s="596"/>
      <c r="BE71" s="596"/>
      <c r="BF71" s="591"/>
      <c r="BG71" s="600"/>
      <c r="BH71" s="591"/>
      <c r="BI71" s="603"/>
      <c r="BJ71" s="591"/>
      <c r="BK71" s="592"/>
      <c r="BL71" s="591"/>
      <c r="BM71" s="607"/>
      <c r="BN71" s="627"/>
    </row>
    <row customHeight="true" ht="13.333333333333332" r="72">
      <c r="A72" s="590">
        <v>46061</v>
      </c>
      <c r="B72" s="591" t="s">
        <v>1363</v>
      </c>
      <c r="C72" s="628"/>
      <c r="D72" s="591"/>
      <c r="E72" s="593"/>
      <c r="F72" s="594"/>
      <c r="G72" s="594"/>
      <c r="H72" s="591"/>
      <c r="I72" s="594"/>
      <c r="J72" s="596"/>
      <c r="K72" s="591"/>
      <c r="L72" s="591"/>
      <c r="M72" s="591"/>
      <c r="N72" s="594"/>
      <c r="O72" s="597"/>
      <c r="P72" s="597"/>
      <c r="Q72" s="591"/>
      <c r="R72" s="591"/>
      <c r="S72" s="591"/>
      <c r="T72" s="591"/>
      <c r="U72" s="591"/>
      <c r="V72" s="594"/>
      <c r="W72" s="591"/>
      <c r="X72" s="596"/>
      <c r="Y72" s="591"/>
      <c r="Z72" s="591"/>
      <c r="AA72" s="591"/>
      <c r="AB72" s="591"/>
      <c r="AC72" s="591"/>
      <c r="AD72" s="598"/>
      <c r="AE72" s="592"/>
      <c r="AF72" s="591"/>
      <c r="AG72" s="591"/>
      <c r="AH72" s="599"/>
      <c r="AI72" s="591"/>
      <c r="AJ72" s="600"/>
      <c r="AK72" s="591"/>
      <c r="AL72" s="601"/>
      <c r="AM72" s="602"/>
      <c r="AN72" s="600"/>
      <c r="AO72" s="600"/>
      <c r="AP72" s="601"/>
      <c r="AQ72" s="594"/>
      <c r="AR72" s="597"/>
      <c r="AS72" s="597"/>
      <c r="AT72" s="600"/>
      <c r="AU72" s="597"/>
      <c r="AV72" s="600"/>
      <c r="AW72" s="604"/>
      <c r="AX72" s="604"/>
      <c r="AY72" s="605"/>
      <c r="AZ72" s="600"/>
      <c r="BA72" s="597"/>
      <c r="BB72" s="597"/>
      <c r="BC72" s="597"/>
      <c r="BD72" s="596"/>
      <c r="BE72" s="596"/>
      <c r="BF72" s="591"/>
      <c r="BG72" s="600"/>
      <c r="BH72" s="591"/>
      <c r="BI72" s="603"/>
      <c r="BJ72" s="591"/>
      <c r="BK72" s="592"/>
      <c r="BL72" s="591"/>
      <c r="BM72" s="607"/>
      <c r="BN72" s="627"/>
    </row>
    <row customHeight="true" ht="13.333333333333332" r="73">
      <c r="A73" s="590">
        <v>46062</v>
      </c>
      <c r="B73" s="591" t="s">
        <v>1356</v>
      </c>
      <c r="C73" s="628"/>
      <c r="D73" s="591"/>
      <c r="E73" s="593"/>
      <c r="F73" s="594"/>
      <c r="G73" s="594"/>
      <c r="H73" s="591"/>
      <c r="I73" s="594"/>
      <c r="J73" s="596"/>
      <c r="K73" s="591"/>
      <c r="L73" s="591"/>
      <c r="M73" s="591"/>
      <c r="N73" s="594"/>
      <c r="O73" s="597"/>
      <c r="P73" s="597"/>
      <c r="Q73" s="591"/>
      <c r="R73" s="591"/>
      <c r="S73" s="591"/>
      <c r="T73" s="591"/>
      <c r="U73" s="591"/>
      <c r="V73" s="594"/>
      <c r="W73" s="591"/>
      <c r="X73" s="596"/>
      <c r="Y73" s="591"/>
      <c r="Z73" s="591"/>
      <c r="AA73" s="591"/>
      <c r="AB73" s="591"/>
      <c r="AC73" s="591"/>
      <c r="AD73" s="598"/>
      <c r="AE73" s="592"/>
      <c r="AF73" s="591"/>
      <c r="AG73" s="591"/>
      <c r="AH73" s="599"/>
      <c r="AI73" s="591"/>
      <c r="AJ73" s="600"/>
      <c r="AK73" s="591"/>
      <c r="AL73" s="601"/>
      <c r="AM73" s="602"/>
      <c r="AN73" s="600"/>
      <c r="AO73" s="600"/>
      <c r="AP73" s="601"/>
      <c r="AQ73" s="594"/>
      <c r="AR73" s="597"/>
      <c r="AS73" s="597"/>
      <c r="AT73" s="600"/>
      <c r="AU73" s="597"/>
      <c r="AV73" s="600"/>
      <c r="AW73" s="604"/>
      <c r="AX73" s="604"/>
      <c r="AY73" s="605"/>
      <c r="AZ73" s="600"/>
      <c r="BA73" s="597"/>
      <c r="BB73" s="597"/>
      <c r="BC73" s="597"/>
      <c r="BD73" s="596"/>
      <c r="BE73" s="596"/>
      <c r="BF73" s="591"/>
      <c r="BG73" s="600"/>
      <c r="BH73" s="591"/>
      <c r="BI73" s="603"/>
      <c r="BJ73" s="591"/>
      <c r="BK73" s="592"/>
      <c r="BL73" s="591"/>
      <c r="BM73" s="607"/>
      <c r="BN73" s="627"/>
    </row>
    <row customHeight="true" ht="13.333333333333332" r="74">
      <c r="A74" s="590">
        <v>46063</v>
      </c>
      <c r="B74" s="591" t="s">
        <v>1358</v>
      </c>
      <c r="C74" s="628"/>
      <c r="D74" s="591"/>
      <c r="E74" s="593"/>
      <c r="F74" s="594"/>
      <c r="G74" s="594"/>
      <c r="H74" s="591"/>
      <c r="I74" s="594"/>
      <c r="J74" s="596"/>
      <c r="K74" s="591"/>
      <c r="L74" s="591"/>
      <c r="M74" s="591"/>
      <c r="N74" s="594"/>
      <c r="O74" s="597"/>
      <c r="P74" s="597"/>
      <c r="Q74" s="591"/>
      <c r="R74" s="591"/>
      <c r="S74" s="591"/>
      <c r="T74" s="591"/>
      <c r="U74" s="591"/>
      <c r="V74" s="594"/>
      <c r="W74" s="591"/>
      <c r="X74" s="596"/>
      <c r="Y74" s="591"/>
      <c r="Z74" s="591"/>
      <c r="AA74" s="591"/>
      <c r="AB74" s="591"/>
      <c r="AC74" s="591"/>
      <c r="AD74" s="598"/>
      <c r="AE74" s="592"/>
      <c r="AF74" s="591"/>
      <c r="AG74" s="591"/>
      <c r="AH74" s="599"/>
      <c r="AI74" s="591"/>
      <c r="AJ74" s="600"/>
      <c r="AK74" s="591"/>
      <c r="AL74" s="601"/>
      <c r="AM74" s="602"/>
      <c r="AN74" s="600"/>
      <c r="AO74" s="600"/>
      <c r="AP74" s="601"/>
      <c r="AQ74" s="594"/>
      <c r="AR74" s="597"/>
      <c r="AS74" s="597"/>
      <c r="AT74" s="600"/>
      <c r="AU74" s="597"/>
      <c r="AV74" s="600"/>
      <c r="AW74" s="604"/>
      <c r="AX74" s="604"/>
      <c r="AY74" s="605"/>
      <c r="AZ74" s="600"/>
      <c r="BA74" s="597"/>
      <c r="BB74" s="597"/>
      <c r="BC74" s="597"/>
      <c r="BD74" s="596"/>
      <c r="BE74" s="596"/>
      <c r="BF74" s="591"/>
      <c r="BG74" s="600"/>
      <c r="BH74" s="591"/>
      <c r="BI74" s="603"/>
      <c r="BJ74" s="591"/>
      <c r="BK74" s="591"/>
      <c r="BL74" s="591"/>
      <c r="BM74" s="607"/>
      <c r="BN74" s="627"/>
    </row>
    <row customHeight="true" ht="13.333333333333332" r="75">
      <c r="A75" s="590">
        <v>46064</v>
      </c>
      <c r="B75" s="591" t="s">
        <v>1359</v>
      </c>
      <c r="C75" s="628"/>
      <c r="D75" s="591"/>
      <c r="E75" s="593"/>
      <c r="F75" s="594"/>
      <c r="G75" s="594"/>
      <c r="H75" s="591"/>
      <c r="I75" s="594"/>
      <c r="J75" s="596"/>
      <c r="K75" s="591"/>
      <c r="L75" s="591"/>
      <c r="M75" s="591"/>
      <c r="N75" s="594"/>
      <c r="O75" s="597"/>
      <c r="P75" s="597"/>
      <c r="Q75" s="591"/>
      <c r="R75" s="591"/>
      <c r="S75" s="591"/>
      <c r="T75" s="591"/>
      <c r="U75" s="591"/>
      <c r="V75" s="594"/>
      <c r="W75" s="591"/>
      <c r="X75" s="596"/>
      <c r="Y75" s="591"/>
      <c r="Z75" s="591"/>
      <c r="AA75" s="591"/>
      <c r="AB75" s="591"/>
      <c r="AC75" s="591"/>
      <c r="AD75" s="598"/>
      <c r="AE75" s="592"/>
      <c r="AF75" s="591"/>
      <c r="AG75" s="591"/>
      <c r="AH75" s="599"/>
      <c r="AI75" s="591"/>
      <c r="AJ75" s="600"/>
      <c r="AK75" s="591"/>
      <c r="AL75" s="601"/>
      <c r="AM75" s="602"/>
      <c r="AN75" s="600"/>
      <c r="AO75" s="600"/>
      <c r="AP75" s="601"/>
      <c r="AQ75" s="594"/>
      <c r="AR75" s="597"/>
      <c r="AS75" s="597"/>
      <c r="AT75" s="600"/>
      <c r="AU75" s="597"/>
      <c r="AV75" s="600"/>
      <c r="AW75" s="604"/>
      <c r="AX75" s="604"/>
      <c r="AY75" s="605"/>
      <c r="AZ75" s="600"/>
      <c r="BA75" s="597"/>
      <c r="BB75" s="597"/>
      <c r="BC75" s="597"/>
      <c r="BD75" s="596"/>
      <c r="BE75" s="596"/>
      <c r="BF75" s="591"/>
      <c r="BG75" s="600"/>
      <c r="BH75" s="591"/>
      <c r="BI75" s="603"/>
      <c r="BJ75" s="591"/>
      <c r="BK75" s="591"/>
      <c r="BL75" s="591"/>
      <c r="BM75" s="607"/>
      <c r="BN75" s="627"/>
    </row>
    <row customHeight="true" ht="13.333333333333332" r="76">
      <c r="A76" s="590">
        <v>46065</v>
      </c>
      <c r="B76" s="591" t="s">
        <v>1360</v>
      </c>
      <c r="C76" s="628"/>
      <c r="D76" s="591"/>
      <c r="E76" s="593"/>
      <c r="F76" s="594"/>
      <c r="G76" s="594"/>
      <c r="H76" s="591"/>
      <c r="I76" s="594"/>
      <c r="J76" s="596"/>
      <c r="K76" s="591"/>
      <c r="L76" s="591"/>
      <c r="M76" s="591"/>
      <c r="N76" s="594"/>
      <c r="O76" s="597"/>
      <c r="P76" s="597"/>
      <c r="Q76" s="591"/>
      <c r="R76" s="591"/>
      <c r="S76" s="591"/>
      <c r="T76" s="591"/>
      <c r="U76" s="591"/>
      <c r="V76" s="594"/>
      <c r="W76" s="591"/>
      <c r="X76" s="596"/>
      <c r="Y76" s="591"/>
      <c r="Z76" s="591"/>
      <c r="AA76" s="591"/>
      <c r="AB76" s="591"/>
      <c r="AC76" s="591"/>
      <c r="AD76" s="598"/>
      <c r="AE76" s="592"/>
      <c r="AF76" s="591"/>
      <c r="AG76" s="591"/>
      <c r="AH76" s="599"/>
      <c r="AI76" s="591"/>
      <c r="AJ76" s="600"/>
      <c r="AK76" s="591"/>
      <c r="AL76" s="601"/>
      <c r="AM76" s="602"/>
      <c r="AN76" s="600"/>
      <c r="AO76" s="600"/>
      <c r="AP76" s="601"/>
      <c r="AQ76" s="594"/>
      <c r="AR76" s="597"/>
      <c r="AS76" s="597"/>
      <c r="AT76" s="600"/>
      <c r="AU76" s="597"/>
      <c r="AV76" s="600"/>
      <c r="AW76" s="604"/>
      <c r="AX76" s="604"/>
      <c r="AY76" s="605"/>
      <c r="AZ76" s="600"/>
      <c r="BA76" s="597"/>
      <c r="BB76" s="597"/>
      <c r="BC76" s="629"/>
      <c r="BD76" s="630"/>
      <c r="BE76" s="631"/>
      <c r="BF76" s="631"/>
      <c r="BG76" s="632"/>
      <c r="BH76" s="591"/>
      <c r="BI76" s="603"/>
      <c r="BJ76" s="591"/>
      <c r="BK76" s="591"/>
      <c r="BL76" s="591"/>
      <c r="BM76" s="607"/>
      <c r="BN76" s="627"/>
    </row>
    <row customHeight="true" ht="13.333333333333332" r="77">
      <c r="A77" s="590">
        <v>46066</v>
      </c>
      <c r="B77" s="591" t="s">
        <v>1361</v>
      </c>
      <c r="C77" s="628"/>
      <c r="D77" s="591"/>
      <c r="E77" s="593"/>
      <c r="F77" s="594"/>
      <c r="G77" s="594"/>
      <c r="H77" s="591"/>
      <c r="I77" s="594"/>
      <c r="J77" s="596"/>
      <c r="K77" s="591"/>
      <c r="L77" s="591"/>
      <c r="M77" s="591"/>
      <c r="N77" s="594"/>
      <c r="O77" s="597"/>
      <c r="P77" s="597"/>
      <c r="Q77" s="591"/>
      <c r="R77" s="591"/>
      <c r="S77" s="591"/>
      <c r="T77" s="591"/>
      <c r="U77" s="591"/>
      <c r="V77" s="594"/>
      <c r="W77" s="591"/>
      <c r="X77" s="596"/>
      <c r="Y77" s="591"/>
      <c r="Z77" s="591"/>
      <c r="AA77" s="591"/>
      <c r="AB77" s="591"/>
      <c r="AC77" s="591"/>
      <c r="AD77" s="598"/>
      <c r="AE77" s="592"/>
      <c r="AF77" s="591"/>
      <c r="AG77" s="591"/>
      <c r="AH77" s="599"/>
      <c r="AI77" s="591"/>
      <c r="AJ77" s="600"/>
      <c r="AK77" s="591"/>
      <c r="AL77" s="601"/>
      <c r="AM77" s="602"/>
      <c r="AN77" s="600"/>
      <c r="AO77" s="600"/>
      <c r="AP77" s="601"/>
      <c r="AQ77" s="594"/>
      <c r="AR77" s="597"/>
      <c r="AS77" s="597"/>
      <c r="AT77" s="600"/>
      <c r="AU77" s="597"/>
      <c r="AV77" s="600"/>
      <c r="AW77" s="604"/>
      <c r="AX77" s="604"/>
      <c r="AY77" s="605"/>
      <c r="AZ77" s="600"/>
      <c r="BA77" s="597"/>
      <c r="BB77" s="597"/>
      <c r="BC77" s="629"/>
      <c r="BD77" s="630"/>
      <c r="BE77" s="631"/>
      <c r="BF77" s="631"/>
      <c r="BG77" s="632"/>
      <c r="BH77" s="591"/>
      <c r="BI77" s="603"/>
      <c r="BJ77" s="591"/>
      <c r="BK77" s="591"/>
      <c r="BL77" s="591"/>
      <c r="BM77" s="607"/>
      <c r="BN77" s="627"/>
    </row>
    <row customHeight="true" ht="13.333333333333332" r="78">
      <c r="A78" s="590">
        <v>46067</v>
      </c>
      <c r="B78" s="591" t="s">
        <v>1362</v>
      </c>
      <c r="C78" s="628"/>
      <c r="D78" s="591"/>
      <c r="E78" s="593"/>
      <c r="F78" s="594"/>
      <c r="G78" s="594"/>
      <c r="H78" s="591"/>
      <c r="I78" s="594"/>
      <c r="J78" s="596"/>
      <c r="K78" s="591"/>
      <c r="L78" s="591"/>
      <c r="M78" s="591"/>
      <c r="N78" s="594"/>
      <c r="O78" s="597"/>
      <c r="P78" s="597"/>
      <c r="Q78" s="591"/>
      <c r="R78" s="591"/>
      <c r="S78" s="591"/>
      <c r="T78" s="591"/>
      <c r="U78" s="591"/>
      <c r="V78" s="594"/>
      <c r="W78" s="591"/>
      <c r="X78" s="596"/>
      <c r="Y78" s="591"/>
      <c r="Z78" s="591"/>
      <c r="AA78" s="591"/>
      <c r="AB78" s="591"/>
      <c r="AC78" s="591"/>
      <c r="AD78" s="598"/>
      <c r="AE78" s="592"/>
      <c r="AF78" s="591"/>
      <c r="AG78" s="591"/>
      <c r="AH78" s="599"/>
      <c r="AI78" s="591"/>
      <c r="AJ78" s="600"/>
      <c r="AK78" s="591"/>
      <c r="AL78" s="601"/>
      <c r="AM78" s="602"/>
      <c r="AN78" s="600"/>
      <c r="AO78" s="600"/>
      <c r="AP78" s="601"/>
      <c r="AQ78" s="594"/>
      <c r="AR78" s="597"/>
      <c r="AS78" s="597"/>
      <c r="AT78" s="600"/>
      <c r="AU78" s="597"/>
      <c r="AV78" s="600"/>
      <c r="AW78" s="604"/>
      <c r="AX78" s="604"/>
      <c r="AY78" s="605"/>
      <c r="AZ78" s="600"/>
      <c r="BA78" s="597"/>
      <c r="BB78" s="597"/>
      <c r="BC78" s="629"/>
      <c r="BD78" s="630"/>
      <c r="BE78" s="631"/>
      <c r="BF78" s="631"/>
      <c r="BG78" s="632"/>
      <c r="BH78" s="591"/>
      <c r="BI78" s="603"/>
      <c r="BJ78" s="591"/>
      <c r="BK78" s="591"/>
      <c r="BL78" s="591"/>
      <c r="BM78" s="607"/>
      <c r="BN78" s="627"/>
    </row>
    <row customHeight="true" ht="13.333333333333332" r="79">
      <c r="A79" s="590">
        <v>46068</v>
      </c>
      <c r="B79" s="591" t="s">
        <v>1363</v>
      </c>
      <c r="C79" s="628"/>
      <c r="D79" s="591"/>
      <c r="E79" s="593"/>
      <c r="F79" s="594"/>
      <c r="G79" s="594"/>
      <c r="H79" s="591"/>
      <c r="I79" s="594"/>
      <c r="J79" s="596"/>
      <c r="K79" s="591"/>
      <c r="L79" s="591"/>
      <c r="M79" s="591"/>
      <c r="N79" s="594"/>
      <c r="O79" s="597"/>
      <c r="P79" s="597"/>
      <c r="Q79" s="591"/>
      <c r="R79" s="591"/>
      <c r="S79" s="591"/>
      <c r="T79" s="591"/>
      <c r="U79" s="591"/>
      <c r="V79" s="594"/>
      <c r="W79" s="591"/>
      <c r="X79" s="596"/>
      <c r="Y79" s="591"/>
      <c r="Z79" s="591"/>
      <c r="AA79" s="591"/>
      <c r="AB79" s="591"/>
      <c r="AC79" s="591"/>
      <c r="AD79" s="598"/>
      <c r="AE79" s="592"/>
      <c r="AF79" s="591"/>
      <c r="AG79" s="591"/>
      <c r="AH79" s="599"/>
      <c r="AI79" s="591"/>
      <c r="AJ79" s="600"/>
      <c r="AK79" s="591"/>
      <c r="AL79" s="601"/>
      <c r="AM79" s="602"/>
      <c r="AN79" s="600"/>
      <c r="AO79" s="600"/>
      <c r="AP79" s="601"/>
      <c r="AQ79" s="594"/>
      <c r="AR79" s="597"/>
      <c r="AS79" s="597"/>
      <c r="AT79" s="600"/>
      <c r="AU79" s="597"/>
      <c r="AV79" s="600"/>
      <c r="AW79" s="604"/>
      <c r="AX79" s="604"/>
      <c r="AY79" s="605"/>
      <c r="AZ79" s="600"/>
      <c r="BA79" s="597"/>
      <c r="BB79" s="597"/>
      <c r="BC79" s="629"/>
      <c r="BD79" s="630"/>
      <c r="BE79" s="631"/>
      <c r="BF79" s="631"/>
      <c r="BG79" s="632"/>
      <c r="BH79" s="591"/>
      <c r="BI79" s="603"/>
      <c r="BJ79" s="591"/>
      <c r="BK79" s="591"/>
      <c r="BL79" s="591"/>
      <c r="BM79" s="607"/>
      <c r="BN79" s="627"/>
    </row>
    <row customHeight="true" ht="13.333333333333332" r="80">
      <c r="A80" s="590">
        <v>46069</v>
      </c>
      <c r="B80" s="591" t="s">
        <v>1356</v>
      </c>
      <c r="C80" s="628"/>
      <c r="D80" s="591"/>
      <c r="E80" s="593"/>
      <c r="F80" s="594"/>
      <c r="G80" s="594"/>
      <c r="H80" s="591"/>
      <c r="I80" s="594"/>
      <c r="J80" s="596"/>
      <c r="K80" s="591"/>
      <c r="L80" s="591"/>
      <c r="M80" s="591"/>
      <c r="N80" s="594"/>
      <c r="O80" s="597"/>
      <c r="P80" s="597"/>
      <c r="Q80" s="591"/>
      <c r="R80" s="591"/>
      <c r="S80" s="591"/>
      <c r="T80" s="591"/>
      <c r="U80" s="591"/>
      <c r="V80" s="594"/>
      <c r="W80" s="591"/>
      <c r="X80" s="596"/>
      <c r="Y80" s="591"/>
      <c r="Z80" s="591"/>
      <c r="AA80" s="591"/>
      <c r="AB80" s="591"/>
      <c r="AC80" s="591"/>
      <c r="AD80" s="598"/>
      <c r="AE80" s="592"/>
      <c r="AF80" s="591"/>
      <c r="AG80" s="591"/>
      <c r="AH80" s="599"/>
      <c r="AI80" s="591"/>
      <c r="AJ80" s="600"/>
      <c r="AK80" s="591"/>
      <c r="AL80" s="601"/>
      <c r="AM80" s="602"/>
      <c r="AN80" s="600"/>
      <c r="AO80" s="600"/>
      <c r="AP80" s="601"/>
      <c r="AQ80" s="594"/>
      <c r="AR80" s="597"/>
      <c r="AS80" s="597"/>
      <c r="AT80" s="600"/>
      <c r="AU80" s="597"/>
      <c r="AV80" s="600"/>
      <c r="AW80" s="604"/>
      <c r="AX80" s="604"/>
      <c r="AY80" s="605"/>
      <c r="AZ80" s="600"/>
      <c r="BA80" s="597"/>
      <c r="BB80" s="597"/>
      <c r="BC80" s="629"/>
      <c r="BD80" s="630"/>
      <c r="BE80" s="631"/>
      <c r="BF80" s="631"/>
      <c r="BG80" s="632"/>
      <c r="BH80" s="591"/>
      <c r="BI80" s="603"/>
      <c r="BJ80" s="591"/>
      <c r="BK80" s="591"/>
      <c r="BL80" s="591"/>
      <c r="BM80" s="607"/>
      <c r="BN80" s="627"/>
    </row>
    <row customHeight="true" ht="13.333333333333332" r="81">
      <c r="A81" s="590">
        <v>46070</v>
      </c>
      <c r="B81" s="591" t="s">
        <v>1358</v>
      </c>
      <c r="C81" s="628"/>
      <c r="D81" s="591"/>
      <c r="E81" s="593"/>
      <c r="F81" s="594"/>
      <c r="G81" s="594"/>
      <c r="H81" s="591"/>
      <c r="I81" s="594"/>
      <c r="J81" s="596"/>
      <c r="K81" s="591"/>
      <c r="L81" s="591"/>
      <c r="M81" s="591"/>
      <c r="N81" s="594"/>
      <c r="O81" s="597"/>
      <c r="P81" s="597"/>
      <c r="Q81" s="591"/>
      <c r="R81" s="591"/>
      <c r="S81" s="591"/>
      <c r="T81" s="591"/>
      <c r="U81" s="591"/>
      <c r="V81" s="594"/>
      <c r="W81" s="591"/>
      <c r="X81" s="596"/>
      <c r="Y81" s="591"/>
      <c r="Z81" s="591"/>
      <c r="AA81" s="591"/>
      <c r="AB81" s="591"/>
      <c r="AC81" s="591"/>
      <c r="AD81" s="598"/>
      <c r="AE81" s="592"/>
      <c r="AF81" s="591"/>
      <c r="AG81" s="591"/>
      <c r="AH81" s="599"/>
      <c r="AI81" s="591"/>
      <c r="AJ81" s="600"/>
      <c r="AK81" s="591"/>
      <c r="AL81" s="601"/>
      <c r="AM81" s="602"/>
      <c r="AN81" s="600"/>
      <c r="AO81" s="600"/>
      <c r="AP81" s="601"/>
      <c r="AQ81" s="594"/>
      <c r="AR81" s="597"/>
      <c r="AS81" s="597"/>
      <c r="AT81" s="600"/>
      <c r="AU81" s="597"/>
      <c r="AV81" s="600"/>
      <c r="AW81" s="604"/>
      <c r="AX81" s="604"/>
      <c r="AY81" s="605"/>
      <c r="AZ81" s="600"/>
      <c r="BA81" s="597"/>
      <c r="BB81" s="597"/>
      <c r="BC81" s="629"/>
      <c r="BD81" s="630"/>
      <c r="BE81" s="631"/>
      <c r="BF81" s="631"/>
      <c r="BG81" s="632"/>
      <c r="BH81" s="591"/>
      <c r="BI81" s="603"/>
      <c r="BJ81" s="591"/>
      <c r="BK81" s="591"/>
      <c r="BL81" s="591"/>
      <c r="BM81" s="607"/>
      <c r="BN81" s="627"/>
    </row>
    <row customHeight="true" ht="13.333333333333332" r="82">
      <c r="A82" s="590">
        <v>46071</v>
      </c>
      <c r="B82" s="591" t="s">
        <v>1359</v>
      </c>
      <c r="C82" s="628"/>
      <c r="D82" s="591"/>
      <c r="E82" s="593"/>
      <c r="F82" s="594"/>
      <c r="G82" s="594"/>
      <c r="H82" s="591"/>
      <c r="I82" s="594"/>
      <c r="J82" s="596"/>
      <c r="K82" s="591"/>
      <c r="L82" s="591"/>
      <c r="M82" s="591"/>
      <c r="N82" s="594"/>
      <c r="O82" s="597"/>
      <c r="P82" s="597"/>
      <c r="Q82" s="591"/>
      <c r="R82" s="591"/>
      <c r="S82" s="591"/>
      <c r="T82" s="591"/>
      <c r="U82" s="591"/>
      <c r="V82" s="594"/>
      <c r="W82" s="591"/>
      <c r="X82" s="596"/>
      <c r="Y82" s="591"/>
      <c r="Z82" s="591"/>
      <c r="AA82" s="591"/>
      <c r="AB82" s="591"/>
      <c r="AC82" s="591"/>
      <c r="AD82" s="598"/>
      <c r="AE82" s="592"/>
      <c r="AF82" s="591"/>
      <c r="AG82" s="591"/>
      <c r="AH82" s="599"/>
      <c r="AI82" s="591"/>
      <c r="AJ82" s="600"/>
      <c r="AK82" s="591"/>
      <c r="AL82" s="601"/>
      <c r="AM82" s="602"/>
      <c r="AN82" s="600"/>
      <c r="AO82" s="600"/>
      <c r="AP82" s="601"/>
      <c r="AQ82" s="594"/>
      <c r="AR82" s="597"/>
      <c r="AS82" s="597"/>
      <c r="AT82" s="600"/>
      <c r="AU82" s="597"/>
      <c r="AV82" s="600"/>
      <c r="AW82" s="604"/>
      <c r="AX82" s="604"/>
      <c r="AY82" s="605"/>
      <c r="AZ82" s="600"/>
      <c r="BA82" s="597"/>
      <c r="BB82" s="597"/>
      <c r="BC82" s="629"/>
      <c r="BD82" s="630"/>
      <c r="BE82" s="631"/>
      <c r="BF82" s="631"/>
      <c r="BG82" s="632"/>
      <c r="BH82" s="591"/>
      <c r="BI82" s="603"/>
      <c r="BJ82" s="591"/>
      <c r="BK82" s="591"/>
      <c r="BL82" s="591"/>
      <c r="BM82" s="607"/>
      <c r="BN82" s="627"/>
    </row>
    <row customHeight="true" ht="13.333333333333332" r="83">
      <c r="A83" s="590">
        <v>46072</v>
      </c>
      <c r="B83" s="591" t="s">
        <v>1360</v>
      </c>
      <c r="C83" s="628"/>
      <c r="D83" s="591"/>
      <c r="E83" s="593"/>
      <c r="F83" s="594"/>
      <c r="G83" s="594"/>
      <c r="H83" s="591"/>
      <c r="I83" s="594"/>
      <c r="J83" s="596"/>
      <c r="K83" s="591"/>
      <c r="L83" s="591"/>
      <c r="M83" s="591"/>
      <c r="N83" s="594"/>
      <c r="O83" s="597"/>
      <c r="P83" s="597"/>
      <c r="Q83" s="591"/>
      <c r="R83" s="591"/>
      <c r="S83" s="591"/>
      <c r="T83" s="591"/>
      <c r="U83" s="591"/>
      <c r="V83" s="594"/>
      <c r="W83" s="591"/>
      <c r="X83" s="596"/>
      <c r="Y83" s="591"/>
      <c r="Z83" s="591"/>
      <c r="AA83" s="591"/>
      <c r="AB83" s="591"/>
      <c r="AC83" s="591"/>
      <c r="AD83" s="598"/>
      <c r="AE83" s="592"/>
      <c r="AF83" s="591"/>
      <c r="AG83" s="591"/>
      <c r="AH83" s="599"/>
      <c r="AI83" s="591"/>
      <c r="AJ83" s="600"/>
      <c r="AK83" s="591"/>
      <c r="AL83" s="601"/>
      <c r="AM83" s="602"/>
      <c r="AN83" s="600"/>
      <c r="AO83" s="600"/>
      <c r="AP83" s="601"/>
      <c r="AQ83" s="594"/>
      <c r="AR83" s="597"/>
      <c r="AS83" s="597"/>
      <c r="AT83" s="600"/>
      <c r="AU83" s="597"/>
      <c r="AV83" s="600"/>
      <c r="AW83" s="604"/>
      <c r="AX83" s="604"/>
      <c r="AY83" s="605"/>
      <c r="AZ83" s="600"/>
      <c r="BA83" s="597"/>
      <c r="BB83" s="597"/>
      <c r="BC83" s="629"/>
      <c r="BD83" s="630"/>
      <c r="BE83" s="631"/>
      <c r="BF83" s="631"/>
      <c r="BG83" s="632"/>
      <c r="BH83" s="591"/>
      <c r="BI83" s="603"/>
      <c r="BJ83" s="591"/>
      <c r="BK83" s="591"/>
      <c r="BL83" s="591"/>
      <c r="BN83" s="633"/>
    </row>
    <row customHeight="true" ht="13.333333333333332" r="84">
      <c r="A84" s="590">
        <v>46073</v>
      </c>
      <c r="B84" s="591" t="s">
        <v>1361</v>
      </c>
      <c r="C84" s="628"/>
      <c r="D84" s="591"/>
      <c r="E84" s="593"/>
      <c r="F84" s="594"/>
      <c r="G84" s="594"/>
      <c r="H84" s="591"/>
      <c r="I84" s="594"/>
      <c r="J84" s="596"/>
      <c r="K84" s="591"/>
      <c r="L84" s="591"/>
      <c r="M84" s="591"/>
      <c r="N84" s="594"/>
      <c r="O84" s="597"/>
      <c r="P84" s="597"/>
      <c r="Q84" s="591"/>
      <c r="R84" s="591"/>
      <c r="S84" s="591"/>
      <c r="T84" s="591"/>
      <c r="U84" s="591"/>
      <c r="V84" s="594"/>
      <c r="W84" s="591"/>
      <c r="X84" s="596"/>
      <c r="Y84" s="591"/>
      <c r="Z84" s="591"/>
      <c r="AA84" s="591"/>
      <c r="AB84" s="591"/>
      <c r="AC84" s="591"/>
      <c r="AD84" s="598"/>
      <c r="AE84" s="592"/>
      <c r="AF84" s="591"/>
      <c r="AG84" s="591"/>
      <c r="AH84" s="599"/>
      <c r="AI84" s="591"/>
      <c r="AJ84" s="600"/>
      <c r="AK84" s="591"/>
      <c r="AL84" s="601"/>
      <c r="AM84" s="602"/>
      <c r="AN84" s="600"/>
      <c r="AO84" s="600"/>
      <c r="AP84" s="601"/>
      <c r="AQ84" s="594"/>
      <c r="AR84" s="597"/>
      <c r="AS84" s="597"/>
      <c r="AT84" s="600"/>
      <c r="AU84" s="597"/>
      <c r="AV84" s="600"/>
      <c r="AW84" s="604"/>
      <c r="AX84" s="604"/>
      <c r="AY84" s="605"/>
      <c r="AZ84" s="600"/>
      <c r="BA84" s="597"/>
      <c r="BB84" s="597"/>
      <c r="BC84" s="629"/>
      <c r="BD84" s="630"/>
      <c r="BE84" s="631"/>
      <c r="BF84" s="631"/>
      <c r="BG84" s="632"/>
      <c r="BH84" s="591"/>
      <c r="BI84" s="603"/>
      <c r="BJ84" s="591"/>
      <c r="BK84" s="591"/>
      <c r="BL84" s="591"/>
      <c r="BN84" s="633"/>
    </row>
    <row customHeight="true" ht="13.333333333333332" r="85">
      <c r="A85" s="590">
        <v>46074</v>
      </c>
      <c r="B85" s="591" t="s">
        <v>1362</v>
      </c>
      <c r="C85" s="628"/>
      <c r="D85" s="591"/>
      <c r="E85" s="593"/>
      <c r="F85" s="594"/>
      <c r="G85" s="594"/>
      <c r="H85" s="591"/>
      <c r="I85" s="594"/>
      <c r="J85" s="596"/>
      <c r="K85" s="591"/>
      <c r="L85" s="591"/>
      <c r="M85" s="591"/>
      <c r="N85" s="594"/>
      <c r="O85" s="597"/>
      <c r="P85" s="597"/>
      <c r="Q85" s="591"/>
      <c r="R85" s="591"/>
      <c r="S85" s="591"/>
      <c r="T85" s="591"/>
      <c r="U85" s="591"/>
      <c r="V85" s="594"/>
      <c r="W85" s="591"/>
      <c r="X85" s="596"/>
      <c r="Y85" s="591"/>
      <c r="Z85" s="591"/>
      <c r="AA85" s="591"/>
      <c r="AB85" s="591"/>
      <c r="AC85" s="591"/>
      <c r="AD85" s="598"/>
      <c r="AE85" s="592"/>
      <c r="AF85" s="591"/>
      <c r="AG85" s="591"/>
      <c r="AH85" s="599"/>
      <c r="AI85" s="591"/>
      <c r="AJ85" s="600"/>
      <c r="AK85" s="591"/>
      <c r="AL85" s="601"/>
      <c r="AM85" s="602"/>
      <c r="AN85" s="600"/>
      <c r="AO85" s="600"/>
      <c r="AP85" s="601"/>
      <c r="AQ85" s="594"/>
      <c r="AR85" s="597"/>
      <c r="AS85" s="597"/>
      <c r="AT85" s="600"/>
      <c r="AU85" s="597"/>
      <c r="AV85" s="600"/>
      <c r="AW85" s="604"/>
      <c r="AX85" s="604"/>
      <c r="AY85" s="605"/>
      <c r="AZ85" s="600"/>
      <c r="BA85" s="597"/>
      <c r="BB85" s="597"/>
      <c r="BC85" s="629"/>
      <c r="BD85" s="630"/>
      <c r="BE85" s="631"/>
      <c r="BF85" s="631"/>
      <c r="BG85" s="632"/>
      <c r="BH85" s="591"/>
      <c r="BI85" s="603"/>
      <c r="BJ85" s="591"/>
      <c r="BK85" s="591"/>
      <c r="BL85" s="591"/>
      <c r="BN85" s="633"/>
    </row>
    <row customHeight="true" ht="13.333333333333332" r="86">
      <c r="A86" s="590">
        <v>46075</v>
      </c>
      <c r="B86" s="591" t="s">
        <v>1363</v>
      </c>
      <c r="C86" s="628"/>
      <c r="D86" s="591"/>
      <c r="E86" s="593"/>
      <c r="F86" s="594"/>
      <c r="G86" s="594"/>
      <c r="H86" s="591"/>
      <c r="I86" s="594"/>
      <c r="J86" s="596"/>
      <c r="K86" s="591"/>
      <c r="L86" s="591"/>
      <c r="M86" s="591"/>
      <c r="N86" s="594"/>
      <c r="O86" s="597"/>
      <c r="P86" s="597"/>
      <c r="Q86" s="591"/>
      <c r="R86" s="591"/>
      <c r="S86" s="591"/>
      <c r="T86" s="591"/>
      <c r="U86" s="591"/>
      <c r="V86" s="594"/>
      <c r="W86" s="591"/>
      <c r="X86" s="596"/>
      <c r="Y86" s="591"/>
      <c r="Z86" s="591"/>
      <c r="AA86" s="591"/>
      <c r="AB86" s="591"/>
      <c r="AC86" s="591"/>
      <c r="AD86" s="598"/>
      <c r="AE86" s="592"/>
      <c r="AF86" s="591"/>
      <c r="AG86" s="591"/>
      <c r="AH86" s="599"/>
      <c r="AI86" s="591"/>
      <c r="AJ86" s="600"/>
      <c r="AK86" s="591"/>
      <c r="AL86" s="601"/>
      <c r="AM86" s="602"/>
      <c r="AN86" s="600"/>
      <c r="AO86" s="600"/>
      <c r="AP86" s="601"/>
      <c r="AQ86" s="594"/>
      <c r="AR86" s="597"/>
      <c r="AS86" s="597"/>
      <c r="AT86" s="600"/>
      <c r="AU86" s="597"/>
      <c r="AV86" s="600"/>
      <c r="AW86" s="604"/>
      <c r="AX86" s="604"/>
      <c r="AY86" s="605"/>
      <c r="AZ86" s="600"/>
      <c r="BA86" s="597"/>
      <c r="BB86" s="597"/>
      <c r="BC86" s="629"/>
      <c r="BD86" s="630"/>
      <c r="BE86" s="631"/>
      <c r="BF86" s="631"/>
      <c r="BG86" s="632"/>
      <c r="BH86" s="591"/>
      <c r="BI86" s="603"/>
      <c r="BJ86" s="591"/>
      <c r="BK86" s="591"/>
      <c r="BL86" s="591"/>
      <c r="BN86" s="633"/>
    </row>
    <row customHeight="true" ht="13.333333333333332" r="87">
      <c r="A87" s="590">
        <v>46076</v>
      </c>
      <c r="B87" s="591" t="s">
        <v>1356</v>
      </c>
      <c r="C87" s="628"/>
      <c r="D87" s="591"/>
      <c r="E87" s="593"/>
      <c r="F87" s="594"/>
      <c r="G87" s="594"/>
      <c r="H87" s="591"/>
      <c r="I87" s="594"/>
      <c r="J87" s="596"/>
      <c r="K87" s="591"/>
      <c r="L87" s="591"/>
      <c r="M87" s="591"/>
      <c r="N87" s="594"/>
      <c r="O87" s="597"/>
      <c r="P87" s="597"/>
      <c r="Q87" s="591"/>
      <c r="R87" s="591"/>
      <c r="S87" s="591"/>
      <c r="T87" s="591"/>
      <c r="U87" s="591"/>
      <c r="V87" s="594"/>
      <c r="W87" s="591"/>
      <c r="X87" s="596"/>
      <c r="Y87" s="591"/>
      <c r="Z87" s="591"/>
      <c r="AA87" s="591"/>
      <c r="AB87" s="591"/>
      <c r="AC87" s="591"/>
      <c r="AD87" s="598"/>
      <c r="AE87" s="592"/>
      <c r="AF87" s="591"/>
      <c r="AG87" s="591"/>
      <c r="AH87" s="599"/>
      <c r="AI87" s="591"/>
      <c r="AJ87" s="600"/>
      <c r="AK87" s="591"/>
      <c r="AL87" s="601"/>
      <c r="AM87" s="602"/>
      <c r="AN87" s="600"/>
      <c r="AO87" s="600"/>
      <c r="AP87" s="601"/>
      <c r="AQ87" s="594"/>
      <c r="AR87" s="597"/>
      <c r="AS87" s="597"/>
      <c r="AT87" s="600"/>
      <c r="AU87" s="597"/>
      <c r="AV87" s="600"/>
      <c r="AW87" s="604"/>
      <c r="AX87" s="604"/>
      <c r="AY87" s="605"/>
      <c r="AZ87" s="600"/>
      <c r="BA87" s="597"/>
      <c r="BB87" s="597"/>
      <c r="BC87" s="629"/>
      <c r="BD87" s="630"/>
      <c r="BE87" s="631"/>
      <c r="BF87" s="631"/>
      <c r="BG87" s="632"/>
      <c r="BH87" s="591"/>
      <c r="BI87" s="603"/>
      <c r="BJ87" s="591"/>
      <c r="BK87" s="591"/>
      <c r="BL87" s="591"/>
      <c r="BN87" s="633"/>
    </row>
    <row customHeight="true" ht="13.333333333333332" r="88">
      <c r="A88" s="590">
        <v>46077</v>
      </c>
      <c r="B88" s="591" t="s">
        <v>1358</v>
      </c>
      <c r="C88" s="628"/>
      <c r="D88" s="591"/>
      <c r="E88" s="593"/>
      <c r="F88" s="594"/>
      <c r="G88" s="594"/>
      <c r="H88" s="591"/>
      <c r="I88" s="594"/>
      <c r="J88" s="596"/>
      <c r="K88" s="591"/>
      <c r="L88" s="591"/>
      <c r="M88" s="591"/>
      <c r="N88" s="594"/>
      <c r="O88" s="597"/>
      <c r="P88" s="597"/>
      <c r="Q88" s="591"/>
      <c r="R88" s="591"/>
      <c r="S88" s="591"/>
      <c r="T88" s="591"/>
      <c r="U88" s="591"/>
      <c r="V88" s="594"/>
      <c r="W88" s="591"/>
      <c r="X88" s="596"/>
      <c r="Y88" s="591"/>
      <c r="Z88" s="591"/>
      <c r="AA88" s="591"/>
      <c r="AB88" s="591"/>
      <c r="AC88" s="591"/>
      <c r="AD88" s="598"/>
      <c r="AE88" s="592"/>
      <c r="AF88" s="591"/>
      <c r="AG88" s="591"/>
      <c r="AH88" s="599"/>
      <c r="AI88" s="591"/>
      <c r="AJ88" s="600"/>
      <c r="AK88" s="591"/>
      <c r="AL88" s="601"/>
      <c r="AM88" s="602"/>
      <c r="AN88" s="600"/>
      <c r="AO88" s="600"/>
      <c r="AP88" s="601"/>
      <c r="AQ88" s="594"/>
      <c r="AR88" s="597"/>
      <c r="AS88" s="597"/>
      <c r="AT88" s="600"/>
      <c r="AU88" s="597"/>
      <c r="AV88" s="600"/>
      <c r="AW88" s="604"/>
      <c r="AX88" s="604"/>
      <c r="AY88" s="605"/>
      <c r="AZ88" s="600"/>
      <c r="BA88" s="597"/>
      <c r="BB88" s="597"/>
      <c r="BC88" s="629"/>
      <c r="BD88" s="630"/>
      <c r="BE88" s="631"/>
      <c r="BF88" s="631"/>
      <c r="BG88" s="632"/>
      <c r="BH88" s="591"/>
      <c r="BI88" s="603"/>
      <c r="BJ88" s="591"/>
      <c r="BK88" s="591"/>
      <c r="BL88" s="591"/>
      <c r="BN88" s="633"/>
    </row>
    <row customHeight="true" ht="13.333333333333332" r="89">
      <c r="A89" s="590">
        <v>46078</v>
      </c>
      <c r="B89" s="591" t="s">
        <v>1359</v>
      </c>
      <c r="C89" s="628"/>
      <c r="D89" s="591"/>
      <c r="E89" s="593"/>
      <c r="F89" s="594"/>
      <c r="G89" s="594"/>
      <c r="H89" s="591"/>
      <c r="I89" s="594"/>
      <c r="J89" s="596"/>
      <c r="K89" s="591"/>
      <c r="L89" s="591"/>
      <c r="M89" s="591"/>
      <c r="N89" s="594"/>
      <c r="O89" s="597"/>
      <c r="P89" s="597"/>
      <c r="Q89" s="591"/>
      <c r="R89" s="591"/>
      <c r="S89" s="591"/>
      <c r="T89" s="591"/>
      <c r="U89" s="591"/>
      <c r="V89" s="594"/>
      <c r="W89" s="591"/>
      <c r="X89" s="596"/>
      <c r="Y89" s="591"/>
      <c r="Z89" s="591"/>
      <c r="AA89" s="591"/>
      <c r="AB89" s="591"/>
      <c r="AC89" s="591"/>
      <c r="AD89" s="598"/>
      <c r="AE89" s="592"/>
      <c r="AF89" s="591"/>
      <c r="AG89" s="591"/>
      <c r="AH89" s="599"/>
      <c r="AI89" s="591"/>
      <c r="AJ89" s="600"/>
      <c r="AK89" s="591"/>
      <c r="AL89" s="601"/>
      <c r="AM89" s="602"/>
      <c r="AN89" s="600"/>
      <c r="AO89" s="600"/>
      <c r="AP89" s="601"/>
      <c r="AQ89" s="594"/>
      <c r="AR89" s="597"/>
      <c r="AS89" s="597"/>
      <c r="AT89" s="600"/>
      <c r="AU89" s="597"/>
      <c r="AV89" s="600"/>
      <c r="AW89" s="604"/>
      <c r="AX89" s="604"/>
      <c r="AY89" s="605"/>
      <c r="AZ89" s="600"/>
      <c r="BA89" s="597"/>
      <c r="BB89" s="597"/>
      <c r="BC89" s="629"/>
      <c r="BD89" s="630"/>
      <c r="BE89" s="631"/>
      <c r="BF89" s="631"/>
      <c r="BG89" s="632"/>
      <c r="BH89" s="591"/>
      <c r="BI89" s="603"/>
      <c r="BJ89" s="591"/>
      <c r="BK89" s="591"/>
      <c r="BL89" s="591"/>
      <c r="BN89" s="633"/>
    </row>
    <row customHeight="true" ht="13.333333333333332" r="90">
      <c r="A90" s="590">
        <v>46079</v>
      </c>
      <c r="B90" s="591" t="s">
        <v>1360</v>
      </c>
      <c r="C90" s="628"/>
      <c r="D90" s="591"/>
      <c r="E90" s="593"/>
      <c r="F90" s="594"/>
      <c r="G90" s="594"/>
      <c r="H90" s="591"/>
      <c r="I90" s="594"/>
      <c r="J90" s="596"/>
      <c r="K90" s="591"/>
      <c r="L90" s="591"/>
      <c r="M90" s="591"/>
      <c r="N90" s="594"/>
      <c r="O90" s="597"/>
      <c r="P90" s="597"/>
      <c r="Q90" s="591"/>
      <c r="R90" s="591"/>
      <c r="S90" s="591"/>
      <c r="T90" s="591"/>
      <c r="U90" s="591"/>
      <c r="V90" s="594"/>
      <c r="W90" s="591"/>
      <c r="X90" s="596"/>
      <c r="Y90" s="591"/>
      <c r="Z90" s="591"/>
      <c r="AA90" s="591"/>
      <c r="AB90" s="591"/>
      <c r="AC90" s="591"/>
      <c r="AD90" s="598"/>
      <c r="AE90" s="592"/>
      <c r="AF90" s="591"/>
      <c r="AG90" s="591"/>
      <c r="AH90" s="599"/>
      <c r="AI90" s="591"/>
      <c r="AJ90" s="600"/>
      <c r="AK90" s="591"/>
      <c r="AL90" s="601"/>
      <c r="AM90" s="602"/>
      <c r="AN90" s="600"/>
      <c r="AO90" s="600"/>
      <c r="AP90" s="601"/>
      <c r="AQ90" s="594"/>
      <c r="AR90" s="597"/>
      <c r="AS90" s="597"/>
      <c r="AT90" s="600"/>
      <c r="AU90" s="597"/>
      <c r="AV90" s="600"/>
      <c r="AW90" s="604"/>
      <c r="AX90" s="604"/>
      <c r="AY90" s="605"/>
      <c r="AZ90" s="600"/>
      <c r="BA90" s="597"/>
      <c r="BB90" s="597"/>
      <c r="BC90" s="629"/>
      <c r="BD90" s="630"/>
      <c r="BE90" s="631"/>
      <c r="BF90" s="631"/>
      <c r="BG90" s="632"/>
      <c r="BH90" s="591"/>
      <c r="BI90" s="603"/>
      <c r="BJ90" s="591"/>
      <c r="BK90" s="591"/>
      <c r="BL90" s="591"/>
      <c r="BN90" s="633"/>
    </row>
    <row customHeight="true" ht="13.333333333333332" r="91">
      <c r="A91" s="590">
        <v>46080</v>
      </c>
      <c r="B91" s="591" t="s">
        <v>1361</v>
      </c>
      <c r="C91" s="628"/>
      <c r="D91" s="591"/>
      <c r="E91" s="593"/>
      <c r="F91" s="594"/>
      <c r="G91" s="594"/>
      <c r="H91" s="591"/>
      <c r="I91" s="594"/>
      <c r="J91" s="596"/>
      <c r="K91" s="591"/>
      <c r="L91" s="591"/>
      <c r="M91" s="591"/>
      <c r="N91" s="594"/>
      <c r="O91" s="597"/>
      <c r="P91" s="597"/>
      <c r="Q91" s="591"/>
      <c r="R91" s="591"/>
      <c r="S91" s="591"/>
      <c r="T91" s="591"/>
      <c r="U91" s="591"/>
      <c r="V91" s="594"/>
      <c r="W91" s="591"/>
      <c r="X91" s="596"/>
      <c r="Y91" s="591"/>
      <c r="Z91" s="591"/>
      <c r="AA91" s="591"/>
      <c r="AB91" s="591"/>
      <c r="AC91" s="591"/>
      <c r="AD91" s="598"/>
      <c r="AE91" s="592"/>
      <c r="AF91" s="591"/>
      <c r="AG91" s="591"/>
      <c r="AH91" s="599"/>
      <c r="AI91" s="591"/>
      <c r="AJ91" s="600"/>
      <c r="AK91" s="591"/>
      <c r="AL91" s="601"/>
      <c r="AM91" s="602"/>
      <c r="AN91" s="600"/>
      <c r="AO91" s="600"/>
      <c r="AP91" s="601"/>
      <c r="AQ91" s="594"/>
      <c r="AR91" s="597"/>
      <c r="AS91" s="597"/>
      <c r="AT91" s="600"/>
      <c r="AU91" s="597"/>
      <c r="AV91" s="600"/>
      <c r="AW91" s="604"/>
      <c r="AX91" s="604"/>
      <c r="AY91" s="605"/>
      <c r="AZ91" s="600"/>
      <c r="BA91" s="597"/>
      <c r="BB91" s="597"/>
      <c r="BC91" s="629"/>
      <c r="BD91" s="630"/>
      <c r="BE91" s="631"/>
      <c r="BF91" s="631"/>
      <c r="BG91" s="632"/>
      <c r="BH91" s="591"/>
      <c r="BI91" s="603"/>
      <c r="BJ91" s="591"/>
      <c r="BK91" s="591"/>
      <c r="BL91" s="591"/>
      <c r="BN91" s="633"/>
    </row>
    <row customHeight="true" ht="13.333333333333332" r="92">
      <c r="A92" s="590">
        <v>46081</v>
      </c>
      <c r="B92" s="591" t="s">
        <v>1362</v>
      </c>
      <c r="C92" s="628"/>
      <c r="D92" s="591"/>
      <c r="E92" s="593"/>
      <c r="F92" s="594"/>
      <c r="G92" s="594"/>
      <c r="H92" s="591"/>
      <c r="I92" s="594"/>
      <c r="J92" s="596"/>
      <c r="K92" s="591"/>
      <c r="L92" s="591"/>
      <c r="M92" s="591"/>
      <c r="N92" s="594"/>
      <c r="O92" s="597"/>
      <c r="P92" s="597"/>
      <c r="Q92" s="591"/>
      <c r="R92" s="591"/>
      <c r="S92" s="591"/>
      <c r="T92" s="591"/>
      <c r="U92" s="591"/>
      <c r="V92" s="594"/>
      <c r="W92" s="591"/>
      <c r="X92" s="596"/>
      <c r="Y92" s="591"/>
      <c r="Z92" s="591"/>
      <c r="AA92" s="591"/>
      <c r="AB92" s="591"/>
      <c r="AC92" s="591"/>
      <c r="AD92" s="598"/>
      <c r="AE92" s="592"/>
      <c r="AF92" s="591"/>
      <c r="AG92" s="591"/>
      <c r="AH92" s="599"/>
      <c r="AI92" s="591"/>
      <c r="AJ92" s="600"/>
      <c r="AK92" s="591"/>
      <c r="AL92" s="601"/>
      <c r="AM92" s="602"/>
      <c r="AN92" s="600"/>
      <c r="AO92" s="600"/>
      <c r="AP92" s="601"/>
      <c r="AQ92" s="594"/>
      <c r="AR92" s="597"/>
      <c r="AS92" s="597"/>
      <c r="AT92" s="600"/>
      <c r="AU92" s="597"/>
      <c r="AV92" s="600"/>
      <c r="AW92" s="604"/>
      <c r="AX92" s="604"/>
      <c r="AY92" s="605"/>
      <c r="AZ92" s="600"/>
      <c r="BA92" s="597"/>
      <c r="BB92" s="597"/>
      <c r="BC92" s="629"/>
      <c r="BD92" s="630"/>
      <c r="BE92" s="631"/>
      <c r="BF92" s="631"/>
      <c r="BG92" s="632"/>
      <c r="BH92" s="591"/>
      <c r="BI92" s="603"/>
      <c r="BJ92" s="591"/>
      <c r="BK92" s="591"/>
      <c r="BL92" s="591"/>
      <c r="BN92" s="633"/>
    </row>
    <row customHeight="true" ht="13.333333333333332" r="93">
      <c r="A93" s="590">
        <v>46082</v>
      </c>
      <c r="B93" s="591" t="s">
        <v>1363</v>
      </c>
      <c r="C93" s="628"/>
      <c r="D93" s="591"/>
      <c r="E93" s="593"/>
      <c r="F93" s="594"/>
      <c r="G93" s="594"/>
      <c r="H93" s="591"/>
      <c r="I93" s="594"/>
      <c r="J93" s="596"/>
      <c r="K93" s="591"/>
      <c r="L93" s="591"/>
      <c r="M93" s="591"/>
      <c r="N93" s="594"/>
      <c r="O93" s="597"/>
      <c r="P93" s="597"/>
      <c r="Q93" s="591"/>
      <c r="R93" s="591"/>
      <c r="S93" s="591"/>
      <c r="T93" s="591"/>
      <c r="U93" s="591"/>
      <c r="V93" s="594"/>
      <c r="W93" s="591"/>
      <c r="X93" s="596"/>
      <c r="Y93" s="591"/>
      <c r="Z93" s="591"/>
      <c r="AA93" s="591"/>
      <c r="AB93" s="591"/>
      <c r="AC93" s="591"/>
      <c r="AD93" s="598"/>
      <c r="AE93" s="592"/>
      <c r="AF93" s="591"/>
      <c r="AG93" s="591"/>
      <c r="AH93" s="599"/>
      <c r="AI93" s="591"/>
      <c r="AJ93" s="600"/>
      <c r="AK93" s="591"/>
      <c r="AL93" s="601"/>
      <c r="AM93" s="602"/>
      <c r="AN93" s="600"/>
      <c r="AO93" s="600"/>
      <c r="AP93" s="601"/>
      <c r="AQ93" s="594"/>
      <c r="AR93" s="597"/>
      <c r="AS93" s="597"/>
      <c r="AT93" s="600"/>
      <c r="AU93" s="597"/>
      <c r="AV93" s="600"/>
      <c r="AW93" s="604"/>
      <c r="AX93" s="604"/>
      <c r="AY93" s="605"/>
      <c r="AZ93" s="600"/>
      <c r="BA93" s="597"/>
      <c r="BB93" s="597"/>
      <c r="BC93" s="629"/>
      <c r="BD93" s="630"/>
      <c r="BE93" s="631"/>
      <c r="BF93" s="631"/>
      <c r="BG93" s="632"/>
      <c r="BH93" s="591"/>
      <c r="BI93" s="603"/>
      <c r="BJ93" s="591"/>
      <c r="BK93" s="591"/>
      <c r="BL93" s="591"/>
      <c r="BN93" s="633"/>
    </row>
    <row customHeight="true" ht="13.333333333333332" r="94">
      <c r="A94" s="590">
        <v>46083</v>
      </c>
      <c r="B94" s="591" t="s">
        <v>1356</v>
      </c>
      <c r="C94" s="628"/>
      <c r="D94" s="591"/>
      <c r="E94" s="593"/>
      <c r="F94" s="594"/>
      <c r="G94" s="594"/>
      <c r="H94" s="591"/>
      <c r="I94" s="594"/>
      <c r="J94" s="596"/>
      <c r="K94" s="591"/>
      <c r="L94" s="591"/>
      <c r="M94" s="591"/>
      <c r="N94" s="594"/>
      <c r="O94" s="597"/>
      <c r="P94" s="597"/>
      <c r="Q94" s="591"/>
      <c r="R94" s="591"/>
      <c r="S94" s="591"/>
      <c r="T94" s="591"/>
      <c r="U94" s="591"/>
      <c r="V94" s="594"/>
      <c r="W94" s="591"/>
      <c r="X94" s="596"/>
      <c r="Y94" s="591"/>
      <c r="Z94" s="591"/>
      <c r="AA94" s="591"/>
      <c r="AB94" s="591"/>
      <c r="AC94" s="591"/>
      <c r="AD94" s="598"/>
      <c r="AE94" s="592"/>
      <c r="AF94" s="591"/>
      <c r="AG94" s="591"/>
      <c r="AH94" s="599"/>
      <c r="AI94" s="591"/>
      <c r="AJ94" s="600"/>
      <c r="AK94" s="591"/>
      <c r="AL94" s="601"/>
      <c r="AM94" s="602"/>
      <c r="AN94" s="600"/>
      <c r="AO94" s="600"/>
      <c r="AP94" s="601"/>
      <c r="AQ94" s="594"/>
      <c r="AR94" s="597"/>
      <c r="AS94" s="597"/>
      <c r="AT94" s="600"/>
      <c r="AU94" s="597"/>
      <c r="AV94" s="600"/>
      <c r="AW94" s="604"/>
      <c r="AX94" s="604"/>
      <c r="AY94" s="605"/>
      <c r="AZ94" s="600"/>
      <c r="BA94" s="597"/>
      <c r="BB94" s="597"/>
      <c r="BC94" s="629"/>
      <c r="BD94" s="630"/>
      <c r="BE94" s="631"/>
      <c r="BF94" s="631"/>
      <c r="BG94" s="632"/>
      <c r="BH94" s="591"/>
      <c r="BI94" s="603"/>
      <c r="BJ94" s="591"/>
      <c r="BK94" s="591"/>
      <c r="BL94" s="591"/>
      <c r="BN94" s="633"/>
    </row>
    <row customHeight="true" ht="13.333333333333332" r="95">
      <c r="A95" s="590">
        <v>46084</v>
      </c>
      <c r="B95" s="591" t="s">
        <v>1358</v>
      </c>
      <c r="C95" s="628"/>
      <c r="D95" s="591"/>
      <c r="E95" s="593"/>
      <c r="F95" s="594"/>
      <c r="G95" s="594"/>
      <c r="H95" s="591"/>
      <c r="I95" s="594"/>
      <c r="J95" s="596"/>
      <c r="K95" s="591"/>
      <c r="L95" s="591"/>
      <c r="M95" s="591"/>
      <c r="N95" s="594"/>
      <c r="O95" s="597"/>
      <c r="P95" s="597"/>
      <c r="Q95" s="591"/>
      <c r="R95" s="591"/>
      <c r="S95" s="591"/>
      <c r="T95" s="591"/>
      <c r="U95" s="591"/>
      <c r="V95" s="594"/>
      <c r="W95" s="591"/>
      <c r="X95" s="596"/>
      <c r="Y95" s="591"/>
      <c r="Z95" s="591"/>
      <c r="AA95" s="591"/>
      <c r="AB95" s="591"/>
      <c r="AC95" s="591"/>
      <c r="AD95" s="598"/>
      <c r="AE95" s="592"/>
      <c r="AF95" s="591"/>
      <c r="AG95" s="591"/>
      <c r="AH95" s="599"/>
      <c r="AI95" s="591"/>
      <c r="AJ95" s="600"/>
      <c r="AK95" s="591"/>
      <c r="AL95" s="601"/>
      <c r="AM95" s="602"/>
      <c r="AN95" s="600"/>
      <c r="AO95" s="600"/>
      <c r="AP95" s="601"/>
      <c r="AQ95" s="594"/>
      <c r="AR95" s="597"/>
      <c r="AS95" s="597"/>
      <c r="AT95" s="600"/>
      <c r="AU95" s="597"/>
      <c r="AV95" s="600"/>
      <c r="AW95" s="604"/>
      <c r="AX95" s="604"/>
      <c r="AY95" s="605"/>
      <c r="AZ95" s="600"/>
      <c r="BA95" s="597"/>
      <c r="BB95" s="597"/>
      <c r="BC95" s="629"/>
      <c r="BD95" s="630"/>
      <c r="BE95" s="631"/>
      <c r="BF95" s="631"/>
      <c r="BG95" s="632"/>
      <c r="BH95" s="591"/>
      <c r="BI95" s="603"/>
      <c r="BJ95" s="591"/>
      <c r="BK95" s="591"/>
      <c r="BL95" s="591"/>
      <c r="BN95" s="633"/>
    </row>
    <row customHeight="true" ht="13.333333333333332" r="96">
      <c r="A96" s="590">
        <v>46085</v>
      </c>
      <c r="B96" s="591" t="s">
        <v>1359</v>
      </c>
      <c r="C96" s="628"/>
      <c r="D96" s="591"/>
      <c r="E96" s="593"/>
      <c r="F96" s="594"/>
      <c r="G96" s="594"/>
      <c r="H96" s="591"/>
      <c r="I96" s="594"/>
      <c r="J96" s="596"/>
      <c r="K96" s="591"/>
      <c r="L96" s="591"/>
      <c r="M96" s="591"/>
      <c r="N96" s="594"/>
      <c r="O96" s="597"/>
      <c r="P96" s="597"/>
      <c r="Q96" s="591"/>
      <c r="R96" s="591"/>
      <c r="S96" s="591"/>
      <c r="T96" s="591"/>
      <c r="U96" s="591"/>
      <c r="V96" s="594"/>
      <c r="W96" s="591"/>
      <c r="X96" s="596"/>
      <c r="Y96" s="591"/>
      <c r="Z96" s="591"/>
      <c r="AA96" s="591"/>
      <c r="AB96" s="591"/>
      <c r="AC96" s="591"/>
      <c r="AD96" s="598"/>
      <c r="AE96" s="592"/>
      <c r="AF96" s="591"/>
      <c r="AG96" s="591"/>
      <c r="AH96" s="599"/>
      <c r="AI96" s="591"/>
      <c r="AJ96" s="600"/>
      <c r="AK96" s="591"/>
      <c r="AL96" s="601"/>
      <c r="AM96" s="602"/>
      <c r="AN96" s="600"/>
      <c r="AO96" s="600"/>
      <c r="AP96" s="601"/>
      <c r="AQ96" s="594"/>
      <c r="AR96" s="597"/>
      <c r="AS96" s="597"/>
      <c r="AT96" s="600"/>
      <c r="AU96" s="597"/>
      <c r="AV96" s="600"/>
      <c r="AW96" s="604"/>
      <c r="AX96" s="604"/>
      <c r="AY96" s="605"/>
      <c r="AZ96" s="600"/>
      <c r="BA96" s="597"/>
      <c r="BB96" s="597"/>
      <c r="BC96" s="629"/>
      <c r="BD96" s="630"/>
      <c r="BE96" s="631"/>
      <c r="BF96" s="631"/>
      <c r="BG96" s="632"/>
      <c r="BH96" s="591"/>
      <c r="BI96" s="603"/>
      <c r="BJ96" s="591"/>
      <c r="BK96" s="591"/>
      <c r="BL96" s="591"/>
      <c r="BN96" s="633"/>
    </row>
    <row customHeight="true" ht="13.333333333333332" r="97">
      <c r="A97" s="590">
        <v>46086</v>
      </c>
      <c r="B97" s="591" t="s">
        <v>1360</v>
      </c>
      <c r="C97" s="628"/>
      <c r="D97" s="591"/>
      <c r="E97" s="593"/>
      <c r="F97" s="594"/>
      <c r="G97" s="594"/>
      <c r="H97" s="591"/>
      <c r="I97" s="594"/>
      <c r="J97" s="596"/>
      <c r="K97" s="591"/>
      <c r="L97" s="591"/>
      <c r="M97" s="591"/>
      <c r="N97" s="594"/>
      <c r="O97" s="597"/>
      <c r="P97" s="597"/>
      <c r="Q97" s="591"/>
      <c r="R97" s="591"/>
      <c r="S97" s="591"/>
      <c r="T97" s="591"/>
      <c r="U97" s="591"/>
      <c r="V97" s="594"/>
      <c r="W97" s="591"/>
      <c r="X97" s="596"/>
      <c r="Y97" s="591"/>
      <c r="Z97" s="591"/>
      <c r="AA97" s="591"/>
      <c r="AB97" s="591"/>
      <c r="AC97" s="591"/>
      <c r="AD97" s="598"/>
      <c r="AE97" s="592"/>
      <c r="AF97" s="591"/>
      <c r="AG97" s="591"/>
      <c r="AH97" s="599"/>
      <c r="AI97" s="591"/>
      <c r="AJ97" s="600"/>
      <c r="AK97" s="591"/>
      <c r="AL97" s="601"/>
      <c r="AM97" s="602"/>
      <c r="AN97" s="600"/>
      <c r="AO97" s="600"/>
      <c r="AP97" s="601"/>
      <c r="AQ97" s="594"/>
      <c r="AR97" s="597"/>
      <c r="AS97" s="597"/>
      <c r="AT97" s="600"/>
      <c r="AU97" s="597"/>
      <c r="AV97" s="600"/>
      <c r="AW97" s="604"/>
      <c r="AX97" s="604"/>
      <c r="AY97" s="605"/>
      <c r="AZ97" s="600"/>
      <c r="BA97" s="597"/>
      <c r="BB97" s="597"/>
      <c r="BC97" s="629"/>
      <c r="BD97" s="630"/>
      <c r="BE97" s="631"/>
      <c r="BF97" s="631"/>
      <c r="BG97" s="632"/>
      <c r="BH97" s="591"/>
      <c r="BI97" s="603"/>
      <c r="BJ97" s="591"/>
      <c r="BK97" s="591"/>
      <c r="BL97" s="591"/>
      <c r="BN97" s="633"/>
    </row>
    <row customHeight="true" ht="13.333333333333332" r="98">
      <c r="A98" s="590">
        <v>46087</v>
      </c>
      <c r="B98" s="591" t="s">
        <v>1361</v>
      </c>
      <c r="C98" s="628"/>
      <c r="D98" s="591"/>
      <c r="E98" s="593"/>
      <c r="F98" s="594"/>
      <c r="G98" s="594"/>
      <c r="H98" s="591"/>
      <c r="I98" s="594"/>
      <c r="J98" s="596"/>
      <c r="K98" s="591"/>
      <c r="L98" s="591"/>
      <c r="M98" s="591"/>
      <c r="N98" s="594"/>
      <c r="O98" s="597"/>
      <c r="P98" s="597"/>
      <c r="Q98" s="591"/>
      <c r="R98" s="591"/>
      <c r="S98" s="591"/>
      <c r="T98" s="591"/>
      <c r="U98" s="591"/>
      <c r="V98" s="594"/>
      <c r="W98" s="591"/>
      <c r="X98" s="596"/>
      <c r="Y98" s="591"/>
      <c r="Z98" s="591"/>
      <c r="AA98" s="591"/>
      <c r="AB98" s="591"/>
      <c r="AC98" s="591"/>
      <c r="AD98" s="598"/>
      <c r="AE98" s="592"/>
      <c r="AF98" s="591"/>
      <c r="AG98" s="591"/>
      <c r="AH98" s="599"/>
      <c r="AI98" s="591"/>
      <c r="AJ98" s="600"/>
      <c r="AK98" s="591"/>
      <c r="AL98" s="601"/>
      <c r="AM98" s="602"/>
      <c r="AN98" s="600"/>
      <c r="AO98" s="600"/>
      <c r="AP98" s="601"/>
      <c r="AQ98" s="594"/>
      <c r="AR98" s="597"/>
      <c r="AS98" s="597"/>
      <c r="AT98" s="600"/>
      <c r="AU98" s="597"/>
      <c r="AV98" s="600"/>
      <c r="AW98" s="604"/>
      <c r="AX98" s="604"/>
      <c r="AY98" s="605"/>
      <c r="AZ98" s="600"/>
      <c r="BA98" s="597"/>
      <c r="BB98" s="597"/>
      <c r="BC98" s="629"/>
      <c r="BD98" s="630"/>
      <c r="BE98" s="631"/>
      <c r="BF98" s="631"/>
      <c r="BG98" s="632"/>
      <c r="BH98" s="591"/>
      <c r="BI98" s="603"/>
      <c r="BJ98" s="591"/>
      <c r="BK98" s="591"/>
      <c r="BL98" s="591"/>
      <c r="BN98" s="633"/>
    </row>
    <row customHeight="true" ht="13.333333333333332" r="99">
      <c r="A99" s="590">
        <v>46088</v>
      </c>
      <c r="B99" s="591" t="s">
        <v>1362</v>
      </c>
      <c r="C99" s="628"/>
      <c r="D99" s="591"/>
      <c r="E99" s="593"/>
      <c r="F99" s="594"/>
      <c r="G99" s="594"/>
      <c r="H99" s="591"/>
      <c r="I99" s="594"/>
      <c r="J99" s="596"/>
      <c r="K99" s="591"/>
      <c r="L99" s="591"/>
      <c r="M99" s="591"/>
      <c r="N99" s="594"/>
      <c r="O99" s="597"/>
      <c r="P99" s="597"/>
      <c r="Q99" s="591"/>
      <c r="R99" s="591"/>
      <c r="S99" s="591"/>
      <c r="T99" s="591"/>
      <c r="U99" s="591"/>
      <c r="V99" s="594"/>
      <c r="W99" s="591"/>
      <c r="X99" s="596"/>
      <c r="Y99" s="591"/>
      <c r="Z99" s="591"/>
      <c r="AA99" s="591"/>
      <c r="AB99" s="591"/>
      <c r="AC99" s="591"/>
      <c r="AD99" s="598"/>
      <c r="AE99" s="592"/>
      <c r="AF99" s="591"/>
      <c r="AG99" s="591"/>
      <c r="AH99" s="599"/>
      <c r="AI99" s="591"/>
      <c r="AJ99" s="600"/>
      <c r="AK99" s="591"/>
      <c r="AL99" s="601"/>
      <c r="AM99" s="602"/>
      <c r="AN99" s="600"/>
      <c r="AO99" s="600"/>
      <c r="AP99" s="601"/>
      <c r="AQ99" s="594"/>
      <c r="AR99" s="597"/>
      <c r="AS99" s="597"/>
      <c r="AT99" s="600"/>
      <c r="AU99" s="597"/>
      <c r="AV99" s="600"/>
      <c r="AW99" s="604"/>
      <c r="AX99" s="604"/>
      <c r="AY99" s="605"/>
      <c r="AZ99" s="600"/>
      <c r="BA99" s="597"/>
      <c r="BB99" s="597"/>
      <c r="BC99" s="629"/>
      <c r="BD99" s="630"/>
      <c r="BE99" s="631"/>
      <c r="BF99" s="631"/>
      <c r="BG99" s="632"/>
      <c r="BH99" s="591"/>
      <c r="BI99" s="603"/>
      <c r="BJ99" s="591"/>
      <c r="BK99" s="591"/>
      <c r="BL99" s="591"/>
      <c r="BN99" s="633"/>
    </row>
    <row customHeight="true" ht="13.333333333333332" r="100">
      <c r="A100" s="590">
        <v>46089</v>
      </c>
      <c r="B100" s="591" t="s">
        <v>1363</v>
      </c>
      <c r="C100" s="628"/>
      <c r="D100" s="591"/>
      <c r="E100" s="593"/>
      <c r="F100" s="594"/>
      <c r="G100" s="594"/>
      <c r="H100" s="591"/>
      <c r="I100" s="594"/>
      <c r="J100" s="596"/>
      <c r="K100" s="591"/>
      <c r="L100" s="591"/>
      <c r="M100" s="591"/>
      <c r="N100" s="594"/>
      <c r="O100" s="597"/>
      <c r="P100" s="597"/>
      <c r="Q100" s="591"/>
      <c r="R100" s="591"/>
      <c r="S100" s="591"/>
      <c r="T100" s="591"/>
      <c r="U100" s="591"/>
      <c r="V100" s="594"/>
      <c r="W100" s="591"/>
      <c r="X100" s="596"/>
      <c r="Y100" s="591"/>
      <c r="Z100" s="591"/>
      <c r="AA100" s="591"/>
      <c r="AB100" s="591"/>
      <c r="AC100" s="591"/>
      <c r="AD100" s="598"/>
      <c r="AE100" s="592"/>
      <c r="AF100" s="591"/>
      <c r="AG100" s="591"/>
      <c r="AH100" s="599"/>
      <c r="AI100" s="591"/>
      <c r="AJ100" s="600"/>
      <c r="AK100" s="591"/>
      <c r="AL100" s="601"/>
      <c r="AM100" s="602"/>
      <c r="AN100" s="600"/>
      <c r="AO100" s="600"/>
      <c r="AP100" s="601"/>
      <c r="AQ100" s="594"/>
      <c r="AR100" s="597"/>
      <c r="AS100" s="597"/>
      <c r="AT100" s="600"/>
      <c r="AU100" s="597"/>
      <c r="AV100" s="600"/>
      <c r="AW100" s="604"/>
      <c r="AX100" s="604"/>
      <c r="AY100" s="605"/>
      <c r="AZ100" s="600"/>
      <c r="BA100" s="597"/>
      <c r="BB100" s="597"/>
      <c r="BC100" s="629"/>
      <c r="BD100" s="630"/>
      <c r="BE100" s="631"/>
      <c r="BF100" s="631"/>
      <c r="BG100" s="632"/>
      <c r="BH100" s="591"/>
      <c r="BI100" s="603"/>
      <c r="BJ100" s="591"/>
      <c r="BK100" s="591"/>
      <c r="BL100" s="591"/>
      <c r="BN100" s="633"/>
    </row>
    <row customHeight="true" ht="13.333333333333332" r="101">
      <c r="A101" s="590">
        <v>46090</v>
      </c>
      <c r="B101" s="591" t="s">
        <v>1356</v>
      </c>
      <c r="C101" s="628"/>
      <c r="D101" s="591"/>
      <c r="E101" s="593"/>
      <c r="F101" s="594"/>
      <c r="G101" s="594"/>
      <c r="H101" s="591"/>
      <c r="I101" s="594"/>
      <c r="J101" s="596"/>
      <c r="K101" s="591"/>
      <c r="L101" s="591"/>
      <c r="M101" s="591"/>
      <c r="N101" s="594"/>
      <c r="O101" s="597"/>
      <c r="P101" s="597"/>
      <c r="Q101" s="591"/>
      <c r="R101" s="591"/>
      <c r="S101" s="591"/>
      <c r="T101" s="591"/>
      <c r="U101" s="591"/>
      <c r="V101" s="594"/>
      <c r="W101" s="591"/>
      <c r="X101" s="596"/>
      <c r="Y101" s="591"/>
      <c r="Z101" s="591"/>
      <c r="AA101" s="591"/>
      <c r="AB101" s="591"/>
      <c r="AC101" s="591"/>
      <c r="AD101" s="598"/>
      <c r="AE101" s="592"/>
      <c r="AF101" s="591"/>
      <c r="AG101" s="591"/>
      <c r="AH101" s="599"/>
      <c r="AI101" s="591"/>
      <c r="AJ101" s="600"/>
      <c r="AK101" s="591"/>
      <c r="AL101" s="601"/>
      <c r="AM101" s="602"/>
      <c r="AN101" s="600"/>
      <c r="AO101" s="600"/>
      <c r="AP101" s="601"/>
      <c r="AQ101" s="594"/>
      <c r="AR101" s="597"/>
      <c r="AS101" s="597"/>
      <c r="AT101" s="600"/>
      <c r="AU101" s="597"/>
      <c r="AV101" s="600"/>
      <c r="AW101" s="604"/>
      <c r="AX101" s="604"/>
      <c r="AY101" s="605"/>
      <c r="AZ101" s="600"/>
      <c r="BA101" s="597"/>
      <c r="BB101" s="597"/>
      <c r="BC101" s="629"/>
      <c r="BD101" s="630"/>
      <c r="BE101" s="631"/>
      <c r="BF101" s="631"/>
      <c r="BG101" s="632"/>
      <c r="BH101" s="591"/>
      <c r="BI101" s="603"/>
      <c r="BJ101" s="591"/>
      <c r="BK101" s="591"/>
      <c r="BL101" s="591"/>
      <c r="BN101" s="633"/>
    </row>
    <row customHeight="true" ht="13.333333333333332" r="102">
      <c r="A102" s="590">
        <v>46091</v>
      </c>
      <c r="B102" s="591" t="s">
        <v>1358</v>
      </c>
      <c r="C102" s="628"/>
      <c r="D102" s="591"/>
      <c r="E102" s="593"/>
      <c r="F102" s="594"/>
      <c r="G102" s="594"/>
      <c r="H102" s="591"/>
      <c r="I102" s="594"/>
      <c r="J102" s="596"/>
      <c r="K102" s="591"/>
      <c r="L102" s="591"/>
      <c r="M102" s="591"/>
      <c r="N102" s="594"/>
      <c r="O102" s="597"/>
      <c r="P102" s="597"/>
      <c r="Q102" s="591"/>
      <c r="R102" s="591"/>
      <c r="S102" s="591"/>
      <c r="T102" s="591"/>
      <c r="U102" s="591"/>
      <c r="V102" s="594"/>
      <c r="W102" s="591"/>
      <c r="X102" s="596"/>
      <c r="Y102" s="591"/>
      <c r="Z102" s="591"/>
      <c r="AA102" s="591"/>
      <c r="AB102" s="591"/>
      <c r="AC102" s="591"/>
      <c r="AD102" s="598"/>
      <c r="AE102" s="592"/>
      <c r="AF102" s="591"/>
      <c r="AG102" s="591"/>
      <c r="AH102" s="599"/>
      <c r="AI102" s="591"/>
      <c r="AJ102" s="600"/>
      <c r="AK102" s="591"/>
      <c r="AL102" s="601"/>
      <c r="AM102" s="602"/>
      <c r="AN102" s="600"/>
      <c r="AO102" s="600"/>
      <c r="AP102" s="601"/>
      <c r="AQ102" s="594"/>
      <c r="AR102" s="597"/>
      <c r="AS102" s="597"/>
      <c r="AT102" s="600"/>
      <c r="AU102" s="597"/>
      <c r="AV102" s="600"/>
      <c r="AW102" s="604"/>
      <c r="AX102" s="604"/>
      <c r="AY102" s="605"/>
      <c r="AZ102" s="600"/>
      <c r="BA102" s="597"/>
      <c r="BB102" s="597"/>
      <c r="BC102" s="629"/>
      <c r="BD102" s="630"/>
      <c r="BE102" s="631"/>
      <c r="BF102" s="631"/>
      <c r="BG102" s="632"/>
      <c r="BH102" s="591"/>
      <c r="BI102" s="603"/>
      <c r="BJ102" s="591"/>
      <c r="BK102" s="591"/>
      <c r="BL102" s="591"/>
      <c r="BN102" s="633"/>
    </row>
    <row customHeight="true" ht="13.333333333333332" r="103">
      <c r="A103" s="590">
        <v>46092</v>
      </c>
      <c r="B103" s="591" t="s">
        <v>1359</v>
      </c>
      <c r="C103" s="628"/>
      <c r="D103" s="591"/>
      <c r="E103" s="593"/>
      <c r="F103" s="594"/>
      <c r="G103" s="594"/>
      <c r="H103" s="591"/>
      <c r="I103" s="594"/>
      <c r="J103" s="596"/>
      <c r="K103" s="591"/>
      <c r="L103" s="591"/>
      <c r="M103" s="591"/>
      <c r="N103" s="594"/>
      <c r="O103" s="597"/>
      <c r="P103" s="597"/>
      <c r="Q103" s="591"/>
      <c r="R103" s="591"/>
      <c r="S103" s="591"/>
      <c r="T103" s="591"/>
      <c r="U103" s="591"/>
      <c r="V103" s="594"/>
      <c r="W103" s="591"/>
      <c r="X103" s="596"/>
      <c r="Y103" s="591"/>
      <c r="Z103" s="591"/>
      <c r="AA103" s="591"/>
      <c r="AB103" s="591"/>
      <c r="AC103" s="591"/>
      <c r="AD103" s="598"/>
      <c r="AE103" s="592"/>
      <c r="AF103" s="591"/>
      <c r="AG103" s="591"/>
      <c r="AH103" s="599"/>
      <c r="AI103" s="591"/>
      <c r="AJ103" s="600"/>
      <c r="AK103" s="591"/>
      <c r="AL103" s="601"/>
      <c r="AM103" s="602"/>
      <c r="AN103" s="600"/>
      <c r="AO103" s="600"/>
      <c r="AP103" s="601"/>
      <c r="AQ103" s="594"/>
      <c r="AR103" s="597"/>
      <c r="AS103" s="597"/>
      <c r="AT103" s="600"/>
      <c r="AU103" s="597"/>
      <c r="AV103" s="600"/>
      <c r="AW103" s="604"/>
      <c r="AX103" s="604"/>
      <c r="AY103" s="605"/>
      <c r="AZ103" s="600"/>
      <c r="BA103" s="597"/>
      <c r="BB103" s="597"/>
      <c r="BC103" s="629"/>
      <c r="BD103" s="630"/>
      <c r="BE103" s="631"/>
      <c r="BF103" s="631"/>
      <c r="BG103" s="632"/>
      <c r="BH103" s="591"/>
      <c r="BI103" s="603"/>
      <c r="BJ103" s="591"/>
      <c r="BK103" s="591"/>
      <c r="BL103" s="591"/>
      <c r="BN103" s="634"/>
    </row>
    <row customHeight="true" ht="13.333333333333332" r="104">
      <c r="A104" s="590">
        <v>46093</v>
      </c>
      <c r="B104" s="591" t="s">
        <v>1360</v>
      </c>
      <c r="C104" s="628"/>
      <c r="D104" s="591"/>
      <c r="E104" s="593"/>
      <c r="F104" s="594"/>
      <c r="G104" s="594"/>
      <c r="H104" s="591"/>
      <c r="I104" s="594"/>
      <c r="J104" s="596"/>
      <c r="K104" s="591"/>
      <c r="L104" s="591"/>
      <c r="M104" s="591"/>
      <c r="N104" s="594"/>
      <c r="O104" s="597"/>
      <c r="P104" s="597"/>
      <c r="Q104" s="591"/>
      <c r="R104" s="591"/>
      <c r="S104" s="591"/>
      <c r="T104" s="591"/>
      <c r="U104" s="591"/>
      <c r="V104" s="594"/>
      <c r="W104" s="591"/>
      <c r="X104" s="596"/>
      <c r="Y104" s="591"/>
      <c r="Z104" s="591"/>
      <c r="AA104" s="591"/>
      <c r="AB104" s="591"/>
      <c r="AC104" s="591"/>
      <c r="AD104" s="598"/>
      <c r="AE104" s="592"/>
      <c r="AF104" s="591"/>
      <c r="AG104" s="591"/>
      <c r="AH104" s="599"/>
      <c r="AI104" s="591"/>
      <c r="AJ104" s="600"/>
      <c r="AK104" s="591"/>
      <c r="AL104" s="601"/>
      <c r="AM104" s="602"/>
      <c r="AN104" s="600"/>
      <c r="AO104" s="600"/>
      <c r="AP104" s="601"/>
      <c r="AQ104" s="594"/>
      <c r="AR104" s="597"/>
      <c r="AS104" s="597"/>
      <c r="AT104" s="600"/>
      <c r="AU104" s="597"/>
      <c r="AV104" s="600"/>
      <c r="AW104" s="604"/>
      <c r="AX104" s="604"/>
      <c r="AY104" s="605"/>
      <c r="AZ104" s="600"/>
      <c r="BA104" s="597"/>
      <c r="BB104" s="597"/>
      <c r="BC104" s="629"/>
      <c r="BD104" s="630"/>
      <c r="BE104" s="631"/>
      <c r="BF104" s="631"/>
      <c r="BG104" s="632"/>
      <c r="BH104" s="591"/>
      <c r="BI104" s="603"/>
      <c r="BJ104" s="591"/>
      <c r="BK104" s="591"/>
      <c r="BL104" s="591"/>
      <c r="BN104" s="634"/>
    </row>
    <row customHeight="true" ht="13.333333333333332" r="105">
      <c r="A105" s="590">
        <v>46094</v>
      </c>
      <c r="B105" s="591" t="s">
        <v>1361</v>
      </c>
      <c r="C105" s="628"/>
      <c r="D105" s="591"/>
      <c r="E105" s="593"/>
      <c r="F105" s="594"/>
      <c r="G105" s="594"/>
      <c r="H105" s="591"/>
      <c r="I105" s="594"/>
      <c r="J105" s="596"/>
      <c r="K105" s="591"/>
      <c r="L105" s="591"/>
      <c r="M105" s="591"/>
      <c r="N105" s="594"/>
      <c r="O105" s="597"/>
      <c r="P105" s="597"/>
      <c r="Q105" s="591"/>
      <c r="R105" s="591"/>
      <c r="S105" s="591"/>
      <c r="T105" s="591"/>
      <c r="U105" s="591"/>
      <c r="V105" s="594"/>
      <c r="W105" s="591"/>
      <c r="X105" s="596"/>
      <c r="Y105" s="591"/>
      <c r="Z105" s="591"/>
      <c r="AA105" s="591"/>
      <c r="AB105" s="591"/>
      <c r="AC105" s="591"/>
      <c r="AD105" s="598"/>
      <c r="AE105" s="592"/>
      <c r="AF105" s="591"/>
      <c r="AG105" s="591"/>
      <c r="AH105" s="599"/>
      <c r="AI105" s="591"/>
      <c r="AJ105" s="600"/>
      <c r="AK105" s="591"/>
      <c r="AL105" s="601"/>
      <c r="AM105" s="602"/>
      <c r="AN105" s="600"/>
      <c r="AO105" s="600"/>
      <c r="AP105" s="601"/>
      <c r="AQ105" s="594"/>
      <c r="AR105" s="597"/>
      <c r="AS105" s="597"/>
      <c r="AT105" s="600"/>
      <c r="AU105" s="597"/>
      <c r="AV105" s="600"/>
      <c r="AW105" s="604"/>
      <c r="AX105" s="604"/>
      <c r="AY105" s="605"/>
      <c r="AZ105" s="600"/>
      <c r="BA105" s="597"/>
      <c r="BB105" s="597"/>
      <c r="BC105" s="629"/>
      <c r="BD105" s="630"/>
      <c r="BE105" s="631"/>
      <c r="BF105" s="631"/>
      <c r="BG105" s="632"/>
      <c r="BH105" s="591"/>
      <c r="BI105" s="603"/>
      <c r="BJ105" s="591"/>
      <c r="BK105" s="591"/>
      <c r="BL105" s="591"/>
      <c r="BN105" s="634"/>
    </row>
    <row customHeight="true" ht="13.333333333333332" r="106">
      <c r="A106" s="590">
        <v>46095</v>
      </c>
      <c r="B106" s="591" t="s">
        <v>1362</v>
      </c>
      <c r="C106" s="628"/>
      <c r="D106" s="591"/>
      <c r="E106" s="593"/>
      <c r="F106" s="594"/>
      <c r="G106" s="594"/>
      <c r="H106" s="591"/>
      <c r="I106" s="594"/>
      <c r="J106" s="596"/>
      <c r="K106" s="591"/>
      <c r="L106" s="591"/>
      <c r="M106" s="591"/>
      <c r="N106" s="594"/>
      <c r="O106" s="597"/>
      <c r="P106" s="597"/>
      <c r="Q106" s="591"/>
      <c r="R106" s="591"/>
      <c r="S106" s="591"/>
      <c r="T106" s="591"/>
      <c r="U106" s="591"/>
      <c r="V106" s="594"/>
      <c r="W106" s="591"/>
      <c r="X106" s="596"/>
      <c r="Y106" s="591"/>
      <c r="Z106" s="591"/>
      <c r="AA106" s="591"/>
      <c r="AB106" s="591"/>
      <c r="AC106" s="591"/>
      <c r="AD106" s="598"/>
      <c r="AE106" s="592"/>
      <c r="AF106" s="591"/>
      <c r="AG106" s="591"/>
      <c r="AH106" s="599"/>
      <c r="AI106" s="591"/>
      <c r="AJ106" s="600"/>
      <c r="AK106" s="591"/>
      <c r="AL106" s="601"/>
      <c r="AM106" s="602"/>
      <c r="AN106" s="600"/>
      <c r="AO106" s="600"/>
      <c r="AP106" s="601"/>
      <c r="AQ106" s="594"/>
      <c r="AR106" s="597"/>
      <c r="AS106" s="597"/>
      <c r="AT106" s="600"/>
      <c r="AU106" s="597"/>
      <c r="AV106" s="600"/>
      <c r="AW106" s="604"/>
      <c r="AX106" s="604"/>
      <c r="AY106" s="605"/>
      <c r="AZ106" s="600"/>
      <c r="BA106" s="597"/>
      <c r="BB106" s="597"/>
      <c r="BC106" s="629"/>
      <c r="BD106" s="630"/>
      <c r="BE106" s="631"/>
      <c r="BF106" s="631"/>
      <c r="BG106" s="632"/>
      <c r="BH106" s="591"/>
      <c r="BI106" s="603"/>
      <c r="BJ106" s="591"/>
      <c r="BK106" s="591"/>
      <c r="BL106" s="591"/>
      <c r="BN106" s="634"/>
    </row>
    <row customHeight="true" ht="13.333333333333332" r="107">
      <c r="A107" s="590">
        <v>46096</v>
      </c>
      <c r="B107" s="591" t="s">
        <v>1363</v>
      </c>
      <c r="C107" s="628"/>
      <c r="D107" s="591"/>
      <c r="E107" s="593"/>
      <c r="F107" s="594"/>
      <c r="G107" s="594"/>
      <c r="H107" s="591"/>
      <c r="I107" s="594"/>
      <c r="J107" s="596"/>
      <c r="K107" s="591"/>
      <c r="L107" s="591"/>
      <c r="M107" s="591"/>
      <c r="N107" s="594"/>
      <c r="O107" s="597"/>
      <c r="P107" s="597"/>
      <c r="Q107" s="591"/>
      <c r="R107" s="591"/>
      <c r="S107" s="591"/>
      <c r="T107" s="591"/>
      <c r="U107" s="591"/>
      <c r="V107" s="594"/>
      <c r="W107" s="591"/>
      <c r="X107" s="596"/>
      <c r="Y107" s="591"/>
      <c r="Z107" s="591"/>
      <c r="AA107" s="591"/>
      <c r="AB107" s="591"/>
      <c r="AC107" s="591"/>
      <c r="AD107" s="598"/>
      <c r="AE107" s="592"/>
      <c r="AF107" s="591"/>
      <c r="AG107" s="591"/>
      <c r="AH107" s="599"/>
      <c r="AI107" s="591"/>
      <c r="AJ107" s="600"/>
      <c r="AK107" s="591"/>
      <c r="AL107" s="601"/>
      <c r="AM107" s="602"/>
      <c r="AN107" s="600"/>
      <c r="AO107" s="600"/>
      <c r="AP107" s="601"/>
      <c r="AQ107" s="594"/>
      <c r="AR107" s="597"/>
      <c r="AS107" s="597"/>
      <c r="AT107" s="600"/>
      <c r="AU107" s="597"/>
      <c r="AV107" s="600"/>
      <c r="AW107" s="604"/>
      <c r="AX107" s="604"/>
      <c r="AY107" s="605"/>
      <c r="AZ107" s="600"/>
      <c r="BA107" s="597"/>
      <c r="BB107" s="597"/>
      <c r="BC107" s="629"/>
      <c r="BD107" s="630"/>
      <c r="BE107" s="631"/>
      <c r="BF107" s="631"/>
      <c r="BG107" s="632"/>
      <c r="BH107" s="591"/>
      <c r="BI107" s="603"/>
      <c r="BJ107" s="591"/>
      <c r="BK107" s="591"/>
      <c r="BL107" s="591"/>
      <c r="BM107" s="634"/>
      <c r="BN107" s="634"/>
    </row>
    <row customHeight="true" ht="13.333333333333332" r="108">
      <c r="A108" s="590">
        <v>46097</v>
      </c>
      <c r="B108" s="591" t="s">
        <v>1356</v>
      </c>
      <c r="C108" s="628"/>
      <c r="D108" s="591"/>
      <c r="E108" s="593"/>
      <c r="F108" s="594"/>
      <c r="G108" s="594"/>
      <c r="H108" s="591"/>
      <c r="I108" s="594"/>
      <c r="J108" s="596"/>
      <c r="K108" s="591"/>
      <c r="L108" s="591"/>
      <c r="M108" s="591"/>
      <c r="N108" s="594"/>
      <c r="O108" s="597"/>
      <c r="P108" s="597"/>
      <c r="Q108" s="591"/>
      <c r="R108" s="591"/>
      <c r="S108" s="591"/>
      <c r="T108" s="591"/>
      <c r="U108" s="591"/>
      <c r="V108" s="594"/>
      <c r="W108" s="591"/>
      <c r="X108" s="596"/>
      <c r="Y108" s="591"/>
      <c r="Z108" s="591"/>
      <c r="AA108" s="591"/>
      <c r="AB108" s="591"/>
      <c r="AC108" s="591"/>
      <c r="AD108" s="598"/>
      <c r="AE108" s="592"/>
      <c r="AF108" s="591"/>
      <c r="AG108" s="591"/>
      <c r="AH108" s="599"/>
      <c r="AI108" s="591"/>
      <c r="AJ108" s="600"/>
      <c r="AK108" s="591"/>
      <c r="AL108" s="601"/>
      <c r="AM108" s="602"/>
      <c r="AN108" s="600"/>
      <c r="AO108" s="600"/>
      <c r="AP108" s="601"/>
      <c r="AQ108" s="594"/>
      <c r="AR108" s="597"/>
      <c r="AS108" s="597"/>
      <c r="AT108" s="600"/>
      <c r="AU108" s="597"/>
      <c r="AV108" s="600"/>
      <c r="AW108" s="604"/>
      <c r="AX108" s="604"/>
      <c r="AY108" s="605"/>
      <c r="AZ108" s="600"/>
      <c r="BA108" s="597"/>
      <c r="BB108" s="597"/>
      <c r="BC108" s="629"/>
      <c r="BD108" s="630"/>
      <c r="BE108" s="631"/>
      <c r="BF108" s="631"/>
      <c r="BG108" s="632"/>
      <c r="BH108" s="591"/>
      <c r="BI108" s="603"/>
      <c r="BJ108" s="591"/>
      <c r="BK108" s="591"/>
      <c r="BL108" s="591"/>
      <c r="BM108" s="634"/>
      <c r="BN108" s="634"/>
    </row>
    <row customHeight="true" ht="13.333333333333332" r="109">
      <c r="A109" s="590">
        <v>46098</v>
      </c>
      <c r="B109" s="591" t="s">
        <v>1358</v>
      </c>
      <c r="C109" s="592"/>
      <c r="D109" s="591"/>
      <c r="E109" s="593"/>
      <c r="F109" s="594"/>
      <c r="G109" s="594"/>
      <c r="H109" s="591"/>
      <c r="I109" s="594"/>
      <c r="J109" s="596"/>
      <c r="K109" s="591"/>
      <c r="L109" s="591"/>
      <c r="M109" s="591"/>
      <c r="N109" s="594"/>
      <c r="O109" s="597"/>
      <c r="P109" s="597"/>
      <c r="Q109" s="591"/>
      <c r="R109" s="591"/>
      <c r="S109" s="591"/>
      <c r="T109" s="591"/>
      <c r="U109" s="591"/>
      <c r="V109" s="594"/>
      <c r="W109" s="591"/>
      <c r="X109" s="596"/>
      <c r="Y109" s="591"/>
      <c r="Z109" s="591"/>
      <c r="AA109" s="591"/>
      <c r="AB109" s="591"/>
      <c r="AC109" s="591"/>
      <c r="AD109" s="598"/>
      <c r="AE109" s="592"/>
      <c r="AF109" s="591"/>
      <c r="AG109" s="591"/>
      <c r="AH109" s="599"/>
      <c r="AI109" s="591"/>
      <c r="AJ109" s="600"/>
      <c r="AK109" s="591"/>
      <c r="AL109" s="601"/>
      <c r="AM109" s="602"/>
      <c r="AN109" s="600"/>
      <c r="AO109" s="600"/>
      <c r="AP109" s="601"/>
      <c r="AQ109" s="594"/>
      <c r="AR109" s="597"/>
      <c r="AS109" s="597"/>
      <c r="AT109" s="600"/>
      <c r="AU109" s="597"/>
      <c r="AV109" s="600"/>
      <c r="AW109" s="604"/>
      <c r="AX109" s="604"/>
      <c r="AY109" s="605"/>
      <c r="AZ109" s="600"/>
      <c r="BA109" s="597"/>
      <c r="BB109" s="597"/>
      <c r="BC109" s="629"/>
      <c r="BD109" s="630"/>
      <c r="BE109" s="631"/>
      <c r="BF109" s="631"/>
      <c r="BG109" s="632"/>
      <c r="BH109" s="591"/>
      <c r="BI109" s="603"/>
      <c r="BJ109" s="591"/>
      <c r="BK109" s="591"/>
      <c r="BL109" s="591"/>
      <c r="BM109" s="634"/>
      <c r="BN109" s="634"/>
    </row>
    <row customHeight="true" ht="13.333333333333332" r="110">
      <c r="A110" s="590">
        <v>46099</v>
      </c>
      <c r="B110" s="591" t="s">
        <v>1359</v>
      </c>
      <c r="C110" s="592"/>
      <c r="D110" s="591"/>
      <c r="E110" s="593"/>
      <c r="F110" s="594"/>
      <c r="G110" s="594"/>
      <c r="H110" s="591"/>
      <c r="I110" s="594"/>
      <c r="J110" s="596"/>
      <c r="K110" s="591"/>
      <c r="L110" s="591"/>
      <c r="M110" s="591"/>
      <c r="N110" s="594"/>
      <c r="O110" s="597"/>
      <c r="P110" s="597"/>
      <c r="Q110" s="591"/>
      <c r="R110" s="591"/>
      <c r="S110" s="591"/>
      <c r="T110" s="591"/>
      <c r="U110" s="591"/>
      <c r="V110" s="594"/>
      <c r="W110" s="591"/>
      <c r="X110" s="596"/>
      <c r="Y110" s="591"/>
      <c r="Z110" s="591"/>
      <c r="AA110" s="591"/>
      <c r="AB110" s="591"/>
      <c r="AC110" s="591"/>
      <c r="AD110" s="598"/>
      <c r="AE110" s="592"/>
      <c r="AF110" s="591"/>
      <c r="AG110" s="591"/>
      <c r="AH110" s="599"/>
      <c r="AI110" s="591"/>
      <c r="AJ110" s="600"/>
      <c r="AK110" s="591"/>
      <c r="AL110" s="601"/>
      <c r="AM110" s="602"/>
      <c r="AN110" s="600"/>
      <c r="AO110" s="600"/>
      <c r="AP110" s="601"/>
      <c r="AQ110" s="594"/>
      <c r="AR110" s="597"/>
      <c r="AS110" s="597"/>
      <c r="AT110" s="600"/>
      <c r="AU110" s="597"/>
      <c r="AV110" s="600"/>
      <c r="AW110" s="604"/>
      <c r="AX110" s="604"/>
      <c r="AY110" s="605"/>
      <c r="AZ110" s="600"/>
      <c r="BA110" s="597"/>
      <c r="BB110" s="597"/>
      <c r="BC110" s="629"/>
      <c r="BD110" s="630"/>
      <c r="BE110" s="631"/>
      <c r="BF110" s="631"/>
      <c r="BG110" s="632"/>
      <c r="BH110" s="591"/>
      <c r="BI110" s="603"/>
      <c r="BJ110" s="591"/>
      <c r="BK110" s="591"/>
      <c r="BL110" s="591"/>
      <c r="BM110" s="634"/>
      <c r="BN110" s="634"/>
    </row>
    <row customHeight="true" ht="13.333333333333332" r="111">
      <c r="A111" s="590">
        <v>46100</v>
      </c>
      <c r="B111" s="591" t="s">
        <v>1360</v>
      </c>
      <c r="C111" s="592"/>
      <c r="D111" s="591"/>
      <c r="E111" s="593"/>
      <c r="F111" s="594"/>
      <c r="G111" s="594"/>
      <c r="H111" s="591"/>
      <c r="I111" s="594"/>
      <c r="J111" s="596"/>
      <c r="K111" s="591"/>
      <c r="L111" s="591"/>
      <c r="M111" s="591"/>
      <c r="N111" s="594"/>
      <c r="O111" s="597"/>
      <c r="P111" s="597"/>
      <c r="Q111" s="591"/>
      <c r="R111" s="591"/>
      <c r="S111" s="591"/>
      <c r="T111" s="591"/>
      <c r="U111" s="591"/>
      <c r="V111" s="594"/>
      <c r="W111" s="591"/>
      <c r="X111" s="596"/>
      <c r="Y111" s="591"/>
      <c r="Z111" s="591"/>
      <c r="AA111" s="591"/>
      <c r="AB111" s="591"/>
      <c r="AC111" s="591"/>
      <c r="AD111" s="598"/>
      <c r="AE111" s="592"/>
      <c r="AF111" s="591"/>
      <c r="AG111" s="591"/>
      <c r="AH111" s="599"/>
      <c r="AI111" s="591"/>
      <c r="AJ111" s="600"/>
      <c r="AK111" s="591"/>
      <c r="AL111" s="601"/>
      <c r="AM111" s="602"/>
      <c r="AN111" s="600"/>
      <c r="AO111" s="600"/>
      <c r="AP111" s="601"/>
      <c r="AQ111" s="594"/>
      <c r="AR111" s="597"/>
      <c r="AS111" s="597"/>
      <c r="AT111" s="600"/>
      <c r="AU111" s="597"/>
      <c r="AV111" s="600"/>
      <c r="AW111" s="604"/>
      <c r="AX111" s="604"/>
      <c r="AY111" s="605"/>
      <c r="AZ111" s="600"/>
      <c r="BA111" s="597"/>
      <c r="BB111" s="597"/>
      <c r="BC111" s="629"/>
      <c r="BD111" s="630"/>
      <c r="BE111" s="631"/>
      <c r="BF111" s="631"/>
      <c r="BG111" s="632"/>
      <c r="BH111" s="591"/>
      <c r="BI111" s="603"/>
      <c r="BJ111" s="591"/>
      <c r="BK111" s="591"/>
      <c r="BL111" s="591"/>
      <c r="BM111" s="634"/>
      <c r="BN111" s="634"/>
    </row>
    <row customHeight="true" ht="13.333333333333332" r="112">
      <c r="A112" s="590">
        <v>46101</v>
      </c>
      <c r="B112" s="591" t="s">
        <v>1361</v>
      </c>
      <c r="C112" s="592"/>
      <c r="D112" s="591"/>
      <c r="E112" s="593"/>
      <c r="F112" s="594"/>
      <c r="G112" s="594"/>
      <c r="H112" s="591"/>
      <c r="I112" s="594"/>
      <c r="J112" s="596"/>
      <c r="K112" s="591"/>
      <c r="L112" s="591"/>
      <c r="M112" s="591"/>
      <c r="N112" s="594"/>
      <c r="O112" s="597"/>
      <c r="P112" s="597"/>
      <c r="Q112" s="591"/>
      <c r="R112" s="591"/>
      <c r="S112" s="591"/>
      <c r="T112" s="591"/>
      <c r="U112" s="591"/>
      <c r="V112" s="594"/>
      <c r="W112" s="591"/>
      <c r="X112" s="596"/>
      <c r="Y112" s="591"/>
      <c r="Z112" s="591"/>
      <c r="AA112" s="591"/>
      <c r="AB112" s="591"/>
      <c r="AC112" s="591"/>
      <c r="AD112" s="598"/>
      <c r="AE112" s="592"/>
      <c r="AF112" s="591"/>
      <c r="AG112" s="591"/>
      <c r="AH112" s="599"/>
      <c r="AI112" s="591"/>
      <c r="AJ112" s="600"/>
      <c r="AK112" s="591"/>
      <c r="AL112" s="601"/>
      <c r="AM112" s="602"/>
      <c r="AN112" s="600"/>
      <c r="AO112" s="600"/>
      <c r="AP112" s="601"/>
      <c r="AQ112" s="594"/>
      <c r="AR112" s="597"/>
      <c r="AS112" s="597"/>
      <c r="AT112" s="600"/>
      <c r="AU112" s="597"/>
      <c r="AV112" s="600"/>
      <c r="AW112" s="604"/>
      <c r="AX112" s="604"/>
      <c r="AY112" s="605"/>
      <c r="AZ112" s="600"/>
      <c r="BA112" s="597"/>
      <c r="BB112" s="597"/>
      <c r="BC112" s="629"/>
      <c r="BD112" s="630"/>
      <c r="BE112" s="631"/>
      <c r="BF112" s="631"/>
      <c r="BG112" s="632"/>
      <c r="BH112" s="591"/>
      <c r="BI112" s="603"/>
      <c r="BJ112" s="591"/>
      <c r="BK112" s="591"/>
      <c r="BL112" s="591"/>
      <c r="BM112" s="634"/>
      <c r="BN112" s="634"/>
    </row>
    <row customHeight="true" ht="13.333333333333332" r="113">
      <c r="A113" s="590">
        <v>46102</v>
      </c>
      <c r="B113" s="591" t="s">
        <v>1362</v>
      </c>
      <c r="C113" s="628"/>
      <c r="D113" s="591"/>
      <c r="E113" s="593"/>
      <c r="F113" s="594"/>
      <c r="G113" s="594"/>
      <c r="H113" s="591"/>
      <c r="I113" s="594"/>
      <c r="J113" s="596"/>
      <c r="K113" s="591"/>
      <c r="L113" s="591"/>
      <c r="M113" s="591"/>
      <c r="N113" s="594"/>
      <c r="O113" s="597"/>
      <c r="P113" s="597"/>
      <c r="Q113" s="591"/>
      <c r="R113" s="591"/>
      <c r="S113" s="591"/>
      <c r="T113" s="591"/>
      <c r="U113" s="591"/>
      <c r="V113" s="594"/>
      <c r="W113" s="591"/>
      <c r="X113" s="596"/>
      <c r="Y113" s="591"/>
      <c r="Z113" s="591"/>
      <c r="AA113" s="591"/>
      <c r="AB113" s="591"/>
      <c r="AC113" s="591"/>
      <c r="AD113" s="598"/>
      <c r="AE113" s="592"/>
      <c r="AF113" s="591"/>
      <c r="AG113" s="591"/>
      <c r="AH113" s="599"/>
      <c r="AI113" s="591"/>
      <c r="AJ113" s="600"/>
      <c r="AK113" s="591"/>
      <c r="AL113" s="601"/>
      <c r="AM113" s="602"/>
      <c r="AN113" s="600"/>
      <c r="AO113" s="600"/>
      <c r="AP113" s="601"/>
      <c r="AQ113" s="594"/>
      <c r="AR113" s="597"/>
      <c r="AS113" s="597"/>
      <c r="AT113" s="600"/>
      <c r="AU113" s="597"/>
      <c r="AV113" s="600"/>
      <c r="AW113" s="604"/>
      <c r="AX113" s="604"/>
      <c r="AY113" s="605"/>
      <c r="AZ113" s="600"/>
      <c r="BA113" s="597"/>
      <c r="BB113" s="597"/>
      <c r="BC113" s="629"/>
      <c r="BD113" s="630"/>
      <c r="BE113" s="631"/>
      <c r="BF113" s="631"/>
      <c r="BG113" s="632"/>
      <c r="BH113" s="591"/>
      <c r="BI113" s="603"/>
      <c r="BJ113" s="591"/>
      <c r="BK113" s="591"/>
      <c r="BL113" s="591"/>
      <c r="BM113" s="634"/>
      <c r="BN113" s="634"/>
    </row>
    <row customHeight="true" ht="13.333333333333332" r="114">
      <c r="A114" s="590">
        <v>46103</v>
      </c>
      <c r="B114" s="591" t="s">
        <v>1363</v>
      </c>
      <c r="C114" s="628"/>
      <c r="D114" s="591"/>
      <c r="E114" s="593"/>
      <c r="F114" s="594"/>
      <c r="G114" s="594"/>
      <c r="H114" s="591"/>
      <c r="I114" s="594"/>
      <c r="J114" s="596"/>
      <c r="K114" s="591"/>
      <c r="L114" s="591"/>
      <c r="M114" s="591"/>
      <c r="N114" s="594"/>
      <c r="O114" s="597"/>
      <c r="P114" s="597"/>
      <c r="Q114" s="591"/>
      <c r="R114" s="591"/>
      <c r="S114" s="591"/>
      <c r="T114" s="591"/>
      <c r="U114" s="591"/>
      <c r="V114" s="594"/>
      <c r="W114" s="591"/>
      <c r="X114" s="596"/>
      <c r="Y114" s="591"/>
      <c r="Z114" s="591"/>
      <c r="AA114" s="591"/>
      <c r="AB114" s="591"/>
      <c r="AC114" s="591"/>
      <c r="AD114" s="598"/>
      <c r="AE114" s="592"/>
      <c r="AF114" s="591"/>
      <c r="AG114" s="591"/>
      <c r="AH114" s="599"/>
      <c r="AI114" s="591"/>
      <c r="AJ114" s="600"/>
      <c r="AK114" s="591"/>
      <c r="AL114" s="601"/>
      <c r="AM114" s="602"/>
      <c r="AN114" s="600"/>
      <c r="AO114" s="600"/>
      <c r="AP114" s="601"/>
      <c r="AQ114" s="594"/>
      <c r="AR114" s="597"/>
      <c r="AS114" s="597"/>
      <c r="AT114" s="600"/>
      <c r="AU114" s="597"/>
      <c r="AV114" s="600"/>
      <c r="AW114" s="604"/>
      <c r="AX114" s="604"/>
      <c r="AY114" s="605"/>
      <c r="AZ114" s="600"/>
      <c r="BA114" s="597"/>
      <c r="BB114" s="597"/>
      <c r="BC114" s="629"/>
      <c r="BD114" s="630"/>
      <c r="BE114" s="631"/>
      <c r="BF114" s="631"/>
      <c r="BG114" s="632"/>
      <c r="BH114" s="591"/>
      <c r="BI114" s="603"/>
      <c r="BJ114" s="591"/>
      <c r="BK114" s="591"/>
      <c r="BL114" s="591"/>
      <c r="BM114" s="634"/>
      <c r="BN114" s="634"/>
    </row>
    <row customHeight="true" ht="13.333333333333332" r="115">
      <c r="A115" s="590">
        <v>46104</v>
      </c>
      <c r="B115" s="591" t="s">
        <v>1356</v>
      </c>
      <c r="C115" s="592"/>
      <c r="D115" s="591"/>
      <c r="E115" s="593"/>
      <c r="F115" s="594"/>
      <c r="G115" s="594"/>
      <c r="H115" s="591"/>
      <c r="I115" s="594"/>
      <c r="J115" s="596"/>
      <c r="K115" s="591"/>
      <c r="L115" s="591"/>
      <c r="M115" s="591"/>
      <c r="N115" s="594"/>
      <c r="O115" s="597"/>
      <c r="P115" s="597"/>
      <c r="Q115" s="591"/>
      <c r="R115" s="591"/>
      <c r="S115" s="591"/>
      <c r="T115" s="591"/>
      <c r="U115" s="591"/>
      <c r="V115" s="594"/>
      <c r="W115" s="591"/>
      <c r="X115" s="596"/>
      <c r="Y115" s="591"/>
      <c r="Z115" s="591"/>
      <c r="AA115" s="591"/>
      <c r="AB115" s="591"/>
      <c r="AC115" s="591"/>
      <c r="AD115" s="598"/>
      <c r="AE115" s="592"/>
      <c r="AF115" s="591"/>
      <c r="AG115" s="591"/>
      <c r="AH115" s="599"/>
      <c r="AI115" s="591"/>
      <c r="AJ115" s="600"/>
      <c r="AK115" s="591"/>
      <c r="AL115" s="601"/>
      <c r="AM115" s="602"/>
      <c r="AN115" s="600"/>
      <c r="AO115" s="600"/>
      <c r="AP115" s="601"/>
      <c r="AQ115" s="594"/>
      <c r="AR115" s="597"/>
      <c r="AS115" s="597"/>
      <c r="AT115" s="600"/>
      <c r="AU115" s="597"/>
      <c r="AV115" s="600"/>
      <c r="AW115" s="604"/>
      <c r="AX115" s="604"/>
      <c r="AY115" s="605"/>
      <c r="AZ115" s="600"/>
      <c r="BA115" s="597"/>
      <c r="BB115" s="597"/>
      <c r="BC115" s="629"/>
      <c r="BD115" s="630"/>
      <c r="BE115" s="631"/>
      <c r="BF115" s="631"/>
      <c r="BG115" s="632"/>
      <c r="BH115" s="591"/>
      <c r="BI115" s="603"/>
      <c r="BJ115" s="591"/>
      <c r="BK115" s="591"/>
      <c r="BL115" s="591"/>
      <c r="BM115" s="634"/>
      <c r="BN115" s="634"/>
    </row>
    <row customHeight="true" ht="13.333333333333332" r="116">
      <c r="A116" s="590">
        <v>46105</v>
      </c>
      <c r="B116" s="591" t="s">
        <v>1358</v>
      </c>
      <c r="C116" s="592"/>
      <c r="D116" s="591"/>
      <c r="E116" s="593"/>
      <c r="F116" s="594"/>
      <c r="G116" s="594"/>
      <c r="H116" s="591"/>
      <c r="I116" s="594"/>
      <c r="J116" s="596"/>
      <c r="K116" s="591"/>
      <c r="L116" s="591"/>
      <c r="M116" s="591"/>
      <c r="N116" s="594"/>
      <c r="O116" s="597"/>
      <c r="P116" s="597"/>
      <c r="Q116" s="591"/>
      <c r="R116" s="591"/>
      <c r="S116" s="591"/>
      <c r="T116" s="591"/>
      <c r="U116" s="591"/>
      <c r="V116" s="594"/>
      <c r="W116" s="591"/>
      <c r="X116" s="596"/>
      <c r="Y116" s="591"/>
      <c r="Z116" s="591"/>
      <c r="AA116" s="591"/>
      <c r="AB116" s="591"/>
      <c r="AC116" s="591"/>
      <c r="AD116" s="598"/>
      <c r="AE116" s="592"/>
      <c r="AF116" s="591"/>
      <c r="AG116" s="591"/>
      <c r="AH116" s="599"/>
      <c r="AI116" s="591"/>
      <c r="AJ116" s="600"/>
      <c r="AK116" s="591"/>
      <c r="AL116" s="601"/>
      <c r="AM116" s="602"/>
      <c r="AN116" s="600"/>
      <c r="AO116" s="600"/>
      <c r="AP116" s="601"/>
      <c r="AQ116" s="594"/>
      <c r="AR116" s="597"/>
      <c r="AS116" s="597"/>
      <c r="AT116" s="600"/>
      <c r="AU116" s="597"/>
      <c r="AV116" s="600"/>
      <c r="AW116" s="604"/>
      <c r="AX116" s="604"/>
      <c r="AY116" s="605"/>
      <c r="AZ116" s="600"/>
      <c r="BA116" s="597"/>
      <c r="BB116" s="597"/>
      <c r="BC116" s="629"/>
      <c r="BD116" s="630"/>
      <c r="BE116" s="631"/>
      <c r="BF116" s="631"/>
      <c r="BG116" s="632"/>
      <c r="BH116" s="591"/>
      <c r="BI116" s="603"/>
      <c r="BJ116" s="591"/>
      <c r="BK116" s="591"/>
      <c r="BL116" s="591"/>
      <c r="BM116" s="634"/>
      <c r="BN116" s="634"/>
    </row>
    <row customHeight="true" ht="13.333333333333332" r="117">
      <c r="A117" s="590">
        <v>46106</v>
      </c>
      <c r="B117" s="591" t="s">
        <v>1359</v>
      </c>
      <c r="C117" s="592"/>
      <c r="D117" s="591"/>
      <c r="E117" s="593"/>
      <c r="F117" s="594"/>
      <c r="G117" s="594"/>
      <c r="H117" s="591"/>
      <c r="I117" s="594"/>
      <c r="J117" s="596"/>
      <c r="K117" s="591"/>
      <c r="L117" s="591"/>
      <c r="M117" s="591"/>
      <c r="N117" s="594"/>
      <c r="O117" s="597"/>
      <c r="P117" s="597"/>
      <c r="Q117" s="591"/>
      <c r="R117" s="591"/>
      <c r="S117" s="591"/>
      <c r="T117" s="591"/>
      <c r="U117" s="591"/>
      <c r="V117" s="594"/>
      <c r="W117" s="591"/>
      <c r="X117" s="596"/>
      <c r="Y117" s="591"/>
      <c r="Z117" s="591"/>
      <c r="AA117" s="591"/>
      <c r="AB117" s="591"/>
      <c r="AC117" s="591"/>
      <c r="AD117" s="598"/>
      <c r="AE117" s="592"/>
      <c r="AF117" s="591"/>
      <c r="AG117" s="591"/>
      <c r="AH117" s="599"/>
      <c r="AI117" s="591"/>
      <c r="AJ117" s="600"/>
      <c r="AK117" s="591"/>
      <c r="AL117" s="601"/>
      <c r="AM117" s="602"/>
      <c r="AN117" s="600"/>
      <c r="AO117" s="600"/>
      <c r="AP117" s="601"/>
      <c r="AQ117" s="594"/>
      <c r="AR117" s="597"/>
      <c r="AS117" s="597"/>
      <c r="AT117" s="600"/>
      <c r="AU117" s="597"/>
      <c r="AV117" s="600"/>
      <c r="AW117" s="604"/>
      <c r="AX117" s="604"/>
      <c r="AY117" s="605"/>
      <c r="AZ117" s="600"/>
      <c r="BA117" s="597"/>
      <c r="BB117" s="597"/>
      <c r="BC117" s="629"/>
      <c r="BD117" s="630"/>
      <c r="BE117" s="631"/>
      <c r="BF117" s="631"/>
      <c r="BG117" s="632"/>
      <c r="BH117" s="591"/>
      <c r="BI117" s="603"/>
      <c r="BJ117" s="591"/>
      <c r="BK117" s="591"/>
      <c r="BL117" s="591"/>
      <c r="BM117" s="634"/>
      <c r="BN117" s="634"/>
    </row>
    <row customHeight="true" ht="13.333333333333332" r="118">
      <c r="A118" s="590">
        <v>46107</v>
      </c>
      <c r="B118" s="591" t="s">
        <v>1360</v>
      </c>
      <c r="C118" s="592"/>
      <c r="D118" s="591"/>
      <c r="E118" s="593"/>
      <c r="F118" s="594"/>
      <c r="G118" s="594"/>
      <c r="H118" s="591"/>
      <c r="I118" s="594"/>
      <c r="J118" s="596"/>
      <c r="K118" s="591"/>
      <c r="L118" s="591"/>
      <c r="M118" s="591"/>
      <c r="N118" s="594"/>
      <c r="O118" s="597"/>
      <c r="P118" s="597"/>
      <c r="Q118" s="591"/>
      <c r="R118" s="591"/>
      <c r="S118" s="591"/>
      <c r="T118" s="591"/>
      <c r="U118" s="591"/>
      <c r="V118" s="594"/>
      <c r="W118" s="591"/>
      <c r="X118" s="596"/>
      <c r="Y118" s="591"/>
      <c r="Z118" s="591"/>
      <c r="AA118" s="591"/>
      <c r="AB118" s="591"/>
      <c r="AC118" s="591"/>
      <c r="AD118" s="598"/>
      <c r="AE118" s="592"/>
      <c r="AF118" s="591"/>
      <c r="AG118" s="591"/>
      <c r="AH118" s="599"/>
      <c r="AI118" s="591"/>
      <c r="AJ118" s="600"/>
      <c r="AK118" s="591"/>
      <c r="AL118" s="601"/>
      <c r="AM118" s="602"/>
      <c r="AN118" s="600"/>
      <c r="AO118" s="600"/>
      <c r="AP118" s="601"/>
      <c r="AQ118" s="594"/>
      <c r="AR118" s="597"/>
      <c r="AS118" s="597"/>
      <c r="AT118" s="600"/>
      <c r="AU118" s="597"/>
      <c r="AV118" s="600"/>
      <c r="AW118" s="604"/>
      <c r="AX118" s="604"/>
      <c r="AY118" s="605"/>
      <c r="AZ118" s="600"/>
      <c r="BA118" s="597"/>
      <c r="BB118" s="597"/>
      <c r="BC118" s="629"/>
      <c r="BD118" s="630"/>
      <c r="BE118" s="631"/>
      <c r="BF118" s="631"/>
      <c r="BG118" s="632"/>
      <c r="BH118" s="591"/>
      <c r="BI118" s="603"/>
      <c r="BJ118" s="591"/>
      <c r="BK118" s="591"/>
      <c r="BL118" s="591"/>
      <c r="BM118" s="634"/>
      <c r="BN118" s="634"/>
    </row>
    <row customHeight="true" ht="13.333333333333332" r="119">
      <c r="A119" s="590">
        <v>46108</v>
      </c>
      <c r="B119" s="591" t="s">
        <v>1361</v>
      </c>
      <c r="C119" s="628"/>
      <c r="D119" s="591"/>
      <c r="E119" s="593"/>
      <c r="F119" s="594"/>
      <c r="G119" s="594"/>
      <c r="H119" s="591"/>
      <c r="I119" s="594"/>
      <c r="J119" s="596"/>
      <c r="K119" s="591"/>
      <c r="L119" s="591"/>
      <c r="M119" s="591"/>
      <c r="N119" s="594"/>
      <c r="O119" s="597"/>
      <c r="P119" s="597"/>
      <c r="Q119" s="591"/>
      <c r="R119" s="591"/>
      <c r="S119" s="591"/>
      <c r="T119" s="591"/>
      <c r="U119" s="591"/>
      <c r="V119" s="594"/>
      <c r="W119" s="591"/>
      <c r="X119" s="596"/>
      <c r="Y119" s="591"/>
      <c r="Z119" s="591"/>
      <c r="AA119" s="591"/>
      <c r="AB119" s="591"/>
      <c r="AC119" s="591"/>
      <c r="AD119" s="598"/>
      <c r="AE119" s="592"/>
      <c r="AF119" s="591"/>
      <c r="AG119" s="591"/>
      <c r="AH119" s="599"/>
      <c r="AI119" s="591"/>
      <c r="AJ119" s="600"/>
      <c r="AK119" s="591"/>
      <c r="AL119" s="601"/>
      <c r="AM119" s="602"/>
      <c r="AN119" s="600"/>
      <c r="AO119" s="600"/>
      <c r="AP119" s="601"/>
      <c r="AQ119" s="594"/>
      <c r="AR119" s="597"/>
      <c r="AS119" s="597"/>
      <c r="AT119" s="600"/>
      <c r="AU119" s="597"/>
      <c r="AV119" s="600"/>
      <c r="AW119" s="604"/>
      <c r="AX119" s="604"/>
      <c r="AY119" s="605"/>
      <c r="AZ119" s="600"/>
      <c r="BA119" s="597"/>
      <c r="BB119" s="597"/>
      <c r="BC119" s="629"/>
      <c r="BD119" s="630"/>
      <c r="BE119" s="631"/>
      <c r="BF119" s="631"/>
      <c r="BG119" s="632"/>
      <c r="BH119" s="591"/>
      <c r="BI119" s="603"/>
      <c r="BJ119" s="591"/>
      <c r="BK119" s="591"/>
      <c r="BL119" s="591"/>
      <c r="BM119" s="634"/>
      <c r="BN119" s="634"/>
    </row>
    <row customHeight="true" ht="13.333333333333332" r="120">
      <c r="A120" s="590">
        <v>46109</v>
      </c>
      <c r="B120" s="591" t="s">
        <v>1362</v>
      </c>
      <c r="C120" s="592"/>
      <c r="D120" s="591"/>
      <c r="E120" s="593"/>
      <c r="F120" s="594"/>
      <c r="G120" s="594"/>
      <c r="H120" s="591"/>
      <c r="I120" s="594"/>
      <c r="J120" s="596"/>
      <c r="K120" s="591"/>
      <c r="L120" s="591"/>
      <c r="M120" s="591"/>
      <c r="N120" s="594"/>
      <c r="O120" s="597"/>
      <c r="P120" s="597"/>
      <c r="Q120" s="591"/>
      <c r="R120" s="591"/>
      <c r="S120" s="591"/>
      <c r="T120" s="591"/>
      <c r="U120" s="591"/>
      <c r="V120" s="594"/>
      <c r="W120" s="591"/>
      <c r="X120" s="596"/>
      <c r="Y120" s="591"/>
      <c r="Z120" s="591"/>
      <c r="AA120" s="591"/>
      <c r="AB120" s="591"/>
      <c r="AC120" s="591"/>
      <c r="AD120" s="598"/>
      <c r="AE120" s="592"/>
      <c r="AF120" s="591"/>
      <c r="AG120" s="591"/>
      <c r="AH120" s="599"/>
      <c r="AI120" s="591"/>
      <c r="AJ120" s="600"/>
      <c r="AK120" s="591"/>
      <c r="AL120" s="601"/>
      <c r="AM120" s="602"/>
      <c r="AN120" s="600"/>
      <c r="AO120" s="600"/>
      <c r="AP120" s="601"/>
      <c r="AQ120" s="594"/>
      <c r="AR120" s="597"/>
      <c r="AS120" s="597"/>
      <c r="AT120" s="600"/>
      <c r="AU120" s="597"/>
      <c r="AV120" s="600"/>
      <c r="AW120" s="604"/>
      <c r="AX120" s="604"/>
      <c r="AY120" s="605"/>
      <c r="AZ120" s="600"/>
      <c r="BA120" s="597"/>
      <c r="BB120" s="597"/>
      <c r="BC120" s="629"/>
      <c r="BD120" s="630"/>
      <c r="BE120" s="631"/>
      <c r="BF120" s="631"/>
      <c r="BG120" s="632"/>
      <c r="BH120" s="591"/>
      <c r="BI120" s="603"/>
      <c r="BJ120" s="591"/>
      <c r="BK120" s="591"/>
      <c r="BL120" s="591"/>
      <c r="BM120" s="634"/>
      <c r="BN120" s="634"/>
    </row>
    <row customHeight="true" ht="13.333333333333332" r="121">
      <c r="A121" s="590">
        <v>46110</v>
      </c>
      <c r="B121" s="591" t="s">
        <v>1363</v>
      </c>
      <c r="C121" s="628"/>
      <c r="D121" s="591"/>
      <c r="E121" s="593"/>
      <c r="F121" s="594"/>
      <c r="G121" s="594"/>
      <c r="H121" s="591"/>
      <c r="I121" s="594"/>
      <c r="J121" s="596"/>
      <c r="K121" s="591"/>
      <c r="L121" s="591"/>
      <c r="M121" s="591"/>
      <c r="N121" s="594"/>
      <c r="O121" s="597"/>
      <c r="P121" s="597"/>
      <c r="Q121" s="591"/>
      <c r="R121" s="591"/>
      <c r="S121" s="591"/>
      <c r="T121" s="591"/>
      <c r="U121" s="591"/>
      <c r="V121" s="594"/>
      <c r="W121" s="591"/>
      <c r="X121" s="596"/>
      <c r="Y121" s="591"/>
      <c r="Z121" s="591"/>
      <c r="AA121" s="591"/>
      <c r="AB121" s="591"/>
      <c r="AC121" s="591"/>
      <c r="AD121" s="598"/>
      <c r="AE121" s="592"/>
      <c r="AF121" s="591"/>
      <c r="AG121" s="591"/>
      <c r="AH121" s="599"/>
      <c r="AI121" s="591"/>
      <c r="AJ121" s="600"/>
      <c r="AK121" s="591"/>
      <c r="AL121" s="601"/>
      <c r="AM121" s="602"/>
      <c r="AN121" s="600"/>
      <c r="AO121" s="600"/>
      <c r="AP121" s="601"/>
      <c r="AQ121" s="594"/>
      <c r="AR121" s="597"/>
      <c r="AS121" s="597"/>
      <c r="AT121" s="600"/>
      <c r="AU121" s="597"/>
      <c r="AV121" s="600"/>
      <c r="AW121" s="604"/>
      <c r="AX121" s="604"/>
      <c r="AY121" s="605"/>
      <c r="AZ121" s="600"/>
      <c r="BA121" s="597"/>
      <c r="BB121" s="597"/>
      <c r="BC121" s="629"/>
      <c r="BD121" s="630"/>
      <c r="BE121" s="631"/>
      <c r="BF121" s="631"/>
      <c r="BG121" s="632"/>
      <c r="BH121" s="591"/>
      <c r="BI121" s="603"/>
      <c r="BJ121" s="591"/>
      <c r="BK121" s="591"/>
      <c r="BL121" s="591"/>
      <c r="BM121" s="634"/>
      <c r="BN121" s="634"/>
    </row>
    <row customHeight="true" ht="13.333333333333332" r="122">
      <c r="A122" s="590">
        <v>46111</v>
      </c>
      <c r="B122" s="591" t="s">
        <v>1356</v>
      </c>
      <c r="C122" s="628"/>
      <c r="D122" s="591"/>
      <c r="E122" s="593"/>
      <c r="F122" s="594"/>
      <c r="G122" s="594"/>
      <c r="H122" s="591"/>
      <c r="I122" s="594"/>
      <c r="J122" s="596"/>
      <c r="K122" s="591"/>
      <c r="L122" s="591"/>
      <c r="M122" s="591"/>
      <c r="N122" s="594"/>
      <c r="O122" s="597"/>
      <c r="P122" s="597"/>
      <c r="Q122" s="591"/>
      <c r="R122" s="591"/>
      <c r="S122" s="591"/>
      <c r="T122" s="591"/>
      <c r="U122" s="591"/>
      <c r="V122" s="594"/>
      <c r="W122" s="591"/>
      <c r="X122" s="596"/>
      <c r="Y122" s="591"/>
      <c r="Z122" s="591"/>
      <c r="AA122" s="591"/>
      <c r="AB122" s="591"/>
      <c r="AC122" s="591"/>
      <c r="AD122" s="598"/>
      <c r="AE122" s="592"/>
      <c r="AF122" s="591"/>
      <c r="AG122" s="591"/>
      <c r="AH122" s="599"/>
      <c r="AI122" s="591"/>
      <c r="AJ122" s="600"/>
      <c r="AK122" s="591"/>
      <c r="AL122" s="601"/>
      <c r="AM122" s="602"/>
      <c r="AN122" s="600"/>
      <c r="AO122" s="600"/>
      <c r="AP122" s="601"/>
      <c r="AQ122" s="594"/>
      <c r="AR122" s="597"/>
      <c r="AS122" s="597"/>
      <c r="AT122" s="600"/>
      <c r="AU122" s="597"/>
      <c r="AV122" s="600"/>
      <c r="AW122" s="604"/>
      <c r="AX122" s="604"/>
      <c r="AY122" s="605"/>
      <c r="AZ122" s="600"/>
      <c r="BA122" s="597"/>
      <c r="BB122" s="597"/>
      <c r="BC122" s="629"/>
      <c r="BD122" s="630"/>
      <c r="BE122" s="631"/>
      <c r="BF122" s="631"/>
      <c r="BG122" s="632"/>
      <c r="BH122" s="591"/>
      <c r="BI122" s="603"/>
      <c r="BJ122" s="591"/>
      <c r="BK122" s="591"/>
      <c r="BL122" s="591"/>
      <c r="BM122" s="634"/>
      <c r="BN122" s="634"/>
    </row>
    <row customHeight="true" ht="13.333333333333332" r="123">
      <c r="A123" s="590">
        <v>46112</v>
      </c>
      <c r="B123" s="591" t="s">
        <v>1358</v>
      </c>
      <c r="C123" s="628"/>
      <c r="D123" s="591"/>
      <c r="E123" s="593"/>
      <c r="F123" s="594"/>
      <c r="G123" s="594"/>
      <c r="H123" s="591"/>
      <c r="I123" s="594"/>
      <c r="J123" s="596"/>
      <c r="K123" s="591"/>
      <c r="L123" s="591"/>
      <c r="M123" s="591"/>
      <c r="N123" s="594"/>
      <c r="O123" s="597"/>
      <c r="P123" s="597"/>
      <c r="Q123" s="591"/>
      <c r="R123" s="591"/>
      <c r="S123" s="591"/>
      <c r="T123" s="591"/>
      <c r="U123" s="591"/>
      <c r="V123" s="594"/>
      <c r="W123" s="591"/>
      <c r="X123" s="596"/>
      <c r="Y123" s="591"/>
      <c r="Z123" s="591"/>
      <c r="AA123" s="591"/>
      <c r="AB123" s="591"/>
      <c r="AC123" s="591"/>
      <c r="AD123" s="598"/>
      <c r="AE123" s="592"/>
      <c r="AF123" s="591"/>
      <c r="AG123" s="591"/>
      <c r="AH123" s="599"/>
      <c r="AI123" s="591"/>
      <c r="AJ123" s="600"/>
      <c r="AK123" s="591"/>
      <c r="AL123" s="601"/>
      <c r="AM123" s="602"/>
      <c r="AN123" s="600"/>
      <c r="AO123" s="600"/>
      <c r="AP123" s="601"/>
      <c r="AQ123" s="594"/>
      <c r="AR123" s="597"/>
      <c r="AS123" s="597"/>
      <c r="AT123" s="600"/>
      <c r="AU123" s="597"/>
      <c r="AV123" s="600"/>
      <c r="AW123" s="604"/>
      <c r="AX123" s="604"/>
      <c r="AY123" s="605"/>
      <c r="AZ123" s="600"/>
      <c r="BA123" s="597"/>
      <c r="BB123" s="597"/>
      <c r="BC123" s="629"/>
      <c r="BD123" s="630"/>
      <c r="BE123" s="631"/>
      <c r="BF123" s="631"/>
      <c r="BG123" s="632"/>
      <c r="BH123" s="591"/>
      <c r="BI123" s="603"/>
      <c r="BJ123" s="591"/>
      <c r="BK123" s="591"/>
      <c r="BL123" s="591"/>
      <c r="BM123" s="634"/>
      <c r="BN123" s="634"/>
    </row>
    <row customHeight="true" ht="13.333333333333332" r="124">
      <c r="A124" s="590">
        <v>46113</v>
      </c>
      <c r="B124" s="591" t="s">
        <v>1359</v>
      </c>
      <c r="C124" s="628"/>
      <c r="D124" s="591"/>
      <c r="E124" s="593"/>
      <c r="F124" s="594"/>
      <c r="G124" s="594"/>
      <c r="H124" s="591"/>
      <c r="I124" s="594"/>
      <c r="J124" s="596"/>
      <c r="K124" s="591"/>
      <c r="L124" s="591"/>
      <c r="M124" s="591"/>
      <c r="N124" s="594"/>
      <c r="O124" s="597"/>
      <c r="P124" s="597"/>
      <c r="Q124" s="591"/>
      <c r="R124" s="591"/>
      <c r="S124" s="591"/>
      <c r="T124" s="591"/>
      <c r="U124" s="591"/>
      <c r="V124" s="594"/>
      <c r="W124" s="591"/>
      <c r="X124" s="596"/>
      <c r="Y124" s="591"/>
      <c r="Z124" s="591"/>
      <c r="AA124" s="591"/>
      <c r="AB124" s="591"/>
      <c r="AC124" s="591"/>
      <c r="AD124" s="598"/>
      <c r="AE124" s="592"/>
      <c r="AF124" s="591"/>
      <c r="AG124" s="591"/>
      <c r="AH124" s="599"/>
      <c r="AI124" s="591"/>
      <c r="AJ124" s="600"/>
      <c r="AK124" s="591"/>
      <c r="AL124" s="601"/>
      <c r="AM124" s="602"/>
      <c r="AN124" s="600"/>
      <c r="AO124" s="600"/>
      <c r="AP124" s="601"/>
      <c r="AQ124" s="594"/>
      <c r="AR124" s="597"/>
      <c r="AS124" s="597"/>
      <c r="AT124" s="600"/>
      <c r="AU124" s="597"/>
      <c r="AV124" s="600"/>
      <c r="AW124" s="604"/>
      <c r="AX124" s="604"/>
      <c r="AY124" s="605"/>
      <c r="AZ124" s="600"/>
      <c r="BA124" s="597"/>
      <c r="BB124" s="597"/>
      <c r="BC124" s="629"/>
      <c r="BD124" s="630"/>
      <c r="BE124" s="631"/>
      <c r="BF124" s="631"/>
      <c r="BG124" s="632"/>
      <c r="BH124" s="591"/>
      <c r="BI124" s="603"/>
      <c r="BJ124" s="591"/>
      <c r="BK124" s="591"/>
      <c r="BL124" s="591"/>
      <c r="BM124" s="634"/>
      <c r="BN124" s="634"/>
    </row>
    <row customHeight="true" ht="13.333333333333332" r="125">
      <c r="A125" s="590">
        <v>46114</v>
      </c>
      <c r="B125" s="591" t="s">
        <v>1360</v>
      </c>
      <c r="C125" s="628"/>
      <c r="D125" s="591"/>
      <c r="E125" s="593"/>
      <c r="F125" s="594"/>
      <c r="G125" s="594"/>
      <c r="H125" s="591"/>
      <c r="I125" s="594"/>
      <c r="J125" s="596"/>
      <c r="K125" s="591"/>
      <c r="L125" s="591"/>
      <c r="M125" s="591"/>
      <c r="N125" s="594"/>
      <c r="O125" s="597"/>
      <c r="P125" s="597"/>
      <c r="Q125" s="591"/>
      <c r="R125" s="591"/>
      <c r="S125" s="591"/>
      <c r="T125" s="591"/>
      <c r="U125" s="591"/>
      <c r="V125" s="594"/>
      <c r="W125" s="591"/>
      <c r="X125" s="596"/>
      <c r="Y125" s="591"/>
      <c r="Z125" s="591"/>
      <c r="AA125" s="591"/>
      <c r="AB125" s="591"/>
      <c r="AC125" s="591"/>
      <c r="AD125" s="598"/>
      <c r="AE125" s="592"/>
      <c r="AF125" s="591"/>
      <c r="AG125" s="591"/>
      <c r="AH125" s="599"/>
      <c r="AI125" s="591"/>
      <c r="AJ125" s="600"/>
      <c r="AK125" s="591"/>
      <c r="AL125" s="601"/>
      <c r="AM125" s="602"/>
      <c r="AN125" s="600"/>
      <c r="AO125" s="600"/>
      <c r="AP125" s="601"/>
      <c r="AQ125" s="594"/>
      <c r="AR125" s="597"/>
      <c r="AS125" s="597"/>
      <c r="AT125" s="600"/>
      <c r="AU125" s="597"/>
      <c r="AV125" s="600"/>
      <c r="AW125" s="604"/>
      <c r="AX125" s="604"/>
      <c r="AY125" s="605"/>
      <c r="AZ125" s="600"/>
      <c r="BA125" s="597"/>
      <c r="BB125" s="597"/>
      <c r="BC125" s="629"/>
      <c r="BD125" s="630"/>
      <c r="BE125" s="631"/>
      <c r="BF125" s="631"/>
      <c r="BG125" s="632"/>
      <c r="BH125" s="591"/>
      <c r="BI125" s="603"/>
      <c r="BJ125" s="591"/>
      <c r="BK125" s="591"/>
      <c r="BL125" s="591"/>
      <c r="BM125" s="634"/>
      <c r="BN125" s="634"/>
    </row>
    <row customHeight="true" ht="13.333333333333332" r="126">
      <c r="A126" s="590">
        <v>46115</v>
      </c>
      <c r="B126" s="591" t="s">
        <v>1361</v>
      </c>
      <c r="C126" s="628"/>
      <c r="D126" s="591"/>
      <c r="E126" s="593"/>
      <c r="F126" s="594"/>
      <c r="G126" s="594"/>
      <c r="H126" s="591"/>
      <c r="I126" s="594"/>
      <c r="J126" s="596"/>
      <c r="K126" s="591"/>
      <c r="L126" s="591"/>
      <c r="M126" s="591"/>
      <c r="N126" s="594"/>
      <c r="O126" s="597"/>
      <c r="P126" s="597"/>
      <c r="Q126" s="591"/>
      <c r="R126" s="591"/>
      <c r="S126" s="591"/>
      <c r="T126" s="591"/>
      <c r="U126" s="591"/>
      <c r="V126" s="594"/>
      <c r="W126" s="591"/>
      <c r="X126" s="596"/>
      <c r="Y126" s="591"/>
      <c r="Z126" s="591"/>
      <c r="AA126" s="591"/>
      <c r="AB126" s="591"/>
      <c r="AC126" s="591"/>
      <c r="AD126" s="598"/>
      <c r="AE126" s="592"/>
      <c r="AF126" s="591"/>
      <c r="AG126" s="591"/>
      <c r="AH126" s="599"/>
      <c r="AI126" s="591"/>
      <c r="AJ126" s="600"/>
      <c r="AK126" s="591"/>
      <c r="AL126" s="601"/>
      <c r="AM126" s="602"/>
      <c r="AN126" s="600"/>
      <c r="AO126" s="600"/>
      <c r="AP126" s="601"/>
      <c r="AQ126" s="594"/>
      <c r="AR126" s="597"/>
      <c r="AS126" s="597"/>
      <c r="AT126" s="600"/>
      <c r="AU126" s="597"/>
      <c r="AV126" s="600"/>
      <c r="AW126" s="604"/>
      <c r="AX126" s="604"/>
      <c r="AY126" s="605"/>
      <c r="AZ126" s="600"/>
      <c r="BA126" s="597"/>
      <c r="BB126" s="597"/>
      <c r="BC126" s="629"/>
      <c r="BD126" s="630"/>
      <c r="BE126" s="631"/>
      <c r="BF126" s="631"/>
      <c r="BG126" s="632"/>
      <c r="BH126" s="591"/>
      <c r="BI126" s="603"/>
      <c r="BJ126" s="591"/>
      <c r="BK126" s="591"/>
      <c r="BL126" s="591"/>
      <c r="BM126" s="634"/>
      <c r="BN126" s="634"/>
    </row>
    <row customHeight="true" ht="13.333333333333332" r="127">
      <c r="A127" s="590">
        <v>46116</v>
      </c>
      <c r="B127" s="591" t="s">
        <v>1362</v>
      </c>
      <c r="C127" s="628"/>
      <c r="D127" s="591"/>
      <c r="E127" s="593"/>
      <c r="F127" s="594"/>
      <c r="G127" s="594"/>
      <c r="H127" s="591"/>
      <c r="I127" s="594"/>
      <c r="J127" s="596"/>
      <c r="K127" s="591"/>
      <c r="L127" s="591"/>
      <c r="M127" s="591"/>
      <c r="N127" s="594"/>
      <c r="O127" s="597"/>
      <c r="P127" s="597"/>
      <c r="Q127" s="591"/>
      <c r="R127" s="591"/>
      <c r="S127" s="591"/>
      <c r="T127" s="591"/>
      <c r="U127" s="591"/>
      <c r="V127" s="594"/>
      <c r="W127" s="591"/>
      <c r="X127" s="596"/>
      <c r="Y127" s="591"/>
      <c r="Z127" s="591"/>
      <c r="AA127" s="591"/>
      <c r="AB127" s="591"/>
      <c r="AC127" s="591"/>
      <c r="AD127" s="598"/>
      <c r="AE127" s="592"/>
      <c r="AF127" s="591"/>
      <c r="AG127" s="591"/>
      <c r="AH127" s="599"/>
      <c r="AI127" s="591"/>
      <c r="AJ127" s="600"/>
      <c r="AK127" s="591"/>
      <c r="AL127" s="601"/>
      <c r="AM127" s="602"/>
      <c r="AN127" s="600"/>
      <c r="AO127" s="600"/>
      <c r="AP127" s="601"/>
      <c r="AQ127" s="594"/>
      <c r="AR127" s="597"/>
      <c r="AS127" s="597"/>
      <c r="AT127" s="600"/>
      <c r="AU127" s="597"/>
      <c r="AV127" s="600"/>
      <c r="AW127" s="604"/>
      <c r="AX127" s="604"/>
      <c r="AY127" s="605"/>
      <c r="AZ127" s="600"/>
      <c r="BA127" s="597"/>
      <c r="BB127" s="597"/>
      <c r="BC127" s="629"/>
      <c r="BD127" s="630"/>
      <c r="BE127" s="631"/>
      <c r="BF127" s="631"/>
      <c r="BG127" s="632"/>
      <c r="BH127" s="591"/>
      <c r="BI127" s="603"/>
      <c r="BJ127" s="591"/>
      <c r="BK127" s="591"/>
      <c r="BL127" s="591"/>
      <c r="BM127" s="634"/>
      <c r="BN127" s="634"/>
    </row>
    <row customHeight="true" ht="13.333333333333332" r="128">
      <c r="A128" s="590">
        <v>46117</v>
      </c>
      <c r="B128" s="591" t="s">
        <v>1363</v>
      </c>
      <c r="C128" s="628"/>
      <c r="D128" s="591"/>
      <c r="E128" s="593"/>
      <c r="F128" s="594"/>
      <c r="G128" s="594"/>
      <c r="H128" s="591"/>
      <c r="I128" s="594"/>
      <c r="J128" s="596"/>
      <c r="K128" s="591"/>
      <c r="L128" s="591"/>
      <c r="M128" s="591"/>
      <c r="N128" s="594"/>
      <c r="O128" s="597"/>
      <c r="P128" s="597"/>
      <c r="Q128" s="591"/>
      <c r="R128" s="591"/>
      <c r="S128" s="591"/>
      <c r="T128" s="591"/>
      <c r="U128" s="591"/>
      <c r="V128" s="594"/>
      <c r="W128" s="591"/>
      <c r="X128" s="596"/>
      <c r="Y128" s="591"/>
      <c r="Z128" s="591"/>
      <c r="AA128" s="591"/>
      <c r="AB128" s="591"/>
      <c r="AC128" s="591"/>
      <c r="AD128" s="598"/>
      <c r="AE128" s="592"/>
      <c r="AF128" s="591"/>
      <c r="AG128" s="591"/>
      <c r="AH128" s="599"/>
      <c r="AI128" s="591"/>
      <c r="AJ128" s="600"/>
      <c r="AK128" s="591"/>
      <c r="AL128" s="601"/>
      <c r="AM128" s="602"/>
      <c r="AN128" s="600"/>
      <c r="AO128" s="600"/>
      <c r="AP128" s="601"/>
      <c r="AQ128" s="594"/>
      <c r="AR128" s="597"/>
      <c r="AS128" s="597"/>
      <c r="AT128" s="600"/>
      <c r="AU128" s="597"/>
      <c r="AV128" s="600"/>
      <c r="AW128" s="604"/>
      <c r="AX128" s="604"/>
      <c r="AY128" s="605"/>
      <c r="AZ128" s="600"/>
      <c r="BA128" s="597"/>
      <c r="BB128" s="597"/>
      <c r="BC128" s="629"/>
      <c r="BD128" s="630"/>
      <c r="BE128" s="631"/>
      <c r="BF128" s="631"/>
      <c r="BG128" s="632"/>
      <c r="BH128" s="591"/>
      <c r="BI128" s="603"/>
      <c r="BJ128" s="591"/>
      <c r="BK128" s="591"/>
      <c r="BL128" s="591"/>
      <c r="BM128" s="634"/>
      <c r="BN128" s="634"/>
    </row>
    <row customHeight="true" ht="13.333333333333332" r="129">
      <c r="A129" s="590">
        <v>46118</v>
      </c>
      <c r="B129" s="591" t="s">
        <v>1356</v>
      </c>
      <c r="C129" s="628"/>
      <c r="D129" s="591"/>
      <c r="E129" s="593"/>
      <c r="F129" s="594"/>
      <c r="G129" s="594"/>
      <c r="H129" s="591"/>
      <c r="I129" s="594"/>
      <c r="J129" s="596"/>
      <c r="K129" s="591"/>
      <c r="L129" s="591"/>
      <c r="M129" s="591"/>
      <c r="N129" s="594"/>
      <c r="O129" s="597"/>
      <c r="P129" s="597"/>
      <c r="Q129" s="591"/>
      <c r="R129" s="591"/>
      <c r="S129" s="591"/>
      <c r="T129" s="591"/>
      <c r="U129" s="591"/>
      <c r="V129" s="594"/>
      <c r="W129" s="591"/>
      <c r="X129" s="596"/>
      <c r="Y129" s="591"/>
      <c r="Z129" s="591"/>
      <c r="AA129" s="591"/>
      <c r="AB129" s="591"/>
      <c r="AC129" s="591"/>
      <c r="AD129" s="598"/>
      <c r="AE129" s="592"/>
      <c r="AF129" s="591"/>
      <c r="AG129" s="591"/>
      <c r="AH129" s="599"/>
      <c r="AI129" s="591"/>
      <c r="AJ129" s="600"/>
      <c r="AK129" s="591"/>
      <c r="AL129" s="601"/>
      <c r="AM129" s="602"/>
      <c r="AN129" s="600"/>
      <c r="AO129" s="600"/>
      <c r="AP129" s="601"/>
      <c r="AQ129" s="594"/>
      <c r="AR129" s="597"/>
      <c r="AS129" s="597"/>
      <c r="AT129" s="600"/>
      <c r="AU129" s="597"/>
      <c r="AV129" s="600"/>
      <c r="AW129" s="604"/>
      <c r="AX129" s="604"/>
      <c r="AY129" s="605"/>
      <c r="AZ129" s="600"/>
      <c r="BA129" s="597"/>
      <c r="BB129" s="597"/>
      <c r="BC129" s="629"/>
      <c r="BD129" s="630"/>
      <c r="BE129" s="631"/>
      <c r="BF129" s="631"/>
      <c r="BG129" s="632"/>
      <c r="BH129" s="591"/>
      <c r="BI129" s="603"/>
      <c r="BJ129" s="591"/>
      <c r="BK129" s="591"/>
      <c r="BL129" s="591"/>
      <c r="BM129" s="634"/>
      <c r="BN129" s="634"/>
    </row>
    <row customHeight="true" ht="13.333333333333332" r="130">
      <c r="A130" s="590">
        <v>46119</v>
      </c>
      <c r="B130" s="591" t="s">
        <v>1358</v>
      </c>
      <c r="C130" s="628"/>
      <c r="D130" s="591"/>
      <c r="E130" s="593"/>
      <c r="F130" s="594"/>
      <c r="G130" s="594"/>
      <c r="H130" s="591"/>
      <c r="I130" s="594"/>
      <c r="J130" s="596"/>
      <c r="K130" s="591"/>
      <c r="L130" s="591"/>
      <c r="M130" s="591"/>
      <c r="N130" s="594"/>
      <c r="O130" s="597"/>
      <c r="P130" s="597"/>
      <c r="Q130" s="591"/>
      <c r="R130" s="591"/>
      <c r="S130" s="591"/>
      <c r="T130" s="591"/>
      <c r="U130" s="591"/>
      <c r="V130" s="594"/>
      <c r="W130" s="591"/>
      <c r="X130" s="596"/>
      <c r="Y130" s="591"/>
      <c r="Z130" s="591"/>
      <c r="AA130" s="591"/>
      <c r="AB130" s="591"/>
      <c r="AC130" s="591"/>
      <c r="AD130" s="598"/>
      <c r="AE130" s="592"/>
      <c r="AF130" s="591"/>
      <c r="AG130" s="591"/>
      <c r="AH130" s="599"/>
      <c r="AI130" s="591"/>
      <c r="AJ130" s="600"/>
      <c r="AK130" s="591"/>
      <c r="AL130" s="601"/>
      <c r="AM130" s="602"/>
      <c r="AN130" s="600"/>
      <c r="AO130" s="600"/>
      <c r="AP130" s="601"/>
      <c r="AQ130" s="594"/>
      <c r="AR130" s="597"/>
      <c r="AS130" s="597"/>
      <c r="AT130" s="600"/>
      <c r="AU130" s="597"/>
      <c r="AV130" s="600"/>
      <c r="AW130" s="604"/>
      <c r="AX130" s="604"/>
      <c r="AY130" s="605"/>
      <c r="AZ130" s="600"/>
      <c r="BA130" s="597"/>
      <c r="BB130" s="597"/>
      <c r="BC130" s="629"/>
      <c r="BD130" s="630"/>
      <c r="BE130" s="631"/>
      <c r="BF130" s="631"/>
      <c r="BG130" s="632"/>
      <c r="BH130" s="591"/>
      <c r="BI130" s="603"/>
      <c r="BJ130" s="591"/>
      <c r="BK130" s="591"/>
      <c r="BL130" s="591"/>
      <c r="BM130" s="634"/>
      <c r="BN130" s="634"/>
    </row>
    <row customHeight="true" ht="13.333333333333332" r="131">
      <c r="A131" s="590">
        <v>46120</v>
      </c>
      <c r="B131" s="591" t="s">
        <v>1359</v>
      </c>
      <c r="C131" s="628"/>
      <c r="D131" s="591"/>
      <c r="E131" s="593"/>
      <c r="F131" s="594"/>
      <c r="G131" s="594"/>
      <c r="H131" s="591"/>
      <c r="I131" s="594"/>
      <c r="J131" s="596"/>
      <c r="K131" s="591"/>
      <c r="L131" s="591"/>
      <c r="M131" s="591"/>
      <c r="N131" s="594"/>
      <c r="O131" s="597"/>
      <c r="P131" s="597"/>
      <c r="Q131" s="591"/>
      <c r="R131" s="591"/>
      <c r="S131" s="591"/>
      <c r="T131" s="591"/>
      <c r="U131" s="591"/>
      <c r="V131" s="594"/>
      <c r="W131" s="591"/>
      <c r="X131" s="596"/>
      <c r="Y131" s="591"/>
      <c r="Z131" s="591"/>
      <c r="AA131" s="591"/>
      <c r="AB131" s="591"/>
      <c r="AC131" s="591"/>
      <c r="AD131" s="598"/>
      <c r="AE131" s="592"/>
      <c r="AF131" s="591"/>
      <c r="AG131" s="591"/>
      <c r="AH131" s="599"/>
      <c r="AI131" s="591"/>
      <c r="AJ131" s="600"/>
      <c r="AK131" s="591"/>
      <c r="AL131" s="601"/>
      <c r="AM131" s="602"/>
      <c r="AN131" s="600"/>
      <c r="AO131" s="600"/>
      <c r="AP131" s="601"/>
      <c r="AQ131" s="594"/>
      <c r="AR131" s="597"/>
      <c r="AS131" s="597"/>
      <c r="AT131" s="600"/>
      <c r="AU131" s="597"/>
      <c r="AV131" s="600"/>
      <c r="AW131" s="604"/>
      <c r="AX131" s="604"/>
      <c r="AY131" s="605"/>
      <c r="AZ131" s="600"/>
      <c r="BA131" s="597"/>
      <c r="BB131" s="597"/>
      <c r="BC131" s="629"/>
      <c r="BD131" s="630"/>
      <c r="BE131" s="631"/>
      <c r="BF131" s="631"/>
      <c r="BG131" s="632"/>
      <c r="BH131" s="591"/>
      <c r="BI131" s="603"/>
      <c r="BJ131" s="591"/>
      <c r="BK131" s="591"/>
      <c r="BL131" s="591"/>
      <c r="BM131" s="634"/>
      <c r="BN131" s="634"/>
    </row>
    <row customHeight="true" ht="13.333333333333332" r="132">
      <c r="A132" s="590">
        <v>46121</v>
      </c>
      <c r="B132" s="591" t="s">
        <v>1360</v>
      </c>
      <c r="C132" s="628"/>
      <c r="D132" s="591"/>
      <c r="E132" s="593"/>
      <c r="F132" s="594"/>
      <c r="G132" s="594"/>
      <c r="H132" s="591"/>
      <c r="I132" s="594"/>
      <c r="J132" s="596"/>
      <c r="K132" s="591"/>
      <c r="L132" s="591"/>
      <c r="M132" s="591"/>
      <c r="N132" s="594"/>
      <c r="O132" s="597"/>
      <c r="P132" s="597"/>
      <c r="Q132" s="591"/>
      <c r="R132" s="591"/>
      <c r="S132" s="591"/>
      <c r="T132" s="591"/>
      <c r="U132" s="591"/>
      <c r="V132" s="594"/>
      <c r="W132" s="591"/>
      <c r="X132" s="596"/>
      <c r="Y132" s="591"/>
      <c r="Z132" s="591"/>
      <c r="AA132" s="591"/>
      <c r="AB132" s="591"/>
      <c r="AC132" s="591"/>
      <c r="AD132" s="598"/>
      <c r="AE132" s="592"/>
      <c r="AF132" s="591"/>
      <c r="AG132" s="591"/>
      <c r="AH132" s="599"/>
      <c r="AI132" s="591"/>
      <c r="AJ132" s="600"/>
      <c r="AK132" s="591"/>
      <c r="AL132" s="601"/>
      <c r="AM132" s="602"/>
      <c r="AN132" s="600"/>
      <c r="AO132" s="600"/>
      <c r="AP132" s="601"/>
      <c r="AQ132" s="594"/>
      <c r="AR132" s="597"/>
      <c r="AS132" s="597"/>
      <c r="AT132" s="600"/>
      <c r="AU132" s="597"/>
      <c r="AV132" s="600"/>
      <c r="AW132" s="604"/>
      <c r="AX132" s="604"/>
      <c r="AY132" s="605"/>
      <c r="AZ132" s="600"/>
      <c r="BA132" s="597"/>
      <c r="BB132" s="597"/>
      <c r="BC132" s="629"/>
      <c r="BD132" s="630"/>
      <c r="BE132" s="631"/>
      <c r="BF132" s="631"/>
      <c r="BG132" s="632"/>
      <c r="BH132" s="591"/>
      <c r="BI132" s="603"/>
      <c r="BJ132" s="591"/>
      <c r="BK132" s="591"/>
      <c r="BL132" s="591"/>
      <c r="BM132" s="634"/>
      <c r="BN132" s="634"/>
    </row>
    <row customHeight="true" ht="13.333333333333332" r="133">
      <c r="A133" s="590">
        <v>46122</v>
      </c>
      <c r="B133" s="591" t="s">
        <v>1361</v>
      </c>
      <c r="C133" s="592"/>
      <c r="D133" s="591"/>
      <c r="E133" s="593"/>
      <c r="F133" s="594"/>
      <c r="G133" s="594"/>
      <c r="H133" s="591"/>
      <c r="I133" s="594"/>
      <c r="J133" s="596"/>
      <c r="K133" s="591"/>
      <c r="L133" s="591"/>
      <c r="M133" s="591"/>
      <c r="N133" s="594"/>
      <c r="O133" s="597"/>
      <c r="P133" s="597"/>
      <c r="Q133" s="591"/>
      <c r="R133" s="591"/>
      <c r="S133" s="591"/>
      <c r="T133" s="591"/>
      <c r="U133" s="591"/>
      <c r="V133" s="594"/>
      <c r="W133" s="591"/>
      <c r="X133" s="596"/>
      <c r="Y133" s="591"/>
      <c r="Z133" s="591"/>
      <c r="AA133" s="591"/>
      <c r="AB133" s="591"/>
      <c r="AC133" s="591"/>
      <c r="AD133" s="598"/>
      <c r="AE133" s="592"/>
      <c r="AF133" s="591"/>
      <c r="AG133" s="591"/>
      <c r="AH133" s="599"/>
      <c r="AI133" s="591"/>
      <c r="AJ133" s="600"/>
      <c r="AK133" s="591"/>
      <c r="AL133" s="601"/>
      <c r="AM133" s="602"/>
      <c r="AN133" s="600"/>
      <c r="AO133" s="600"/>
      <c r="AP133" s="601"/>
      <c r="AQ133" s="594"/>
      <c r="AR133" s="597"/>
      <c r="AS133" s="597"/>
      <c r="AT133" s="600"/>
      <c r="AU133" s="597"/>
      <c r="AV133" s="600"/>
      <c r="AW133" s="604"/>
      <c r="AX133" s="604"/>
      <c r="AY133" s="605"/>
      <c r="AZ133" s="600"/>
      <c r="BA133" s="597"/>
      <c r="BB133" s="597"/>
      <c r="BC133" s="629"/>
      <c r="BD133" s="630"/>
      <c r="BE133" s="631"/>
      <c r="BF133" s="631"/>
      <c r="BG133" s="632"/>
      <c r="BH133" s="591"/>
      <c r="BI133" s="603"/>
      <c r="BJ133" s="591"/>
      <c r="BK133" s="591"/>
      <c r="BL133" s="591"/>
      <c r="BM133" s="634"/>
      <c r="BN133" s="634"/>
    </row>
    <row customHeight="true" ht="13.333333333333332" r="134">
      <c r="A134" s="590">
        <v>46123</v>
      </c>
      <c r="B134" s="591" t="s">
        <v>1362</v>
      </c>
      <c r="C134" s="628"/>
      <c r="D134" s="591"/>
      <c r="E134" s="593"/>
      <c r="F134" s="594"/>
      <c r="G134" s="594"/>
      <c r="H134" s="591"/>
      <c r="I134" s="594"/>
      <c r="J134" s="596"/>
      <c r="K134" s="591"/>
      <c r="L134" s="591"/>
      <c r="M134" s="591"/>
      <c r="N134" s="594"/>
      <c r="O134" s="597"/>
      <c r="P134" s="597"/>
      <c r="Q134" s="591"/>
      <c r="R134" s="591"/>
      <c r="S134" s="591"/>
      <c r="T134" s="591"/>
      <c r="U134" s="591"/>
      <c r="V134" s="594"/>
      <c r="W134" s="591"/>
      <c r="X134" s="596"/>
      <c r="Y134" s="591"/>
      <c r="Z134" s="591"/>
      <c r="AA134" s="591"/>
      <c r="AB134" s="591"/>
      <c r="AC134" s="591"/>
      <c r="AD134" s="598"/>
      <c r="AE134" s="592"/>
      <c r="AF134" s="591"/>
      <c r="AG134" s="591"/>
      <c r="AH134" s="599"/>
      <c r="AI134" s="591"/>
      <c r="AJ134" s="600"/>
      <c r="AK134" s="591"/>
      <c r="AL134" s="601"/>
      <c r="AM134" s="602"/>
      <c r="AN134" s="600"/>
      <c r="AO134" s="600"/>
      <c r="AP134" s="601"/>
      <c r="AQ134" s="594"/>
      <c r="AR134" s="597"/>
      <c r="AS134" s="597"/>
      <c r="AT134" s="600"/>
      <c r="AU134" s="597"/>
      <c r="AV134" s="600"/>
      <c r="AW134" s="604"/>
      <c r="AX134" s="604"/>
      <c r="AY134" s="605"/>
      <c r="AZ134" s="600"/>
      <c r="BA134" s="597"/>
      <c r="BB134" s="597"/>
      <c r="BC134" s="629"/>
      <c r="BD134" s="630"/>
      <c r="BE134" s="631"/>
      <c r="BF134" s="631"/>
      <c r="BG134" s="632"/>
      <c r="BH134" s="591"/>
      <c r="BI134" s="603"/>
      <c r="BJ134" s="591"/>
      <c r="BK134" s="591"/>
      <c r="BL134" s="591"/>
      <c r="BM134" s="634"/>
      <c r="BN134" s="634"/>
    </row>
    <row customHeight="true" ht="13.333333333333332" r="135">
      <c r="A135" s="590">
        <v>46124</v>
      </c>
      <c r="B135" s="591" t="s">
        <v>1363</v>
      </c>
      <c r="C135" s="628"/>
      <c r="D135" s="591"/>
      <c r="E135" s="593"/>
      <c r="F135" s="594"/>
      <c r="G135" s="594"/>
      <c r="H135" s="591"/>
      <c r="I135" s="594"/>
      <c r="J135" s="596"/>
      <c r="K135" s="591"/>
      <c r="L135" s="591"/>
      <c r="M135" s="591"/>
      <c r="N135" s="594"/>
      <c r="O135" s="597"/>
      <c r="P135" s="597"/>
      <c r="Q135" s="591"/>
      <c r="R135" s="591"/>
      <c r="S135" s="591"/>
      <c r="T135" s="591"/>
      <c r="U135" s="591"/>
      <c r="V135" s="594"/>
      <c r="W135" s="591"/>
      <c r="X135" s="596"/>
      <c r="Y135" s="591"/>
      <c r="Z135" s="591"/>
      <c r="AA135" s="591"/>
      <c r="AB135" s="591"/>
      <c r="AC135" s="591"/>
      <c r="AD135" s="598"/>
      <c r="AE135" s="592"/>
      <c r="AF135" s="591"/>
      <c r="AG135" s="591"/>
      <c r="AH135" s="599"/>
      <c r="AI135" s="591"/>
      <c r="AJ135" s="600"/>
      <c r="AK135" s="591"/>
      <c r="AL135" s="601"/>
      <c r="AM135" s="602"/>
      <c r="AN135" s="600"/>
      <c r="AO135" s="600"/>
      <c r="AP135" s="601"/>
      <c r="AQ135" s="594"/>
      <c r="AR135" s="597"/>
      <c r="AS135" s="597"/>
      <c r="AT135" s="600"/>
      <c r="AU135" s="597"/>
      <c r="AV135" s="600"/>
      <c r="AW135" s="604"/>
      <c r="AX135" s="604"/>
      <c r="AY135" s="605"/>
      <c r="AZ135" s="600"/>
      <c r="BA135" s="597"/>
      <c r="BB135" s="597"/>
      <c r="BC135" s="629"/>
      <c r="BD135" s="630"/>
      <c r="BE135" s="631"/>
      <c r="BF135" s="631"/>
      <c r="BG135" s="632"/>
      <c r="BH135" s="591"/>
      <c r="BI135" s="603"/>
      <c r="BJ135" s="591"/>
      <c r="BK135" s="591"/>
      <c r="BL135" s="591"/>
      <c r="BM135" s="634"/>
      <c r="BN135" s="634"/>
    </row>
    <row customHeight="true" ht="13.333333333333332" r="136">
      <c r="A136" s="590">
        <v>46125</v>
      </c>
      <c r="B136" s="591" t="s">
        <v>1356</v>
      </c>
      <c r="C136" s="628"/>
      <c r="D136" s="591"/>
      <c r="E136" s="593"/>
      <c r="F136" s="594"/>
      <c r="G136" s="594"/>
      <c r="H136" s="591"/>
      <c r="I136" s="594"/>
      <c r="J136" s="596"/>
      <c r="K136" s="591"/>
      <c r="L136" s="591"/>
      <c r="M136" s="591"/>
      <c r="N136" s="594"/>
      <c r="O136" s="597"/>
      <c r="P136" s="597"/>
      <c r="Q136" s="591"/>
      <c r="R136" s="591"/>
      <c r="S136" s="591"/>
      <c r="T136" s="591"/>
      <c r="U136" s="591"/>
      <c r="V136" s="594"/>
      <c r="W136" s="591"/>
      <c r="X136" s="596"/>
      <c r="Y136" s="591"/>
      <c r="Z136" s="591"/>
      <c r="AA136" s="591"/>
      <c r="AB136" s="591"/>
      <c r="AC136" s="591"/>
      <c r="AD136" s="598"/>
      <c r="AE136" s="592"/>
      <c r="AF136" s="591"/>
      <c r="AG136" s="591"/>
      <c r="AH136" s="599"/>
      <c r="AI136" s="591"/>
      <c r="AJ136" s="600"/>
      <c r="AK136" s="591"/>
      <c r="AL136" s="601"/>
      <c r="AM136" s="602"/>
      <c r="AN136" s="600"/>
      <c r="AO136" s="600"/>
      <c r="AP136" s="601"/>
      <c r="AQ136" s="594"/>
      <c r="AR136" s="597"/>
      <c r="AS136" s="597"/>
      <c r="AT136" s="600"/>
      <c r="AU136" s="597"/>
      <c r="AV136" s="600"/>
      <c r="AW136" s="604"/>
      <c r="AX136" s="604"/>
      <c r="AY136" s="605"/>
      <c r="AZ136" s="600"/>
      <c r="BA136" s="597"/>
      <c r="BB136" s="597"/>
      <c r="BC136" s="629"/>
      <c r="BD136" s="630"/>
      <c r="BE136" s="631"/>
      <c r="BF136" s="631"/>
      <c r="BG136" s="632"/>
      <c r="BH136" s="591"/>
      <c r="BI136" s="603"/>
      <c r="BJ136" s="591"/>
      <c r="BK136" s="591"/>
      <c r="BL136" s="591"/>
      <c r="BM136" s="634"/>
      <c r="BN136" s="634"/>
    </row>
    <row customHeight="true" ht="13.333333333333332" r="137">
      <c r="A137" s="590">
        <v>46126</v>
      </c>
      <c r="B137" s="591" t="s">
        <v>1358</v>
      </c>
      <c r="C137" s="628"/>
      <c r="D137" s="591"/>
      <c r="E137" s="593"/>
      <c r="F137" s="594"/>
      <c r="G137" s="594"/>
      <c r="H137" s="591"/>
      <c r="I137" s="594"/>
      <c r="J137" s="596"/>
      <c r="K137" s="591"/>
      <c r="L137" s="591"/>
      <c r="M137" s="591"/>
      <c r="N137" s="594"/>
      <c r="O137" s="597"/>
      <c r="P137" s="597"/>
      <c r="Q137" s="591"/>
      <c r="R137" s="591"/>
      <c r="S137" s="591"/>
      <c r="T137" s="591"/>
      <c r="U137" s="591"/>
      <c r="V137" s="594"/>
      <c r="W137" s="591"/>
      <c r="X137" s="596"/>
      <c r="Y137" s="591"/>
      <c r="Z137" s="591"/>
      <c r="AA137" s="591"/>
      <c r="AB137" s="591"/>
      <c r="AC137" s="591"/>
      <c r="AD137" s="598"/>
      <c r="AE137" s="592"/>
      <c r="AF137" s="591"/>
      <c r="AG137" s="591"/>
      <c r="AH137" s="599"/>
      <c r="AI137" s="591"/>
      <c r="AJ137" s="600"/>
      <c r="AK137" s="591"/>
      <c r="AL137" s="601"/>
      <c r="AM137" s="602"/>
      <c r="AN137" s="600"/>
      <c r="AO137" s="600"/>
      <c r="AP137" s="601"/>
      <c r="AQ137" s="594"/>
      <c r="AR137" s="597"/>
      <c r="AS137" s="597"/>
      <c r="AT137" s="600"/>
      <c r="AU137" s="597"/>
      <c r="AV137" s="600"/>
      <c r="AW137" s="604"/>
      <c r="AX137" s="604"/>
      <c r="AY137" s="605"/>
      <c r="AZ137" s="600"/>
      <c r="BA137" s="597"/>
      <c r="BB137" s="597"/>
      <c r="BC137" s="629"/>
      <c r="BD137" s="630"/>
      <c r="BE137" s="631"/>
      <c r="BF137" s="631"/>
      <c r="BG137" s="632"/>
      <c r="BH137" s="591"/>
      <c r="BI137" s="603"/>
      <c r="BJ137" s="591"/>
      <c r="BK137" s="591"/>
      <c r="BL137" s="591"/>
      <c r="BM137" s="634"/>
      <c r="BN137" s="634"/>
    </row>
    <row customHeight="true" ht="13.333333333333332" r="138">
      <c r="A138" s="590">
        <v>46127</v>
      </c>
      <c r="B138" s="591" t="s">
        <v>1359</v>
      </c>
      <c r="C138" s="628"/>
      <c r="D138" s="591"/>
      <c r="E138" s="593"/>
      <c r="F138" s="594"/>
      <c r="G138" s="594"/>
      <c r="H138" s="591"/>
      <c r="I138" s="594"/>
      <c r="J138" s="596"/>
      <c r="K138" s="591"/>
      <c r="L138" s="591"/>
      <c r="M138" s="591"/>
      <c r="N138" s="594"/>
      <c r="O138" s="597"/>
      <c r="P138" s="597"/>
      <c r="Q138" s="591"/>
      <c r="R138" s="591"/>
      <c r="S138" s="591"/>
      <c r="T138" s="591"/>
      <c r="U138" s="591"/>
      <c r="V138" s="594"/>
      <c r="W138" s="591"/>
      <c r="X138" s="596"/>
      <c r="Y138" s="591"/>
      <c r="Z138" s="591"/>
      <c r="AA138" s="591"/>
      <c r="AB138" s="591"/>
      <c r="AC138" s="591"/>
      <c r="AD138" s="598"/>
      <c r="AE138" s="592"/>
      <c r="AF138" s="591"/>
      <c r="AG138" s="591"/>
      <c r="AH138" s="599"/>
      <c r="AI138" s="591"/>
      <c r="AJ138" s="600"/>
      <c r="AK138" s="591"/>
      <c r="AL138" s="601"/>
      <c r="AM138" s="602"/>
      <c r="AN138" s="600"/>
      <c r="AO138" s="600"/>
      <c r="AP138" s="601"/>
      <c r="AQ138" s="594"/>
      <c r="AR138" s="597"/>
      <c r="AS138" s="597"/>
      <c r="AT138" s="600"/>
      <c r="AU138" s="597"/>
      <c r="AV138" s="600"/>
      <c r="AW138" s="604"/>
      <c r="AX138" s="604"/>
      <c r="AY138" s="605"/>
      <c r="AZ138" s="600"/>
      <c r="BA138" s="597"/>
      <c r="BB138" s="597"/>
      <c r="BC138" s="629"/>
      <c r="BD138" s="630"/>
      <c r="BE138" s="631"/>
      <c r="BF138" s="631"/>
      <c r="BG138" s="632"/>
      <c r="BH138" s="591"/>
      <c r="BI138" s="603"/>
      <c r="BJ138" s="591"/>
      <c r="BK138" s="591"/>
      <c r="BL138" s="591"/>
      <c r="BM138" s="634"/>
      <c r="BN138" s="634"/>
    </row>
    <row customHeight="true" ht="13.333333333333332" r="139">
      <c r="A139" s="590">
        <v>46128</v>
      </c>
      <c r="B139" s="591" t="s">
        <v>1360</v>
      </c>
      <c r="C139" s="628"/>
      <c r="D139" s="591"/>
      <c r="E139" s="593"/>
      <c r="F139" s="594"/>
      <c r="G139" s="594"/>
      <c r="H139" s="591"/>
      <c r="I139" s="594"/>
      <c r="J139" s="596"/>
      <c r="K139" s="591"/>
      <c r="L139" s="591"/>
      <c r="M139" s="591"/>
      <c r="N139" s="594"/>
      <c r="O139" s="597"/>
      <c r="P139" s="597"/>
      <c r="Q139" s="591"/>
      <c r="R139" s="591"/>
      <c r="S139" s="591"/>
      <c r="T139" s="591"/>
      <c r="U139" s="591"/>
      <c r="V139" s="594"/>
      <c r="W139" s="591"/>
      <c r="X139" s="596"/>
      <c r="Y139" s="591"/>
      <c r="Z139" s="591"/>
      <c r="AA139" s="591"/>
      <c r="AB139" s="591"/>
      <c r="AC139" s="591"/>
      <c r="AD139" s="598"/>
      <c r="AE139" s="592"/>
      <c r="AF139" s="591"/>
      <c r="AG139" s="591"/>
      <c r="AH139" s="599"/>
      <c r="AI139" s="591"/>
      <c r="AJ139" s="600"/>
      <c r="AK139" s="591"/>
      <c r="AL139" s="601"/>
      <c r="AM139" s="602"/>
      <c r="AN139" s="600"/>
      <c r="AO139" s="600"/>
      <c r="AP139" s="601"/>
      <c r="AQ139" s="594"/>
      <c r="AR139" s="597"/>
      <c r="AS139" s="597"/>
      <c r="AT139" s="600"/>
      <c r="AU139" s="597"/>
      <c r="AV139" s="600"/>
      <c r="AW139" s="604"/>
      <c r="AX139" s="604"/>
      <c r="AY139" s="605"/>
      <c r="AZ139" s="600"/>
      <c r="BA139" s="597"/>
      <c r="BB139" s="597"/>
      <c r="BC139" s="629"/>
      <c r="BD139" s="630"/>
      <c r="BE139" s="631"/>
      <c r="BF139" s="631"/>
      <c r="BG139" s="632"/>
      <c r="BH139" s="591"/>
      <c r="BI139" s="603"/>
      <c r="BJ139" s="591"/>
      <c r="BK139" s="591"/>
      <c r="BL139" s="591"/>
      <c r="BM139" s="634"/>
      <c r="BN139" s="634"/>
    </row>
    <row customHeight="true" ht="13.333333333333332" r="140">
      <c r="A140" s="590">
        <v>46129</v>
      </c>
      <c r="B140" s="591" t="s">
        <v>1361</v>
      </c>
      <c r="C140" s="628"/>
      <c r="D140" s="591"/>
      <c r="E140" s="593"/>
      <c r="F140" s="594"/>
      <c r="G140" s="594"/>
      <c r="H140" s="591"/>
      <c r="I140" s="594"/>
      <c r="J140" s="596"/>
      <c r="K140" s="591"/>
      <c r="L140" s="591"/>
      <c r="M140" s="591"/>
      <c r="N140" s="594"/>
      <c r="O140" s="597"/>
      <c r="P140" s="597"/>
      <c r="Q140" s="591"/>
      <c r="R140" s="591"/>
      <c r="S140" s="591"/>
      <c r="T140" s="591"/>
      <c r="U140" s="591"/>
      <c r="V140" s="594"/>
      <c r="W140" s="591"/>
      <c r="X140" s="596"/>
      <c r="Y140" s="591"/>
      <c r="Z140" s="591"/>
      <c r="AA140" s="591"/>
      <c r="AB140" s="591"/>
      <c r="AC140" s="591"/>
      <c r="AD140" s="598"/>
      <c r="AE140" s="592"/>
      <c r="AF140" s="591"/>
      <c r="AG140" s="591"/>
      <c r="AH140" s="599"/>
      <c r="AI140" s="591"/>
      <c r="AJ140" s="600"/>
      <c r="AK140" s="591"/>
      <c r="AL140" s="601"/>
      <c r="AM140" s="602"/>
      <c r="AN140" s="600"/>
      <c r="AO140" s="600"/>
      <c r="AP140" s="601"/>
      <c r="AQ140" s="594"/>
      <c r="AR140" s="597"/>
      <c r="AS140" s="597"/>
      <c r="AT140" s="600"/>
      <c r="AU140" s="597"/>
      <c r="AV140" s="600"/>
      <c r="AW140" s="604"/>
      <c r="AX140" s="604"/>
      <c r="AY140" s="605"/>
      <c r="AZ140" s="600"/>
      <c r="BA140" s="597"/>
      <c r="BB140" s="597"/>
      <c r="BC140" s="629"/>
      <c r="BD140" s="630"/>
      <c r="BE140" s="631"/>
      <c r="BF140" s="631"/>
      <c r="BG140" s="632"/>
      <c r="BH140" s="591"/>
      <c r="BI140" s="603"/>
      <c r="BJ140" s="591"/>
      <c r="BK140" s="591"/>
      <c r="BL140" s="591"/>
      <c r="BM140" s="634"/>
      <c r="BN140" s="634"/>
    </row>
    <row customHeight="true" ht="13.333333333333332" r="141">
      <c r="A141" s="590">
        <v>46130</v>
      </c>
      <c r="B141" s="591" t="s">
        <v>1362</v>
      </c>
      <c r="C141" s="628"/>
      <c r="D141" s="591"/>
      <c r="E141" s="593"/>
      <c r="F141" s="594"/>
      <c r="G141" s="594"/>
      <c r="H141" s="591"/>
      <c r="I141" s="594"/>
      <c r="J141" s="596"/>
      <c r="K141" s="591"/>
      <c r="L141" s="591"/>
      <c r="M141" s="591"/>
      <c r="N141" s="594"/>
      <c r="O141" s="597"/>
      <c r="P141" s="597"/>
      <c r="Q141" s="591"/>
      <c r="R141" s="591"/>
      <c r="S141" s="591"/>
      <c r="T141" s="591"/>
      <c r="U141" s="591"/>
      <c r="V141" s="594"/>
      <c r="W141" s="591"/>
      <c r="X141" s="596"/>
      <c r="Y141" s="591"/>
      <c r="Z141" s="591"/>
      <c r="AA141" s="591"/>
      <c r="AB141" s="591"/>
      <c r="AC141" s="591"/>
      <c r="AD141" s="598"/>
      <c r="AE141" s="592"/>
      <c r="AF141" s="591"/>
      <c r="AG141" s="591"/>
      <c r="AH141" s="599"/>
      <c r="AI141" s="591"/>
      <c r="AJ141" s="600"/>
      <c r="AK141" s="591"/>
      <c r="AL141" s="601"/>
      <c r="AM141" s="602"/>
      <c r="AN141" s="600"/>
      <c r="AO141" s="600"/>
      <c r="AP141" s="601"/>
      <c r="AQ141" s="594"/>
      <c r="AR141" s="597"/>
      <c r="AS141" s="597"/>
      <c r="AT141" s="600"/>
      <c r="AU141" s="597"/>
      <c r="AV141" s="600"/>
      <c r="AW141" s="604"/>
      <c r="AX141" s="604"/>
      <c r="AY141" s="605"/>
      <c r="AZ141" s="600"/>
      <c r="BA141" s="597"/>
      <c r="BB141" s="597"/>
      <c r="BC141" s="629"/>
      <c r="BD141" s="630"/>
      <c r="BE141" s="631"/>
      <c r="BF141" s="631"/>
      <c r="BG141" s="632"/>
      <c r="BH141" s="591"/>
      <c r="BI141" s="603"/>
      <c r="BJ141" s="591"/>
      <c r="BK141" s="591"/>
      <c r="BL141" s="591"/>
      <c r="BM141" s="634"/>
      <c r="BN141" s="634"/>
    </row>
    <row customHeight="true" ht="13.333333333333332" r="142">
      <c r="A142" s="590">
        <v>46131</v>
      </c>
      <c r="B142" s="591" t="s">
        <v>1363</v>
      </c>
      <c r="C142" s="628"/>
      <c r="D142" s="591"/>
      <c r="E142" s="593"/>
      <c r="F142" s="594"/>
      <c r="G142" s="594"/>
      <c r="H142" s="591"/>
      <c r="I142" s="594"/>
      <c r="J142" s="596"/>
      <c r="K142" s="591"/>
      <c r="L142" s="591"/>
      <c r="M142" s="591"/>
      <c r="N142" s="594"/>
      <c r="O142" s="597"/>
      <c r="P142" s="597"/>
      <c r="Q142" s="591"/>
      <c r="R142" s="591"/>
      <c r="S142" s="591"/>
      <c r="T142" s="591"/>
      <c r="U142" s="591"/>
      <c r="V142" s="594"/>
      <c r="W142" s="591"/>
      <c r="X142" s="596"/>
      <c r="Y142" s="591"/>
      <c r="Z142" s="591"/>
      <c r="AA142" s="591"/>
      <c r="AB142" s="591"/>
      <c r="AC142" s="591"/>
      <c r="AD142" s="598"/>
      <c r="AE142" s="592"/>
      <c r="AF142" s="591"/>
      <c r="AG142" s="591"/>
      <c r="AH142" s="599"/>
      <c r="AI142" s="591"/>
      <c r="AJ142" s="600"/>
      <c r="AK142" s="591"/>
      <c r="AL142" s="601"/>
      <c r="AM142" s="602"/>
      <c r="AN142" s="600"/>
      <c r="AO142" s="600"/>
      <c r="AP142" s="601"/>
      <c r="AQ142" s="594"/>
      <c r="AR142" s="597"/>
      <c r="AS142" s="597"/>
      <c r="AT142" s="600"/>
      <c r="AU142" s="597"/>
      <c r="AV142" s="600"/>
      <c r="AW142" s="604"/>
      <c r="AX142" s="604"/>
      <c r="AY142" s="605"/>
      <c r="AZ142" s="600"/>
      <c r="BA142" s="597"/>
      <c r="BB142" s="597"/>
      <c r="BC142" s="629"/>
      <c r="BD142" s="630"/>
      <c r="BE142" s="631"/>
      <c r="BF142" s="631"/>
      <c r="BG142" s="632"/>
      <c r="BH142" s="591"/>
      <c r="BI142" s="603"/>
      <c r="BJ142" s="591"/>
      <c r="BK142" s="591"/>
      <c r="BL142" s="591"/>
      <c r="BM142" s="634"/>
      <c r="BN142" s="634"/>
    </row>
    <row customHeight="true" ht="13.333333333333332" r="143">
      <c r="A143" s="590">
        <v>46132</v>
      </c>
      <c r="B143" s="591" t="s">
        <v>1356</v>
      </c>
      <c r="C143" s="628"/>
      <c r="D143" s="591"/>
      <c r="E143" s="593"/>
      <c r="F143" s="594"/>
      <c r="G143" s="594"/>
      <c r="H143" s="591"/>
      <c r="I143" s="594"/>
      <c r="J143" s="596"/>
      <c r="K143" s="591"/>
      <c r="L143" s="591"/>
      <c r="M143" s="591"/>
      <c r="N143" s="594"/>
      <c r="O143" s="597"/>
      <c r="P143" s="597"/>
      <c r="Q143" s="591"/>
      <c r="R143" s="591"/>
      <c r="S143" s="591"/>
      <c r="T143" s="591"/>
      <c r="U143" s="591"/>
      <c r="V143" s="594"/>
      <c r="W143" s="591"/>
      <c r="X143" s="596"/>
      <c r="Y143" s="591"/>
      <c r="Z143" s="591"/>
      <c r="AA143" s="591"/>
      <c r="AB143" s="591"/>
      <c r="AC143" s="591"/>
      <c r="AD143" s="598"/>
      <c r="AE143" s="592"/>
      <c r="AF143" s="591"/>
      <c r="AG143" s="591"/>
      <c r="AH143" s="599"/>
      <c r="AI143" s="591"/>
      <c r="AJ143" s="600"/>
      <c r="AK143" s="591"/>
      <c r="AL143" s="601"/>
      <c r="AM143" s="602"/>
      <c r="AN143" s="600"/>
      <c r="AO143" s="600"/>
      <c r="AP143" s="601"/>
      <c r="AQ143" s="594"/>
      <c r="AR143" s="597"/>
      <c r="AS143" s="597"/>
      <c r="AT143" s="600"/>
      <c r="AU143" s="597"/>
      <c r="AV143" s="600"/>
      <c r="AW143" s="604"/>
      <c r="AX143" s="604"/>
      <c r="AY143" s="605"/>
      <c r="AZ143" s="600"/>
      <c r="BA143" s="597"/>
      <c r="BB143" s="597"/>
      <c r="BC143" s="629"/>
      <c r="BD143" s="630"/>
      <c r="BE143" s="631"/>
      <c r="BF143" s="631"/>
      <c r="BG143" s="632"/>
      <c r="BH143" s="591"/>
      <c r="BI143" s="603"/>
      <c r="BJ143" s="591"/>
      <c r="BK143" s="591"/>
      <c r="BL143" s="591"/>
      <c r="BM143" s="634"/>
      <c r="BN143" s="634"/>
    </row>
    <row customHeight="true" ht="13.333333333333332" r="144">
      <c r="A144" s="590">
        <v>46133</v>
      </c>
      <c r="B144" s="591" t="s">
        <v>1358</v>
      </c>
      <c r="C144" s="628"/>
      <c r="D144" s="591"/>
      <c r="E144" s="593"/>
      <c r="F144" s="594"/>
      <c r="G144" s="594"/>
      <c r="H144" s="591"/>
      <c r="I144" s="594"/>
      <c r="J144" s="596"/>
      <c r="K144" s="591"/>
      <c r="L144" s="591"/>
      <c r="M144" s="591"/>
      <c r="N144" s="594"/>
      <c r="O144" s="597"/>
      <c r="P144" s="597"/>
      <c r="Q144" s="591"/>
      <c r="R144" s="591"/>
      <c r="S144" s="591"/>
      <c r="T144" s="591"/>
      <c r="U144" s="591"/>
      <c r="V144" s="594"/>
      <c r="W144" s="591"/>
      <c r="X144" s="596"/>
      <c r="Y144" s="591"/>
      <c r="Z144" s="591"/>
      <c r="AA144" s="591"/>
      <c r="AB144" s="591"/>
      <c r="AC144" s="591"/>
      <c r="AD144" s="598"/>
      <c r="AE144" s="592"/>
      <c r="AF144" s="591"/>
      <c r="AG144" s="591"/>
      <c r="AH144" s="599"/>
      <c r="AI144" s="591"/>
      <c r="AJ144" s="600"/>
      <c r="AK144" s="591"/>
      <c r="AL144" s="601"/>
      <c r="AM144" s="602"/>
      <c r="AN144" s="600"/>
      <c r="AO144" s="600"/>
      <c r="AP144" s="601"/>
      <c r="AQ144" s="594"/>
      <c r="AR144" s="597"/>
      <c r="AS144" s="597"/>
      <c r="AT144" s="600"/>
      <c r="AU144" s="597"/>
      <c r="AV144" s="600"/>
      <c r="AW144" s="604"/>
      <c r="AX144" s="604"/>
      <c r="AY144" s="605"/>
      <c r="AZ144" s="600"/>
      <c r="BA144" s="597"/>
      <c r="BB144" s="597"/>
      <c r="BC144" s="629"/>
      <c r="BD144" s="630"/>
      <c r="BE144" s="631"/>
      <c r="BF144" s="631"/>
      <c r="BG144" s="632"/>
      <c r="BH144" s="591"/>
      <c r="BI144" s="603"/>
      <c r="BJ144" s="591"/>
      <c r="BK144" s="591"/>
      <c r="BL144" s="591"/>
      <c r="BM144" s="634"/>
      <c r="BN144" s="634"/>
    </row>
    <row customHeight="true" ht="13.333333333333332" r="145">
      <c r="A145" s="590">
        <v>46134</v>
      </c>
      <c r="B145" s="591" t="s">
        <v>1359</v>
      </c>
      <c r="C145" s="628"/>
      <c r="D145" s="591"/>
      <c r="E145" s="593"/>
      <c r="F145" s="594"/>
      <c r="G145" s="594"/>
      <c r="H145" s="591"/>
      <c r="I145" s="594"/>
      <c r="J145" s="596"/>
      <c r="K145" s="591"/>
      <c r="L145" s="591"/>
      <c r="M145" s="591"/>
      <c r="N145" s="594"/>
      <c r="O145" s="597"/>
      <c r="P145" s="597"/>
      <c r="Q145" s="591"/>
      <c r="R145" s="591"/>
      <c r="S145" s="591"/>
      <c r="T145" s="591"/>
      <c r="U145" s="591"/>
      <c r="V145" s="594"/>
      <c r="W145" s="591"/>
      <c r="X145" s="596"/>
      <c r="Y145" s="591"/>
      <c r="Z145" s="591"/>
      <c r="AA145" s="591"/>
      <c r="AB145" s="591"/>
      <c r="AC145" s="591"/>
      <c r="AD145" s="598"/>
      <c r="AE145" s="592"/>
      <c r="AF145" s="591"/>
      <c r="AG145" s="591"/>
      <c r="AH145" s="599"/>
      <c r="AI145" s="591"/>
      <c r="AJ145" s="600"/>
      <c r="AK145" s="591"/>
      <c r="AL145" s="601"/>
      <c r="AM145" s="602"/>
      <c r="AN145" s="600"/>
      <c r="AO145" s="600"/>
      <c r="AP145" s="601"/>
      <c r="AQ145" s="594"/>
      <c r="AR145" s="597"/>
      <c r="AS145" s="597"/>
      <c r="AT145" s="600"/>
      <c r="AU145" s="597"/>
      <c r="AV145" s="600"/>
      <c r="AW145" s="604"/>
      <c r="AX145" s="604"/>
      <c r="AY145" s="605"/>
      <c r="AZ145" s="600"/>
      <c r="BA145" s="597"/>
      <c r="BB145" s="597"/>
      <c r="BC145" s="629"/>
      <c r="BD145" s="630"/>
      <c r="BE145" s="631"/>
      <c r="BF145" s="631"/>
      <c r="BG145" s="632"/>
      <c r="BH145" s="591"/>
      <c r="BI145" s="603"/>
      <c r="BJ145" s="591"/>
      <c r="BK145" s="591"/>
      <c r="BL145" s="591"/>
      <c r="BM145" s="634"/>
      <c r="BN145" s="634"/>
    </row>
    <row customHeight="true" ht="13.333333333333332" r="146">
      <c r="A146" s="590">
        <v>46135</v>
      </c>
      <c r="B146" s="591" t="s">
        <v>1360</v>
      </c>
      <c r="C146" s="628"/>
      <c r="D146" s="591"/>
      <c r="E146" s="593"/>
      <c r="F146" s="594"/>
      <c r="G146" s="594"/>
      <c r="H146" s="591"/>
      <c r="I146" s="594"/>
      <c r="J146" s="596"/>
      <c r="K146" s="591"/>
      <c r="L146" s="591"/>
      <c r="M146" s="591"/>
      <c r="N146" s="594"/>
      <c r="O146" s="597"/>
      <c r="P146" s="597"/>
      <c r="Q146" s="591"/>
      <c r="R146" s="591"/>
      <c r="S146" s="591"/>
      <c r="T146" s="591"/>
      <c r="U146" s="591"/>
      <c r="V146" s="594"/>
      <c r="W146" s="591"/>
      <c r="X146" s="596"/>
      <c r="Y146" s="591"/>
      <c r="Z146" s="591"/>
      <c r="AA146" s="591"/>
      <c r="AB146" s="591"/>
      <c r="AC146" s="591"/>
      <c r="AD146" s="598"/>
      <c r="AE146" s="592"/>
      <c r="AF146" s="591"/>
      <c r="AG146" s="591"/>
      <c r="AH146" s="599"/>
      <c r="AI146" s="591"/>
      <c r="AJ146" s="600"/>
      <c r="AK146" s="591"/>
      <c r="AL146" s="601"/>
      <c r="AM146" s="602"/>
      <c r="AN146" s="600"/>
      <c r="AO146" s="600"/>
      <c r="AP146" s="601"/>
      <c r="AQ146" s="594"/>
      <c r="AR146" s="597"/>
      <c r="AS146" s="597"/>
      <c r="AT146" s="600"/>
      <c r="AU146" s="597"/>
      <c r="AV146" s="600"/>
      <c r="AW146" s="604"/>
      <c r="AX146" s="604"/>
      <c r="AY146" s="605"/>
      <c r="AZ146" s="600"/>
      <c r="BA146" s="597"/>
      <c r="BB146" s="597"/>
      <c r="BC146" s="629"/>
      <c r="BD146" s="630"/>
      <c r="BE146" s="631"/>
      <c r="BF146" s="631"/>
      <c r="BG146" s="632"/>
      <c r="BH146" s="591"/>
      <c r="BI146" s="603"/>
      <c r="BJ146" s="591"/>
      <c r="BK146" s="591"/>
      <c r="BL146" s="591"/>
      <c r="BM146" s="634"/>
      <c r="BN146" s="634"/>
    </row>
    <row customHeight="true" ht="13.333333333333332" r="147">
      <c r="A147" s="590">
        <v>46136</v>
      </c>
      <c r="B147" s="591" t="s">
        <v>1361</v>
      </c>
      <c r="C147" s="628"/>
      <c r="D147" s="591"/>
      <c r="E147" s="593"/>
      <c r="F147" s="594"/>
      <c r="G147" s="594"/>
      <c r="H147" s="591"/>
      <c r="I147" s="594"/>
      <c r="J147" s="596"/>
      <c r="K147" s="591"/>
      <c r="L147" s="591"/>
      <c r="M147" s="591"/>
      <c r="N147" s="594"/>
      <c r="O147" s="597"/>
      <c r="P147" s="597"/>
      <c r="Q147" s="591"/>
      <c r="R147" s="591"/>
      <c r="S147" s="591"/>
      <c r="T147" s="591"/>
      <c r="U147" s="591"/>
      <c r="V147" s="594"/>
      <c r="W147" s="591"/>
      <c r="X147" s="596"/>
      <c r="Y147" s="591"/>
      <c r="Z147" s="591"/>
      <c r="AA147" s="591"/>
      <c r="AB147" s="591"/>
      <c r="AC147" s="591"/>
      <c r="AD147" s="598"/>
      <c r="AE147" s="592"/>
      <c r="AF147" s="591"/>
      <c r="AG147" s="591"/>
      <c r="AH147" s="599"/>
      <c r="AI147" s="591"/>
      <c r="AJ147" s="600"/>
      <c r="AK147" s="591"/>
      <c r="AL147" s="601"/>
      <c r="AM147" s="602"/>
      <c r="AN147" s="600"/>
      <c r="AO147" s="600"/>
      <c r="AP147" s="601"/>
      <c r="AQ147" s="594"/>
      <c r="AR147" s="597"/>
      <c r="AS147" s="597"/>
      <c r="AT147" s="600"/>
      <c r="AU147" s="597"/>
      <c r="AV147" s="600"/>
      <c r="AW147" s="604"/>
      <c r="AX147" s="604"/>
      <c r="AY147" s="605"/>
      <c r="AZ147" s="600"/>
      <c r="BA147" s="597"/>
      <c r="BB147" s="597"/>
      <c r="BC147" s="629"/>
      <c r="BD147" s="630"/>
      <c r="BE147" s="631"/>
      <c r="BF147" s="631"/>
      <c r="BG147" s="632"/>
      <c r="BH147" s="591"/>
      <c r="BI147" s="603"/>
      <c r="BJ147" s="591"/>
      <c r="BK147" s="591"/>
      <c r="BL147" s="591"/>
      <c r="BM147" s="634"/>
      <c r="BN147" s="634"/>
    </row>
    <row customHeight="true" ht="13.333333333333332" r="148">
      <c r="A148" s="590">
        <v>46137</v>
      </c>
      <c r="B148" s="591" t="s">
        <v>1362</v>
      </c>
      <c r="C148" s="628"/>
      <c r="D148" s="591"/>
      <c r="E148" s="593"/>
      <c r="F148" s="594"/>
      <c r="G148" s="594"/>
      <c r="H148" s="591"/>
      <c r="I148" s="594"/>
      <c r="J148" s="596"/>
      <c r="K148" s="591"/>
      <c r="L148" s="591"/>
      <c r="M148" s="591"/>
      <c r="N148" s="594"/>
      <c r="O148" s="597"/>
      <c r="P148" s="597"/>
      <c r="Q148" s="591"/>
      <c r="R148" s="591"/>
      <c r="S148" s="591"/>
      <c r="T148" s="591"/>
      <c r="U148" s="591"/>
      <c r="V148" s="594"/>
      <c r="W148" s="591"/>
      <c r="X148" s="596"/>
      <c r="Y148" s="591"/>
      <c r="Z148" s="591"/>
      <c r="AA148" s="591"/>
      <c r="AB148" s="591"/>
      <c r="AC148" s="591"/>
      <c r="AD148" s="598"/>
      <c r="AE148" s="592"/>
      <c r="AF148" s="591"/>
      <c r="AG148" s="591"/>
      <c r="AH148" s="599"/>
      <c r="AI148" s="591"/>
      <c r="AJ148" s="600"/>
      <c r="AK148" s="591"/>
      <c r="AL148" s="601"/>
      <c r="AM148" s="602"/>
      <c r="AN148" s="600"/>
      <c r="AO148" s="600"/>
      <c r="AP148" s="601"/>
      <c r="AQ148" s="594"/>
      <c r="AR148" s="597"/>
      <c r="AS148" s="597"/>
      <c r="AT148" s="600"/>
      <c r="AU148" s="597"/>
      <c r="AV148" s="600"/>
      <c r="AW148" s="604"/>
      <c r="AX148" s="604"/>
      <c r="AY148" s="605"/>
      <c r="AZ148" s="600"/>
      <c r="BA148" s="597"/>
      <c r="BB148" s="597"/>
      <c r="BC148" s="629"/>
      <c r="BD148" s="630"/>
      <c r="BE148" s="631"/>
      <c r="BF148" s="631"/>
      <c r="BG148" s="632"/>
      <c r="BH148" s="591"/>
      <c r="BI148" s="603"/>
      <c r="BJ148" s="591"/>
      <c r="BK148" s="591"/>
      <c r="BL148" s="591"/>
      <c r="BM148" s="634"/>
      <c r="BN148" s="634"/>
    </row>
    <row customHeight="true" ht="13.333333333333332" r="149">
      <c r="A149" s="590">
        <v>46138</v>
      </c>
      <c r="B149" s="591" t="s">
        <v>1363</v>
      </c>
      <c r="C149" s="628"/>
      <c r="D149" s="591"/>
      <c r="E149" s="593"/>
      <c r="F149" s="594"/>
      <c r="G149" s="594"/>
      <c r="H149" s="591"/>
      <c r="I149" s="594"/>
      <c r="J149" s="596"/>
      <c r="K149" s="591"/>
      <c r="L149" s="591"/>
      <c r="M149" s="591"/>
      <c r="N149" s="594"/>
      <c r="O149" s="597"/>
      <c r="P149" s="597"/>
      <c r="Q149" s="591"/>
      <c r="R149" s="591"/>
      <c r="S149" s="591"/>
      <c r="T149" s="591"/>
      <c r="U149" s="591"/>
      <c r="V149" s="594"/>
      <c r="W149" s="591"/>
      <c r="X149" s="596"/>
      <c r="Y149" s="591"/>
      <c r="Z149" s="591"/>
      <c r="AA149" s="591"/>
      <c r="AB149" s="591"/>
      <c r="AC149" s="591"/>
      <c r="AD149" s="598"/>
      <c r="AE149" s="592"/>
      <c r="AF149" s="591"/>
      <c r="AG149" s="591"/>
      <c r="AH149" s="599"/>
      <c r="AI149" s="591"/>
      <c r="AJ149" s="600"/>
      <c r="AK149" s="591"/>
      <c r="AL149" s="601"/>
      <c r="AM149" s="602"/>
      <c r="AN149" s="600"/>
      <c r="AO149" s="600"/>
      <c r="AP149" s="601"/>
      <c r="AQ149" s="594"/>
      <c r="AR149" s="597"/>
      <c r="AS149" s="597"/>
      <c r="AT149" s="600"/>
      <c r="AU149" s="597"/>
      <c r="AV149" s="600"/>
      <c r="AW149" s="604"/>
      <c r="AX149" s="604"/>
      <c r="AY149" s="605"/>
      <c r="AZ149" s="600"/>
      <c r="BA149" s="597"/>
      <c r="BB149" s="597"/>
      <c r="BC149" s="629"/>
      <c r="BD149" s="630"/>
      <c r="BE149" s="631"/>
      <c r="BF149" s="631"/>
      <c r="BG149" s="632"/>
      <c r="BH149" s="591"/>
      <c r="BI149" s="603"/>
      <c r="BJ149" s="591"/>
      <c r="BK149" s="591"/>
      <c r="BL149" s="591"/>
      <c r="BM149" s="634"/>
      <c r="BN149" s="634"/>
    </row>
    <row customHeight="true" ht="13.333333333333332" r="150">
      <c r="A150" s="590">
        <v>46139</v>
      </c>
      <c r="B150" s="591" t="s">
        <v>1356</v>
      </c>
      <c r="C150" s="628"/>
      <c r="D150" s="591"/>
      <c r="E150" s="593"/>
      <c r="F150" s="594"/>
      <c r="G150" s="594"/>
      <c r="H150" s="591"/>
      <c r="I150" s="594"/>
      <c r="J150" s="596"/>
      <c r="K150" s="591"/>
      <c r="L150" s="591"/>
      <c r="M150" s="591"/>
      <c r="N150" s="594"/>
      <c r="O150" s="597"/>
      <c r="P150" s="597"/>
      <c r="Q150" s="591"/>
      <c r="R150" s="591"/>
      <c r="S150" s="591"/>
      <c r="T150" s="591"/>
      <c r="U150" s="591"/>
      <c r="V150" s="594"/>
      <c r="W150" s="591"/>
      <c r="X150" s="596"/>
      <c r="Y150" s="591"/>
      <c r="Z150" s="591"/>
      <c r="AA150" s="591"/>
      <c r="AB150" s="591"/>
      <c r="AC150" s="591"/>
      <c r="AD150" s="598"/>
      <c r="AE150" s="592"/>
      <c r="AF150" s="591"/>
      <c r="AG150" s="591"/>
      <c r="AH150" s="599"/>
      <c r="AI150" s="591"/>
      <c r="AJ150" s="600"/>
      <c r="AK150" s="591"/>
      <c r="AL150" s="601"/>
      <c r="AM150" s="602"/>
      <c r="AN150" s="600"/>
      <c r="AO150" s="600"/>
      <c r="AP150" s="601"/>
      <c r="AQ150" s="594"/>
      <c r="AR150" s="597"/>
      <c r="AS150" s="597"/>
      <c r="AT150" s="600"/>
      <c r="AU150" s="597"/>
      <c r="AV150" s="600"/>
      <c r="AW150" s="604"/>
      <c r="AX150" s="604"/>
      <c r="AY150" s="605"/>
      <c r="AZ150" s="600"/>
      <c r="BA150" s="597"/>
      <c r="BB150" s="597"/>
      <c r="BC150" s="629"/>
      <c r="BD150" s="630"/>
      <c r="BE150" s="631"/>
      <c r="BF150" s="631"/>
      <c r="BG150" s="632"/>
      <c r="BH150" s="591"/>
      <c r="BI150" s="603"/>
      <c r="BJ150" s="591"/>
      <c r="BK150" s="591"/>
      <c r="BL150" s="591"/>
      <c r="BM150" s="634"/>
      <c r="BN150" s="634"/>
    </row>
    <row customHeight="true" ht="13.333333333333332" r="151">
      <c r="A151" s="590">
        <v>46140</v>
      </c>
      <c r="B151" s="591" t="s">
        <v>1358</v>
      </c>
      <c r="C151" s="628"/>
      <c r="D151" s="591"/>
      <c r="E151" s="593"/>
      <c r="F151" s="594"/>
      <c r="G151" s="594"/>
      <c r="H151" s="591"/>
      <c r="I151" s="594"/>
      <c r="J151" s="596"/>
      <c r="K151" s="591"/>
      <c r="L151" s="591"/>
      <c r="M151" s="591"/>
      <c r="N151" s="594"/>
      <c r="O151" s="597"/>
      <c r="P151" s="597"/>
      <c r="Q151" s="591"/>
      <c r="R151" s="591"/>
      <c r="S151" s="591"/>
      <c r="T151" s="591"/>
      <c r="U151" s="591"/>
      <c r="V151" s="594"/>
      <c r="W151" s="591"/>
      <c r="X151" s="596"/>
      <c r="Y151" s="591"/>
      <c r="Z151" s="591"/>
      <c r="AA151" s="591"/>
      <c r="AB151" s="591"/>
      <c r="AC151" s="591"/>
      <c r="AD151" s="598"/>
      <c r="AE151" s="592"/>
      <c r="AF151" s="591"/>
      <c r="AG151" s="591"/>
      <c r="AH151" s="599"/>
      <c r="AI151" s="591"/>
      <c r="AJ151" s="600"/>
      <c r="AK151" s="591"/>
      <c r="AL151" s="601"/>
      <c r="AM151" s="602"/>
      <c r="AN151" s="600"/>
      <c r="AO151" s="600"/>
      <c r="AP151" s="601"/>
      <c r="AQ151" s="594"/>
      <c r="AR151" s="597"/>
      <c r="AS151" s="597"/>
      <c r="AT151" s="600"/>
      <c r="AU151" s="597"/>
      <c r="AV151" s="600"/>
      <c r="AW151" s="604"/>
      <c r="AX151" s="604"/>
      <c r="AY151" s="605"/>
      <c r="AZ151" s="600"/>
      <c r="BA151" s="597"/>
      <c r="BB151" s="597"/>
      <c r="BC151" s="629"/>
      <c r="BD151" s="630"/>
      <c r="BE151" s="631"/>
      <c r="BF151" s="631"/>
      <c r="BG151" s="632"/>
      <c r="BH151" s="591"/>
      <c r="BI151" s="603"/>
      <c r="BJ151" s="591"/>
      <c r="BK151" s="591"/>
      <c r="BL151" s="591"/>
      <c r="BM151" s="634"/>
      <c r="BN151" s="634"/>
    </row>
    <row customHeight="true" ht="13.333333333333332" r="152">
      <c r="A152" s="590">
        <v>46141</v>
      </c>
      <c r="B152" s="591" t="s">
        <v>1359</v>
      </c>
      <c r="C152" s="628"/>
      <c r="D152" s="591"/>
      <c r="E152" s="593"/>
      <c r="F152" s="594"/>
      <c r="G152" s="594"/>
      <c r="H152" s="591"/>
      <c r="I152" s="594"/>
      <c r="J152" s="596"/>
      <c r="K152" s="591"/>
      <c r="L152" s="591"/>
      <c r="M152" s="591"/>
      <c r="N152" s="594"/>
      <c r="O152" s="597"/>
      <c r="P152" s="597"/>
      <c r="Q152" s="591"/>
      <c r="R152" s="591"/>
      <c r="S152" s="591"/>
      <c r="T152" s="591"/>
      <c r="U152" s="591"/>
      <c r="V152" s="594"/>
      <c r="W152" s="591"/>
      <c r="X152" s="596"/>
      <c r="Y152" s="591"/>
      <c r="Z152" s="591"/>
      <c r="AA152" s="591"/>
      <c r="AB152" s="591"/>
      <c r="AC152" s="591"/>
      <c r="AD152" s="598"/>
      <c r="AE152" s="592"/>
      <c r="AF152" s="591"/>
      <c r="AG152" s="591"/>
      <c r="AH152" s="599"/>
      <c r="AI152" s="591"/>
      <c r="AJ152" s="600"/>
      <c r="AK152" s="591"/>
      <c r="AL152" s="601"/>
      <c r="AM152" s="602"/>
      <c r="AN152" s="600"/>
      <c r="AO152" s="600"/>
      <c r="AP152" s="601"/>
      <c r="AQ152" s="594"/>
      <c r="AR152" s="597"/>
      <c r="AS152" s="597"/>
      <c r="AT152" s="600"/>
      <c r="AU152" s="597"/>
      <c r="AV152" s="600"/>
      <c r="AW152" s="604"/>
      <c r="AX152" s="604"/>
      <c r="AY152" s="605"/>
      <c r="AZ152" s="600"/>
      <c r="BA152" s="597"/>
      <c r="BB152" s="597"/>
      <c r="BC152" s="629"/>
      <c r="BD152" s="630"/>
      <c r="BE152" s="631"/>
      <c r="BF152" s="631"/>
      <c r="BG152" s="632"/>
      <c r="BH152" s="591"/>
      <c r="BI152" s="603"/>
      <c r="BJ152" s="591"/>
      <c r="BK152" s="591"/>
      <c r="BL152" s="591"/>
      <c r="BM152" s="634"/>
      <c r="BN152" s="634"/>
    </row>
    <row customHeight="true" ht="13.333333333333332" r="153">
      <c r="A153" s="590">
        <v>46142</v>
      </c>
      <c r="B153" s="591" t="s">
        <v>1360</v>
      </c>
      <c r="C153" s="628"/>
      <c r="D153" s="591"/>
      <c r="E153" s="593"/>
      <c r="F153" s="594"/>
      <c r="G153" s="594"/>
      <c r="H153" s="591"/>
      <c r="I153" s="594"/>
      <c r="J153" s="596"/>
      <c r="K153" s="591"/>
      <c r="L153" s="591"/>
      <c r="M153" s="591"/>
      <c r="N153" s="594"/>
      <c r="O153" s="597"/>
      <c r="P153" s="597"/>
      <c r="Q153" s="591"/>
      <c r="R153" s="591"/>
      <c r="S153" s="591"/>
      <c r="T153" s="591"/>
      <c r="U153" s="591"/>
      <c r="V153" s="594"/>
      <c r="W153" s="591"/>
      <c r="X153" s="596"/>
      <c r="Y153" s="591"/>
      <c r="Z153" s="591"/>
      <c r="AA153" s="591"/>
      <c r="AB153" s="591"/>
      <c r="AC153" s="591"/>
      <c r="AD153" s="598"/>
      <c r="AE153" s="592"/>
      <c r="AF153" s="591"/>
      <c r="AG153" s="591"/>
      <c r="AH153" s="599"/>
      <c r="AI153" s="591"/>
      <c r="AJ153" s="600"/>
      <c r="AK153" s="591"/>
      <c r="AL153" s="601"/>
      <c r="AM153" s="602"/>
      <c r="AN153" s="600"/>
      <c r="AO153" s="600"/>
      <c r="AP153" s="601"/>
      <c r="AQ153" s="594"/>
      <c r="AR153" s="597"/>
      <c r="AS153" s="597"/>
      <c r="AT153" s="600"/>
      <c r="AU153" s="597"/>
      <c r="AV153" s="600"/>
      <c r="AW153" s="604"/>
      <c r="AX153" s="604"/>
      <c r="AY153" s="605"/>
      <c r="AZ153" s="600"/>
      <c r="BA153" s="597"/>
      <c r="BB153" s="597"/>
      <c r="BC153" s="629"/>
      <c r="BD153" s="630"/>
      <c r="BE153" s="631"/>
      <c r="BF153" s="631"/>
      <c r="BG153" s="632"/>
      <c r="BH153" s="591"/>
      <c r="BI153" s="603"/>
      <c r="BJ153" s="591"/>
      <c r="BK153" s="591"/>
      <c r="BL153" s="591"/>
      <c r="BM153" s="634"/>
      <c r="BN153" s="634"/>
    </row>
    <row customHeight="true" ht="13.333333333333332" r="154">
      <c r="A154" s="590">
        <v>46143</v>
      </c>
      <c r="B154" s="591" t="s">
        <v>1361</v>
      </c>
      <c r="C154" s="628"/>
      <c r="D154" s="591"/>
      <c r="E154" s="593"/>
      <c r="F154" s="594"/>
      <c r="G154" s="594"/>
      <c r="H154" s="591"/>
      <c r="I154" s="594"/>
      <c r="J154" s="596"/>
      <c r="K154" s="591"/>
      <c r="L154" s="591"/>
      <c r="M154" s="591"/>
      <c r="N154" s="594"/>
      <c r="O154" s="597"/>
      <c r="P154" s="597"/>
      <c r="Q154" s="591"/>
      <c r="R154" s="591"/>
      <c r="S154" s="591"/>
      <c r="T154" s="591"/>
      <c r="U154" s="591"/>
      <c r="V154" s="594"/>
      <c r="W154" s="591"/>
      <c r="X154" s="596"/>
      <c r="Y154" s="591"/>
      <c r="Z154" s="591"/>
      <c r="AA154" s="591"/>
      <c r="AB154" s="591"/>
      <c r="AC154" s="591"/>
      <c r="AD154" s="598"/>
      <c r="AE154" s="592"/>
      <c r="AF154" s="591"/>
      <c r="AG154" s="591"/>
      <c r="AH154" s="599"/>
      <c r="AI154" s="591"/>
      <c r="AJ154" s="600"/>
      <c r="AK154" s="591"/>
      <c r="AL154" s="601"/>
      <c r="AM154" s="602"/>
      <c r="AN154" s="600"/>
      <c r="AO154" s="600"/>
      <c r="AP154" s="601"/>
      <c r="AQ154" s="594"/>
      <c r="AR154" s="597"/>
      <c r="AS154" s="597"/>
      <c r="AT154" s="600"/>
      <c r="AU154" s="597"/>
      <c r="AV154" s="600"/>
      <c r="AW154" s="604"/>
      <c r="AX154" s="604"/>
      <c r="AY154" s="605"/>
      <c r="AZ154" s="600"/>
      <c r="BA154" s="597"/>
      <c r="BB154" s="597"/>
      <c r="BC154" s="629"/>
      <c r="BD154" s="630"/>
      <c r="BE154" s="631"/>
      <c r="BF154" s="631"/>
      <c r="BG154" s="632"/>
      <c r="BH154" s="591"/>
      <c r="BI154" s="603"/>
      <c r="BJ154" s="591"/>
      <c r="BK154" s="591"/>
      <c r="BL154" s="591"/>
      <c r="BM154" s="634"/>
      <c r="BN154" s="634"/>
    </row>
    <row customHeight="true" ht="13.333333333333332" r="155">
      <c r="A155" s="590">
        <v>46144</v>
      </c>
      <c r="B155" s="591" t="s">
        <v>1362</v>
      </c>
      <c r="C155" s="628"/>
      <c r="D155" s="591"/>
      <c r="E155" s="593"/>
      <c r="F155" s="594"/>
      <c r="G155" s="594"/>
      <c r="H155" s="591"/>
      <c r="I155" s="594"/>
      <c r="J155" s="596"/>
      <c r="K155" s="591"/>
      <c r="L155" s="591"/>
      <c r="M155" s="591"/>
      <c r="N155" s="594"/>
      <c r="O155" s="597"/>
      <c r="P155" s="597"/>
      <c r="Q155" s="591"/>
      <c r="R155" s="591"/>
      <c r="S155" s="591"/>
      <c r="T155" s="591"/>
      <c r="U155" s="591"/>
      <c r="V155" s="594"/>
      <c r="W155" s="591"/>
      <c r="X155" s="596"/>
      <c r="Y155" s="591"/>
      <c r="Z155" s="591"/>
      <c r="AA155" s="591"/>
      <c r="AB155" s="591"/>
      <c r="AC155" s="591"/>
      <c r="AD155" s="598"/>
      <c r="AE155" s="592"/>
      <c r="AF155" s="591"/>
      <c r="AG155" s="591"/>
      <c r="AH155" s="599"/>
      <c r="AI155" s="591"/>
      <c r="AJ155" s="600"/>
      <c r="AK155" s="591"/>
      <c r="AL155" s="601"/>
      <c r="AM155" s="602"/>
      <c r="AN155" s="600"/>
      <c r="AO155" s="600"/>
      <c r="AP155" s="601"/>
      <c r="AQ155" s="594"/>
      <c r="AR155" s="597"/>
      <c r="AS155" s="597"/>
      <c r="AT155" s="600"/>
      <c r="AU155" s="597"/>
      <c r="AV155" s="600"/>
      <c r="AW155" s="604"/>
      <c r="AX155" s="604"/>
      <c r="AY155" s="605"/>
      <c r="AZ155" s="600"/>
      <c r="BA155" s="597"/>
      <c r="BB155" s="597"/>
      <c r="BC155" s="629"/>
      <c r="BD155" s="630"/>
      <c r="BE155" s="631"/>
      <c r="BF155" s="631"/>
      <c r="BG155" s="632"/>
      <c r="BH155" s="591"/>
      <c r="BI155" s="603"/>
      <c r="BJ155" s="591"/>
      <c r="BK155" s="591"/>
      <c r="BL155" s="591"/>
      <c r="BM155" s="634"/>
      <c r="BN155" s="634"/>
    </row>
    <row customHeight="true" ht="13.333333333333332" r="156">
      <c r="A156" s="590">
        <v>46145</v>
      </c>
      <c r="B156" s="591" t="s">
        <v>1363</v>
      </c>
      <c r="C156" s="628"/>
      <c r="D156" s="591"/>
      <c r="E156" s="593"/>
      <c r="F156" s="594"/>
      <c r="G156" s="594"/>
      <c r="H156" s="591"/>
      <c r="I156" s="594"/>
      <c r="J156" s="596"/>
      <c r="K156" s="591"/>
      <c r="L156" s="591"/>
      <c r="M156" s="591"/>
      <c r="N156" s="594"/>
      <c r="O156" s="597"/>
      <c r="P156" s="597"/>
      <c r="Q156" s="591"/>
      <c r="R156" s="591"/>
      <c r="S156" s="591"/>
      <c r="T156" s="591"/>
      <c r="U156" s="591"/>
      <c r="V156" s="594"/>
      <c r="W156" s="591"/>
      <c r="X156" s="596"/>
      <c r="Y156" s="591"/>
      <c r="Z156" s="591"/>
      <c r="AA156" s="591"/>
      <c r="AB156" s="591"/>
      <c r="AC156" s="591"/>
      <c r="AD156" s="598"/>
      <c r="AE156" s="592"/>
      <c r="AF156" s="591"/>
      <c r="AG156" s="591"/>
      <c r="AH156" s="599"/>
      <c r="AI156" s="591"/>
      <c r="AJ156" s="600"/>
      <c r="AK156" s="591"/>
      <c r="AL156" s="601"/>
      <c r="AM156" s="602"/>
      <c r="AN156" s="600"/>
      <c r="AO156" s="600"/>
      <c r="AP156" s="601"/>
      <c r="AQ156" s="594"/>
      <c r="AR156" s="597"/>
      <c r="AS156" s="597"/>
      <c r="AT156" s="600"/>
      <c r="AU156" s="597"/>
      <c r="AV156" s="600"/>
      <c r="AW156" s="604"/>
      <c r="AX156" s="604"/>
      <c r="AY156" s="605"/>
      <c r="AZ156" s="600"/>
      <c r="BA156" s="597"/>
      <c r="BB156" s="597"/>
      <c r="BC156" s="629"/>
      <c r="BD156" s="630"/>
      <c r="BE156" s="631"/>
      <c r="BF156" s="631"/>
      <c r="BG156" s="632"/>
      <c r="BH156" s="591"/>
      <c r="BI156" s="603"/>
      <c r="BJ156" s="591"/>
      <c r="BK156" s="591"/>
      <c r="BL156" s="591"/>
      <c r="BM156" s="634"/>
      <c r="BN156" s="634"/>
    </row>
    <row customHeight="true" ht="13.333333333333332" r="157">
      <c r="A157" s="590">
        <v>46146</v>
      </c>
      <c r="B157" s="591" t="s">
        <v>1356</v>
      </c>
      <c r="C157" s="628"/>
      <c r="D157" s="591"/>
      <c r="E157" s="593"/>
      <c r="F157" s="594"/>
      <c r="G157" s="594"/>
      <c r="H157" s="591"/>
      <c r="I157" s="594"/>
      <c r="J157" s="596"/>
      <c r="K157" s="591"/>
      <c r="L157" s="591"/>
      <c r="M157" s="591"/>
      <c r="N157" s="594"/>
      <c r="O157" s="597"/>
      <c r="P157" s="597"/>
      <c r="Q157" s="591"/>
      <c r="R157" s="591"/>
      <c r="S157" s="591"/>
      <c r="T157" s="591"/>
      <c r="U157" s="591"/>
      <c r="V157" s="594"/>
      <c r="W157" s="591"/>
      <c r="X157" s="596"/>
      <c r="Y157" s="591"/>
      <c r="Z157" s="591"/>
      <c r="AA157" s="591"/>
      <c r="AB157" s="591"/>
      <c r="AC157" s="591"/>
      <c r="AD157" s="598"/>
      <c r="AE157" s="592"/>
      <c r="AF157" s="591"/>
      <c r="AG157" s="591"/>
      <c r="AH157" s="599"/>
      <c r="AI157" s="591"/>
      <c r="AJ157" s="600"/>
      <c r="AK157" s="591"/>
      <c r="AL157" s="601"/>
      <c r="AM157" s="602"/>
      <c r="AN157" s="600"/>
      <c r="AO157" s="600"/>
      <c r="AP157" s="601"/>
      <c r="AQ157" s="594"/>
      <c r="AR157" s="597"/>
      <c r="AS157" s="597"/>
      <c r="AT157" s="600"/>
      <c r="AU157" s="597"/>
      <c r="AV157" s="600"/>
      <c r="AW157" s="604"/>
      <c r="AX157" s="604"/>
      <c r="AY157" s="605"/>
      <c r="AZ157" s="600"/>
      <c r="BA157" s="597"/>
      <c r="BB157" s="597"/>
      <c r="BC157" s="629"/>
      <c r="BD157" s="630"/>
      <c r="BE157" s="631"/>
      <c r="BF157" s="631"/>
      <c r="BG157" s="632"/>
      <c r="BH157" s="591"/>
      <c r="BI157" s="603"/>
      <c r="BJ157" s="591"/>
      <c r="BK157" s="591"/>
      <c r="BL157" s="591"/>
      <c r="BM157" s="634"/>
      <c r="BN157" s="634"/>
    </row>
    <row customHeight="true" ht="13.333333333333332" r="158">
      <c r="A158" s="590">
        <v>46147</v>
      </c>
      <c r="B158" s="591" t="s">
        <v>1358</v>
      </c>
      <c r="C158" s="628"/>
      <c r="D158" s="591"/>
      <c r="E158" s="593"/>
      <c r="F158" s="594"/>
      <c r="G158" s="594"/>
      <c r="H158" s="591"/>
      <c r="I158" s="594"/>
      <c r="J158" s="596"/>
      <c r="K158" s="591"/>
      <c r="L158" s="591"/>
      <c r="M158" s="591"/>
      <c r="N158" s="594"/>
      <c r="O158" s="597"/>
      <c r="P158" s="597"/>
      <c r="Q158" s="591"/>
      <c r="R158" s="591"/>
      <c r="S158" s="591"/>
      <c r="T158" s="591"/>
      <c r="U158" s="591"/>
      <c r="V158" s="594"/>
      <c r="W158" s="591"/>
      <c r="X158" s="596"/>
      <c r="Y158" s="591"/>
      <c r="Z158" s="591"/>
      <c r="AA158" s="591"/>
      <c r="AB158" s="591"/>
      <c r="AC158" s="591"/>
      <c r="AD158" s="598"/>
      <c r="AE158" s="592"/>
      <c r="AF158" s="591"/>
      <c r="AG158" s="591"/>
      <c r="AH158" s="599"/>
      <c r="AI158" s="591"/>
      <c r="AJ158" s="600"/>
      <c r="AK158" s="591"/>
      <c r="AL158" s="601"/>
      <c r="AM158" s="602"/>
      <c r="AN158" s="600"/>
      <c r="AO158" s="600"/>
      <c r="AP158" s="601"/>
      <c r="AQ158" s="594"/>
      <c r="AR158" s="597"/>
      <c r="AS158" s="597"/>
      <c r="AT158" s="600"/>
      <c r="AU158" s="597"/>
      <c r="AV158" s="600"/>
      <c r="AW158" s="604"/>
      <c r="AX158" s="604"/>
      <c r="AY158" s="605"/>
      <c r="AZ158" s="600"/>
      <c r="BA158" s="597"/>
      <c r="BB158" s="597"/>
      <c r="BC158" s="629"/>
      <c r="BD158" s="630"/>
      <c r="BE158" s="631"/>
      <c r="BF158" s="631"/>
      <c r="BG158" s="632"/>
      <c r="BH158" s="591"/>
      <c r="BI158" s="603"/>
      <c r="BJ158" s="591"/>
      <c r="BK158" s="591"/>
      <c r="BL158" s="591"/>
      <c r="BM158" s="634"/>
      <c r="BN158" s="634"/>
    </row>
    <row customHeight="true" ht="13.333333333333332" r="159">
      <c r="A159" s="590">
        <v>46148</v>
      </c>
      <c r="B159" s="591" t="s">
        <v>1359</v>
      </c>
      <c r="C159" s="628"/>
      <c r="D159" s="591"/>
      <c r="E159" s="593"/>
      <c r="F159" s="594"/>
      <c r="G159" s="594"/>
      <c r="H159" s="591"/>
      <c r="I159" s="594"/>
      <c r="J159" s="596"/>
      <c r="K159" s="591"/>
      <c r="L159" s="591"/>
      <c r="M159" s="591"/>
      <c r="N159" s="594"/>
      <c r="O159" s="597"/>
      <c r="P159" s="597"/>
      <c r="Q159" s="591"/>
      <c r="R159" s="591"/>
      <c r="S159" s="591"/>
      <c r="T159" s="591"/>
      <c r="U159" s="591"/>
      <c r="V159" s="594"/>
      <c r="W159" s="591"/>
      <c r="X159" s="596"/>
      <c r="Y159" s="591"/>
      <c r="Z159" s="591"/>
      <c r="AA159" s="591"/>
      <c r="AB159" s="591"/>
      <c r="AC159" s="591"/>
      <c r="AD159" s="598"/>
      <c r="AE159" s="592"/>
      <c r="AF159" s="591"/>
      <c r="AG159" s="591"/>
      <c r="AH159" s="599"/>
      <c r="AI159" s="591"/>
      <c r="AJ159" s="600"/>
      <c r="AK159" s="591"/>
      <c r="AL159" s="601"/>
      <c r="AM159" s="602"/>
      <c r="AN159" s="600"/>
      <c r="AO159" s="600"/>
      <c r="AP159" s="601"/>
      <c r="AQ159" s="594"/>
      <c r="AR159" s="597"/>
      <c r="AS159" s="597"/>
      <c r="AT159" s="600"/>
      <c r="AU159" s="597"/>
      <c r="AV159" s="600"/>
      <c r="AW159" s="604"/>
      <c r="AX159" s="604"/>
      <c r="AY159" s="605"/>
      <c r="AZ159" s="600"/>
      <c r="BA159" s="597"/>
      <c r="BB159" s="597"/>
      <c r="BC159" s="629"/>
      <c r="BD159" s="630"/>
      <c r="BE159" s="631"/>
      <c r="BF159" s="631"/>
      <c r="BG159" s="632"/>
      <c r="BH159" s="591"/>
      <c r="BI159" s="603"/>
      <c r="BJ159" s="591"/>
      <c r="BK159" s="591"/>
      <c r="BL159" s="591"/>
      <c r="BM159" s="634"/>
      <c r="BN159" s="634"/>
    </row>
    <row customHeight="true" ht="13.333333333333332" r="160">
      <c r="A160" s="590">
        <v>46149</v>
      </c>
      <c r="B160" s="591" t="s">
        <v>1360</v>
      </c>
      <c r="C160" s="628"/>
      <c r="D160" s="591"/>
      <c r="E160" s="635"/>
      <c r="F160" s="594"/>
      <c r="G160" s="594"/>
      <c r="H160" s="591"/>
      <c r="I160" s="594"/>
      <c r="J160" s="596"/>
      <c r="K160" s="591"/>
      <c r="L160" s="591"/>
      <c r="M160" s="591"/>
      <c r="N160" s="594"/>
      <c r="O160" s="597"/>
      <c r="P160" s="597"/>
      <c r="Q160" s="591"/>
      <c r="R160" s="591"/>
      <c r="S160" s="591"/>
      <c r="T160" s="591"/>
      <c r="U160" s="591"/>
      <c r="V160" s="594"/>
      <c r="W160" s="591"/>
      <c r="X160" s="596"/>
      <c r="Y160" s="591"/>
      <c r="Z160" s="591"/>
      <c r="AA160" s="591"/>
      <c r="AB160" s="591"/>
      <c r="AC160" s="591"/>
      <c r="AD160" s="598"/>
      <c r="AE160" s="592"/>
      <c r="AF160" s="591"/>
      <c r="AG160" s="591"/>
      <c r="AH160" s="599"/>
      <c r="AI160" s="591"/>
      <c r="AJ160" s="600"/>
      <c r="AK160" s="591"/>
      <c r="AL160" s="601"/>
      <c r="AM160" s="602"/>
      <c r="AN160" s="600"/>
      <c r="AO160" s="600"/>
      <c r="AP160" s="601"/>
      <c r="AQ160" s="594"/>
      <c r="AR160" s="597"/>
      <c r="AS160" s="597"/>
      <c r="AT160" s="600"/>
      <c r="AU160" s="597"/>
      <c r="AV160" s="600"/>
      <c r="AW160" s="604"/>
      <c r="AX160" s="604"/>
      <c r="AY160" s="605"/>
      <c r="AZ160" s="600"/>
      <c r="BA160" s="597"/>
      <c r="BB160" s="597"/>
      <c r="BC160" s="629"/>
      <c r="BD160" s="630"/>
      <c r="BE160" s="631"/>
      <c r="BF160" s="631"/>
      <c r="BG160" s="632"/>
      <c r="BH160" s="591"/>
      <c r="BI160" s="603"/>
      <c r="BJ160" s="591"/>
      <c r="BK160" s="591"/>
      <c r="BL160" s="591"/>
      <c r="BM160" s="634"/>
      <c r="BN160" s="634"/>
    </row>
    <row customHeight="true" ht="13.333333333333332" r="161">
      <c r="A161" s="590">
        <v>46150</v>
      </c>
      <c r="B161" s="591" t="s">
        <v>1361</v>
      </c>
      <c r="C161" s="628"/>
      <c r="D161" s="591"/>
      <c r="E161" s="635"/>
      <c r="F161" s="594"/>
      <c r="G161" s="594"/>
      <c r="H161" s="591"/>
      <c r="I161" s="594"/>
      <c r="J161" s="596"/>
      <c r="K161" s="591"/>
      <c r="L161" s="591"/>
      <c r="M161" s="591"/>
      <c r="N161" s="594"/>
      <c r="O161" s="597"/>
      <c r="P161" s="597"/>
      <c r="Q161" s="591"/>
      <c r="R161" s="591"/>
      <c r="S161" s="591"/>
      <c r="T161" s="591"/>
      <c r="U161" s="591"/>
      <c r="V161" s="594"/>
      <c r="W161" s="591"/>
      <c r="X161" s="596"/>
      <c r="Y161" s="591"/>
      <c r="Z161" s="591"/>
      <c r="AA161" s="591"/>
      <c r="AB161" s="591"/>
      <c r="AC161" s="591"/>
      <c r="AD161" s="598"/>
      <c r="AE161" s="592"/>
      <c r="AF161" s="591"/>
      <c r="AG161" s="591"/>
      <c r="AH161" s="599"/>
      <c r="AI161" s="591"/>
      <c r="AJ161" s="600"/>
      <c r="AK161" s="591"/>
      <c r="AL161" s="601"/>
      <c r="AM161" s="602"/>
      <c r="AN161" s="600"/>
      <c r="AO161" s="600"/>
      <c r="AP161" s="601"/>
      <c r="AQ161" s="594"/>
      <c r="AR161" s="597"/>
      <c r="AS161" s="597"/>
      <c r="AT161" s="600"/>
      <c r="AU161" s="597"/>
      <c r="AV161" s="600"/>
      <c r="AW161" s="604"/>
      <c r="AX161" s="604"/>
      <c r="AY161" s="605"/>
      <c r="AZ161" s="600"/>
      <c r="BA161" s="597"/>
      <c r="BB161" s="597"/>
      <c r="BC161" s="629"/>
      <c r="BD161" s="630"/>
      <c r="BE161" s="631"/>
      <c r="BF161" s="631"/>
      <c r="BG161" s="632"/>
      <c r="BH161" s="591"/>
      <c r="BI161" s="603"/>
      <c r="BJ161" s="591"/>
      <c r="BK161" s="591"/>
      <c r="BL161" s="591"/>
      <c r="BM161" s="634"/>
      <c r="BN161" s="634"/>
    </row>
    <row customHeight="true" ht="20.74074074074074" r="162">
      <c r="A162" s="636" t="s">
        <v>1364</v>
      </c>
      <c r="B162" s="636"/>
      <c r="C162" s="636"/>
      <c r="D162" s="637">
        <v>39.99</v>
      </c>
      <c r="E162" s="638"/>
      <c r="F162" s="639"/>
      <c r="G162" s="639"/>
      <c r="H162" s="637"/>
      <c r="I162" s="639"/>
      <c r="J162" s="640"/>
      <c r="K162" s="637"/>
      <c r="L162" s="637"/>
      <c r="M162" s="637">
        <f>SUM(M4:M161)</f>
      </c>
      <c r="N162" s="600">
        <v>0.1746</v>
      </c>
      <c r="O162" s="641">
        <f>SUM(O4:O161)</f>
      </c>
      <c r="P162" s="641">
        <f>SUM(P4:P161)</f>
      </c>
      <c r="Q162" s="637">
        <f>SUM(Q4:Q161)</f>
      </c>
      <c r="R162" s="637"/>
      <c r="S162" s="637"/>
      <c r="T162" s="637"/>
      <c r="U162" s="637"/>
      <c r="V162" s="639"/>
      <c r="W162" s="637"/>
      <c r="X162" s="640">
        <f>SUM(X44:X92)</f>
      </c>
      <c r="Y162" s="637"/>
      <c r="Z162" s="637"/>
      <c r="AA162" s="637"/>
      <c r="AB162" s="637"/>
      <c r="AC162" s="637"/>
      <c r="AD162" s="642"/>
      <c r="AE162" s="637"/>
      <c r="AF162" s="637"/>
      <c r="AG162" s="637"/>
      <c r="AH162" s="642">
        <f>SUM(AH44:AH92)</f>
      </c>
      <c r="AI162" s="637">
        <f>SUM(AI44:AI92)</f>
      </c>
      <c r="AJ162" s="600">
        <f>AI162/AH162</f>
      </c>
      <c r="AK162" s="637">
        <f>SUM(AK44:AK92)</f>
      </c>
      <c r="AL162" s="601">
        <f>AI162/AP162</f>
      </c>
      <c r="AM162" s="643">
        <f>AP162/(AK162*D162)</f>
      </c>
      <c r="AN162" s="600">
        <f>AK162/AI162</f>
      </c>
      <c r="AO162" s="600">
        <f>AK162/P162</f>
      </c>
      <c r="AP162" s="644">
        <f>SUM(AP44:AP92)</f>
      </c>
      <c r="AQ162" s="600">
        <f>AP162/X162</f>
      </c>
      <c r="AR162" s="645"/>
      <c r="AS162" s="645">
        <f>AP162/AK162</f>
      </c>
      <c r="AT162" s="600"/>
      <c r="AU162" s="645"/>
      <c r="AV162" s="643"/>
      <c r="AW162" s="646"/>
      <c r="AX162" s="646"/>
      <c r="AY162" s="646">
        <f>SUM(AY44:AY92)</f>
      </c>
      <c r="AZ162" s="600">
        <f>AY162/X162</f>
      </c>
      <c r="BA162" s="641"/>
      <c r="BB162" s="641">
        <f>SUM(BB44:BB92)</f>
      </c>
      <c r="BC162" s="641"/>
      <c r="BD162" s="640">
        <f>SUM(BD44:BD92)</f>
      </c>
      <c r="BE162" s="637">
        <f>SUM(BE44:BE92)</f>
      </c>
      <c r="BF162" s="637"/>
      <c r="BG162" s="643"/>
      <c r="BH162" s="647">
        <f>M162-AI162</f>
      </c>
      <c r="BI162" s="603">
        <f>O162/BH162</f>
      </c>
      <c r="BJ162" s="637"/>
      <c r="BK162" s="648"/>
      <c r="BL162" s="637"/>
      <c r="BM162" s="637"/>
      <c r="BN162" s="649"/>
    </row>
  </sheetData>
  <mergeCells>
    <mergeCell ref="Y1:AB1"/>
    <mergeCell ref="AH1:AS1"/>
    <mergeCell ref="AW1:BC1"/>
    <mergeCell ref="BD1:BI1"/>
    <mergeCell ref="BJ1:BN1"/>
    <mergeCell ref="A162:C16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C1:AC2"/>
    <mergeCell ref="AD1:AD2"/>
    <mergeCell ref="AE1:AE2"/>
    <mergeCell ref="AF1:AF2"/>
    <mergeCell ref="AG1:AG2"/>
  </mergeCells>
  <conditionalFormatting sqref="R1:R1">
    <cfRule priority="1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{F492EFFB-865C-4ECA-B48D-0472EBF35139}</x14:id>
        </ext>
      </extLst>
    </cfRule>
  </conditionalFormatting>
  <conditionalFormatting sqref="R1:R1">
    <cfRule priority="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{6187EDD6-6C2A-4F79-9281-F71E8BB73816}</x14:id>
        </ext>
      </extLst>
    </cfRule>
  </conditionalFormatting>
  <conditionalFormatting sqref="S1:S1">
    <cfRule priority="3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{18409B2E-887C-41DA-8636-7679738A5D94}</x14:id>
        </ext>
      </extLst>
    </cfRule>
  </conditionalFormatting>
  <conditionalFormatting sqref="S1:S1">
    <cfRule priority="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{C467395E-51FA-4589-8C9A-EB3F19F289D4}</x14:id>
        </ext>
      </extLst>
    </cfRule>
  </conditionalFormatting>
  <conditionalFormatting sqref="BF7:BF7">
    <cfRule priority="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{934BB1B4-73EA-4F78-B4BC-463B19EFE6DA}</x14:id>
        </ext>
      </extLst>
    </cfRule>
  </conditionalFormatting>
  <conditionalFormatting sqref="BF3:BF3">
    <cfRule priority="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{F6A4B2B9-2158-44FE-9F7A-52811015F1BB}</x14:id>
        </ext>
      </extLst>
    </cfRule>
  </conditionalFormatting>
  <conditionalFormatting sqref="M70:M70">
    <cfRule priority="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{AEC08BBF-D838-49FA-9098-59293F075396}</x14:id>
        </ext>
      </extLst>
    </cfRule>
  </conditionalFormatting>
  <conditionalFormatting sqref="AH65:AH65">
    <cfRule priority="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{8632CE46-AD08-423A-8744-723FEE5DB9C9}</x14:id>
        </ext>
      </extLst>
    </cfRule>
  </conditionalFormatting>
  <conditionalFormatting sqref="AH60:AH60">
    <cfRule priority="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{35012C02-702E-4B45-926D-58C65168C901}</x14:id>
        </ext>
      </extLst>
    </cfRule>
  </conditionalFormatting>
  <conditionalFormatting sqref="M56:M56">
    <cfRule priority="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{57BF13C3-9A6C-4A03-B408-CBB19CA247CC}</x14:id>
        </ext>
      </extLst>
    </cfRule>
  </conditionalFormatting>
  <conditionalFormatting sqref="M74:M74">
    <cfRule priority="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{36C7BD7E-B6C7-40BC-B8EB-A61F6FE8130D}</x14:id>
        </ext>
      </extLst>
    </cfRule>
  </conditionalFormatting>
  <conditionalFormatting sqref="AI65:AI65">
    <cfRule priority="1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{F0D03C48-F5B9-4E88-9A3B-1BFB2D087A59}</x14:id>
        </ext>
      </extLst>
    </cfRule>
  </conditionalFormatting>
  <conditionalFormatting sqref="M60:M60">
    <cfRule priority="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{7B908D6D-E2B0-4447-AF55-A0F0CE49CD56}</x14:id>
        </ext>
      </extLst>
    </cfRule>
  </conditionalFormatting>
  <conditionalFormatting sqref="AI70:AI70">
    <cfRule priority="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{13AE4BC2-1145-4E50-A206-0741553179EA}</x14:id>
        </ext>
      </extLst>
    </cfRule>
  </conditionalFormatting>
  <conditionalFormatting sqref="AH54:AH54">
    <cfRule priority="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{CE300371-15D7-4B61-AEE9-7FBBC7C8CD00}</x14:id>
        </ext>
      </extLst>
    </cfRule>
  </conditionalFormatting>
  <conditionalFormatting sqref="AN2:AN2">
    <cfRule priority="1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{0ED7D178-07AF-4CFB-82C8-414867E840F6}</x14:id>
        </ext>
      </extLst>
    </cfRule>
  </conditionalFormatting>
  <conditionalFormatting sqref="BF72:BF72">
    <cfRule priority="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{1AF7643C-3FDE-4DD3-A269-5096EB7800C8}</x14:id>
        </ext>
      </extLst>
    </cfRule>
  </conditionalFormatting>
  <conditionalFormatting sqref="BG69:BG69">
    <cfRule priority="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{16AA88E9-5ACB-4CD1-B744-4B91753B5DDF}</x14:id>
        </ext>
      </extLst>
    </cfRule>
  </conditionalFormatting>
  <conditionalFormatting sqref="BG58:BG58">
    <cfRule priority="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{3B4476A0-299A-407F-8414-6E958703BD46}</x14:id>
        </ext>
      </extLst>
    </cfRule>
  </conditionalFormatting>
  <conditionalFormatting sqref="AI54:AI54">
    <cfRule priority="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{CA9E42F0-2194-4FAD-B9B7-FC6B3EF8FCCE}</x14:id>
        </ext>
      </extLst>
    </cfRule>
  </conditionalFormatting>
  <conditionalFormatting sqref="BF60:BF60">
    <cfRule priority="2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{6089A737-B492-49E1-8E7A-EE8B0157F117}</x14:id>
        </ext>
      </extLst>
    </cfRule>
  </conditionalFormatting>
  <conditionalFormatting sqref="BG5:BG5">
    <cfRule priority="2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{6C5ED25F-0B77-443E-BB4D-648FF03C9C26}</x14:id>
        </ext>
      </extLst>
    </cfRule>
  </conditionalFormatting>
  <conditionalFormatting sqref="BF12:BF32">
    <cfRule priority="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{17E44D44-30E8-406F-BC0A-FAB89384DBEF}</x14:id>
        </ext>
      </extLst>
    </cfRule>
  </conditionalFormatting>
  <conditionalFormatting sqref="Q1:Q2 T1:T1">
    <cfRule priority="24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{F00D362B-7245-41BE-B94D-20E9A395AABD}</x14:id>
        </ext>
      </extLst>
    </cfRule>
  </conditionalFormatting>
  <conditionalFormatting sqref="BG52:BG52">
    <cfRule priority="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{E37C6842-12D4-4A98-A710-229F5B3EE7BB}</x14:id>
        </ext>
      </extLst>
    </cfRule>
  </conditionalFormatting>
  <conditionalFormatting sqref="AH56:AH56">
    <cfRule priority="2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{B1460520-598F-4D58-A92C-0FF415504F5C}</x14:id>
        </ext>
      </extLst>
    </cfRule>
  </conditionalFormatting>
  <conditionalFormatting sqref="AH59:AH59">
    <cfRule priority="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{B2DBB800-9CFD-41D9-98F9-629366A59FBF}</x14:id>
        </ext>
      </extLst>
    </cfRule>
  </conditionalFormatting>
  <conditionalFormatting sqref="BG60:BG60">
    <cfRule priority="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{03455CBB-B57B-4E1B-869B-500BF8C6CABC}</x14:id>
        </ext>
      </extLst>
    </cfRule>
  </conditionalFormatting>
  <conditionalFormatting sqref="BF54:BF54">
    <cfRule priority="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{04CD5380-6BB7-4F06-A274-063FD110D6F2}</x14:id>
        </ext>
      </extLst>
    </cfRule>
  </conditionalFormatting>
  <conditionalFormatting sqref="AJ2:AJ2">
    <cfRule priority="3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{EF50FB03-C6D7-44F7-A0B4-77987B437A06}</x14:id>
        </ext>
      </extLst>
    </cfRule>
  </conditionalFormatting>
  <conditionalFormatting sqref="AH49:AH49">
    <cfRule priority="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{43B6C064-896E-48C2-8580-965D5055B792}</x14:id>
        </ext>
      </extLst>
    </cfRule>
  </conditionalFormatting>
  <conditionalFormatting sqref="AN2:AN2">
    <cfRule priority="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{625456E5-E96E-4853-9416-52491A1FBF0D}</x14:id>
        </ext>
      </extLst>
    </cfRule>
  </conditionalFormatting>
  <conditionalFormatting sqref="AI49:AI49">
    <cfRule priority="3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{80625A2C-231E-40AC-96F9-77DF9B4AB007}</x14:id>
        </ext>
      </extLst>
    </cfRule>
  </conditionalFormatting>
  <conditionalFormatting sqref="M55:M55">
    <cfRule priority="3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{B9D3860E-E20B-4B0A-B1F6-7FD16979434B}</x14:id>
        </ext>
      </extLst>
    </cfRule>
  </conditionalFormatting>
  <conditionalFormatting sqref="N75:N92">
    <cfRule priority="3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{5D3B6688-FC77-4197-9FE3-4E6D71E30486}</x14:id>
        </ext>
      </extLst>
    </cfRule>
  </conditionalFormatting>
  <conditionalFormatting sqref="BG3:BG3">
    <cfRule priority="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{9B7AA5D8-5E40-479B-9EC3-4B4DBB74D4D8}</x14:id>
        </ext>
      </extLst>
    </cfRule>
  </conditionalFormatting>
  <conditionalFormatting sqref="BG53:BG53">
    <cfRule priority="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{1317C729-1210-47EF-B634-3D337C1DAD2F}</x14:id>
        </ext>
      </extLst>
    </cfRule>
  </conditionalFormatting>
  <conditionalFormatting sqref="N66:N66">
    <cfRule priority="3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{C37D7A7E-E816-42FB-AB41-CDE8234A2B18}</x14:id>
        </ext>
      </extLst>
    </cfRule>
  </conditionalFormatting>
  <conditionalFormatting sqref="AH54:AH54">
    <cfRule priority="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{EA6049F2-418E-4B62-B65C-6D7CF5AC10BA}</x14:id>
        </ext>
      </extLst>
    </cfRule>
  </conditionalFormatting>
  <conditionalFormatting sqref="BG12:BG32">
    <cfRule priority="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{E9032D89-3DF6-427E-8B6A-678550E54A7E}</x14:id>
        </ext>
      </extLst>
    </cfRule>
  </conditionalFormatting>
  <conditionalFormatting sqref="AH62:AH62">
    <cfRule priority="4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{46D23C84-1738-4C37-AC15-7079AF0C43E6}</x14:id>
        </ext>
      </extLst>
    </cfRule>
  </conditionalFormatting>
  <conditionalFormatting sqref="BG63:BG63">
    <cfRule priority="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{AA182355-2E18-41CC-9538-7C202E2458F9}</x14:id>
        </ext>
      </extLst>
    </cfRule>
  </conditionalFormatting>
  <conditionalFormatting sqref="BG6:BG6">
    <cfRule priority="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{D3B7DEDE-9BE2-4DC9-8A8C-88CCDC4D67D3}</x14:id>
        </ext>
      </extLst>
    </cfRule>
  </conditionalFormatting>
  <conditionalFormatting sqref="N65:N65">
    <cfRule priority="4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{7222D62C-FE40-4B7A-8F34-A92E1930823C}</x14:id>
        </ext>
      </extLst>
    </cfRule>
  </conditionalFormatting>
  <conditionalFormatting sqref="M61:M61">
    <cfRule priority="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{229C33C2-4573-4C88-994C-AA91C887218E}</x14:id>
        </ext>
      </extLst>
    </cfRule>
  </conditionalFormatting>
  <conditionalFormatting sqref="BG10:BG10">
    <cfRule priority="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{FC485351-DF5E-4E21-A8D4-7C93807E81A8}</x14:id>
        </ext>
      </extLst>
    </cfRule>
  </conditionalFormatting>
  <conditionalFormatting sqref="AH52:AH52">
    <cfRule priority="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{52881045-AF7E-4043-94C1-E9659BF35143}</x14:id>
        </ext>
      </extLst>
    </cfRule>
  </conditionalFormatting>
  <conditionalFormatting sqref="BF63:BF63">
    <cfRule priority="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{94BF9F89-BC96-4749-9232-7AAFC9DE174D}</x14:id>
        </ext>
      </extLst>
    </cfRule>
  </conditionalFormatting>
  <conditionalFormatting sqref="AH93:AH162">
    <cfRule priority="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{F52111F1-1237-4E46-AAAC-19C9F979E27D}</x14:id>
        </ext>
      </extLst>
    </cfRule>
  </conditionalFormatting>
  <conditionalFormatting sqref="AH3:AH45">
    <cfRule priority="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{24FBBBFB-B2CA-452F-A2FF-7C8329784358}</x14:id>
        </ext>
      </extLst>
    </cfRule>
  </conditionalFormatting>
  <conditionalFormatting sqref="N55:N55">
    <cfRule priority="5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{97775530-18C7-4043-B393-1988A401B478}</x14:id>
        </ext>
      </extLst>
    </cfRule>
  </conditionalFormatting>
  <conditionalFormatting sqref="AH47:AH47">
    <cfRule priority="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{444C7391-0A44-40F5-907E-89278C9E38A1}</x14:id>
        </ext>
      </extLst>
    </cfRule>
  </conditionalFormatting>
  <conditionalFormatting sqref="M65:M65">
    <cfRule priority="5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{CE24840A-357E-4A24-9E70-6E86B6B9780A}</x14:id>
        </ext>
      </extLst>
    </cfRule>
  </conditionalFormatting>
  <conditionalFormatting sqref="BG47:BG47">
    <cfRule priority="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{9006A07D-93FB-4179-95C5-6DED4A0ADE61}</x14:id>
        </ext>
      </extLst>
    </cfRule>
  </conditionalFormatting>
  <conditionalFormatting sqref="BG70:BG70">
    <cfRule priority="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{0C96A243-73F3-4119-907C-1832C262A4B7}</x14:id>
        </ext>
      </extLst>
    </cfRule>
  </conditionalFormatting>
  <conditionalFormatting sqref="AI73:AI73">
    <cfRule priority="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{0F874B9F-7386-422C-8B14-1A9668069FAB}</x14:id>
        </ext>
      </extLst>
    </cfRule>
  </conditionalFormatting>
  <conditionalFormatting sqref="AH50:AH50">
    <cfRule priority="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{A81139EB-406B-4FDD-AFB9-8DA6B07DBE33}</x14:id>
        </ext>
      </extLst>
    </cfRule>
  </conditionalFormatting>
  <conditionalFormatting sqref="AI52:AI52">
    <cfRule priority="5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{887FA15D-139B-4E49-9841-944C3DFD0EE9}</x14:id>
        </ext>
      </extLst>
    </cfRule>
  </conditionalFormatting>
  <conditionalFormatting sqref="N52:N52">
    <cfRule priority="5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{6C24E2E0-B9A4-435E-B525-020487A20AF9}</x14:id>
        </ext>
      </extLst>
    </cfRule>
  </conditionalFormatting>
  <conditionalFormatting sqref="AI93:AI162">
    <cfRule priority="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{AE539CF7-75AD-4733-9E6F-BC6A5B838D8B}</x14:id>
        </ext>
      </extLst>
    </cfRule>
  </conditionalFormatting>
  <conditionalFormatting sqref="M93:M162">
    <cfRule priority="6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{9780BAC1-5C77-48FA-B2A5-E1910F5025CB}</x14:id>
        </ext>
      </extLst>
    </cfRule>
  </conditionalFormatting>
  <conditionalFormatting sqref="AN2:AN2">
    <cfRule priority="62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{6C022C17-74DF-4A44-9E86-D66432CD8CE1}</x14:id>
        </ext>
      </extLst>
    </cfRule>
  </conditionalFormatting>
  <conditionalFormatting sqref="M59:M59">
    <cfRule priority="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{D2F9DE41-876E-441F-9394-ACD4991AA4F9}</x14:id>
        </ext>
      </extLst>
    </cfRule>
  </conditionalFormatting>
  <conditionalFormatting sqref="AI56:AI56">
    <cfRule priority="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{8F0CD667-9ED4-4426-AB5A-8B8BC5533054}</x14:id>
        </ext>
      </extLst>
    </cfRule>
  </conditionalFormatting>
  <conditionalFormatting sqref="AH67:AH67">
    <cfRule priority="6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{1A3F8255-80F1-4ED9-A339-1CA1742D5D2E}</x14:id>
        </ext>
      </extLst>
    </cfRule>
  </conditionalFormatting>
  <conditionalFormatting sqref="BF5:BF5">
    <cfRule priority="6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{E428AF75-2338-4443-B3C8-5F96E4390500}</x14:id>
        </ext>
      </extLst>
    </cfRule>
  </conditionalFormatting>
  <conditionalFormatting sqref="AH66:AH66">
    <cfRule priority="6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{B37CD319-B11A-4458-B885-32CB251627C3}</x14:id>
        </ext>
      </extLst>
    </cfRule>
  </conditionalFormatting>
  <conditionalFormatting sqref="BF49:BF49">
    <cfRule priority="6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{890BC8C8-C623-4081-B0A2-0163B3DC6752}</x14:id>
        </ext>
      </extLst>
    </cfRule>
  </conditionalFormatting>
  <conditionalFormatting sqref="BG9:BG9">
    <cfRule priority="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{601E8155-9AA2-4453-A34F-7A2857FFD694}</x14:id>
        </ext>
      </extLst>
    </cfRule>
  </conditionalFormatting>
  <conditionalFormatting sqref="BG54:BG54">
    <cfRule priority="7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{8A31B4E1-B8A3-4C43-BF21-8EED64EAAD99}</x14:id>
        </ext>
      </extLst>
    </cfRule>
  </conditionalFormatting>
  <conditionalFormatting sqref="AH48:AH48">
    <cfRule priority="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{42D4D196-68A9-4A3A-9C61-0294A945903A}</x14:id>
        </ext>
      </extLst>
    </cfRule>
  </conditionalFormatting>
  <conditionalFormatting sqref="BF59:BF59">
    <cfRule priority="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{0C758E5C-9615-4B6A-9CC8-AC08137879F5}</x14:id>
        </ext>
      </extLst>
    </cfRule>
  </conditionalFormatting>
  <conditionalFormatting sqref="AI71:AI71">
    <cfRule priority="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{A1298138-121B-45FF-B372-21F05013C83B}</x14:id>
        </ext>
      </extLst>
    </cfRule>
  </conditionalFormatting>
  <conditionalFormatting sqref="BF58:BF58">
    <cfRule priority="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{5B6F842F-5F35-423D-92C7-9D0887D3B3FE}</x14:id>
        </ext>
      </extLst>
    </cfRule>
  </conditionalFormatting>
  <conditionalFormatting sqref="AH53:AH53">
    <cfRule priority="7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{4D70643A-0CD6-4B3D-B090-85B3A70589ED}</x14:id>
        </ext>
      </extLst>
    </cfRule>
  </conditionalFormatting>
  <conditionalFormatting sqref="M50:M50">
    <cfRule priority="7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{DB7024CD-080E-439A-8275-63F015D97C3E}</x14:id>
        </ext>
      </extLst>
    </cfRule>
  </conditionalFormatting>
  <conditionalFormatting sqref="AJ2:AJ2">
    <cfRule priority="7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{6C6BA16F-D290-43B5-8098-3EC4649953BE}</x14:id>
        </ext>
      </extLst>
    </cfRule>
  </conditionalFormatting>
  <conditionalFormatting sqref="AH72:AH72">
    <cfRule priority="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{696EEDF9-84C2-48DA-8FFC-4A68ECE7FBAF}</x14:id>
        </ext>
      </extLst>
    </cfRule>
  </conditionalFormatting>
  <conditionalFormatting sqref="BG56:BG56">
    <cfRule priority="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{93E81238-1F30-4D50-B8CE-656AE99CE5C0}</x14:id>
        </ext>
      </extLst>
    </cfRule>
  </conditionalFormatting>
  <conditionalFormatting sqref="N59:N59">
    <cfRule priority="8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{66CFC144-14C8-4AC5-9149-A54F98771178}</x14:id>
        </ext>
      </extLst>
    </cfRule>
  </conditionalFormatting>
  <conditionalFormatting sqref="BF70:BF70">
    <cfRule priority="8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{7ADC0A1E-04DB-4406-82E1-A3FEA2C142CD}</x14:id>
        </ext>
      </extLst>
    </cfRule>
  </conditionalFormatting>
  <conditionalFormatting sqref="Q1:Q2 T1:T1">
    <cfRule priority="8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{CFF27D9D-DE7D-48FA-B910-155C3BFBBA36}</x14:id>
        </ext>
      </extLst>
    </cfRule>
  </conditionalFormatting>
  <conditionalFormatting sqref="N74:N74">
    <cfRule priority="8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{9407F08D-010D-487B-8450-401E2C5FDF5B}</x14:id>
        </ext>
      </extLst>
    </cfRule>
  </conditionalFormatting>
  <conditionalFormatting sqref="AH72:AH72">
    <cfRule priority="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{23CA0EC3-8BE1-43E7-A0B0-F1C3E303E071}</x14:id>
        </ext>
      </extLst>
    </cfRule>
  </conditionalFormatting>
  <conditionalFormatting sqref="AH56:AH56">
    <cfRule priority="8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{D218459E-2ACF-4640-ACB4-55007B7028A2}</x14:id>
        </ext>
      </extLst>
    </cfRule>
  </conditionalFormatting>
  <conditionalFormatting sqref="BF73:BF73">
    <cfRule priority="8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{30733B85-5656-465E-9C05-9CBEECC59512}</x14:id>
        </ext>
      </extLst>
    </cfRule>
  </conditionalFormatting>
  <conditionalFormatting sqref="AH53:AH53">
    <cfRule priority="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{2772F4E5-D9A6-4B46-A49D-05F28F7A598F}</x14:id>
        </ext>
      </extLst>
    </cfRule>
  </conditionalFormatting>
  <conditionalFormatting sqref="BF11:BF11">
    <cfRule priority="8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{7E18E365-6ECC-4256-9F02-6F9BCAF069AE}</x14:id>
        </ext>
      </extLst>
    </cfRule>
  </conditionalFormatting>
  <conditionalFormatting sqref="AH57:AH57">
    <cfRule priority="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{9953C046-8BE5-4AA3-A74F-B5565C850CF2}</x14:id>
        </ext>
      </extLst>
    </cfRule>
  </conditionalFormatting>
  <conditionalFormatting sqref="AH48:AH48">
    <cfRule priority="9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{A1878264-02AA-4375-B9F2-65B3C4B07CC7}</x14:id>
        </ext>
      </extLst>
    </cfRule>
  </conditionalFormatting>
  <conditionalFormatting sqref="BF8:BF8">
    <cfRule priority="9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{85BA4DF8-2FA9-4A0F-BF54-A4C5A26516DF}</x14:id>
        </ext>
      </extLst>
    </cfRule>
  </conditionalFormatting>
  <conditionalFormatting sqref="BF52:BF52">
    <cfRule priority="9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{908232B1-E285-4D36-84FF-41DBECBDA444}</x14:id>
        </ext>
      </extLst>
    </cfRule>
  </conditionalFormatting>
  <conditionalFormatting sqref="BF47:BF47">
    <cfRule priority="9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{6B8AF1C3-1B4B-4163-A8EC-BB4B8F39FE11}</x14:id>
        </ext>
      </extLst>
    </cfRule>
  </conditionalFormatting>
  <conditionalFormatting sqref="M75:M92">
    <cfRule priority="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{8BD8A3DA-3DA6-4EEB-A443-F71568FA793B}</x14:id>
        </ext>
      </extLst>
    </cfRule>
  </conditionalFormatting>
  <conditionalFormatting sqref="BG75:BG92">
    <cfRule priority="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{607AC2D3-7EAA-41DC-B417-03B4E2B8197C}</x14:id>
        </ext>
      </extLst>
    </cfRule>
  </conditionalFormatting>
  <conditionalFormatting sqref="BG59:BG59">
    <cfRule priority="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{478C15B7-96F5-47C1-9E25-93ACF41779D1}</x14:id>
        </ext>
      </extLst>
    </cfRule>
  </conditionalFormatting>
  <conditionalFormatting sqref="BF71:BF71">
    <cfRule priority="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{1EBB30D8-59AC-42E7-B4BF-C00BEE5A5E3B}</x14:id>
        </ext>
      </extLst>
    </cfRule>
  </conditionalFormatting>
  <conditionalFormatting sqref="BF10:BF10">
    <cfRule priority="9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{EA92C9F3-580A-4BE7-8BCF-AF7FC2DDB04C}</x14:id>
        </ext>
      </extLst>
    </cfRule>
  </conditionalFormatting>
  <conditionalFormatting sqref="BF51:BF51">
    <cfRule priority="9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{BDF1B074-85BC-4BE2-AC8A-72F57B0C6A8F}</x14:id>
        </ext>
      </extLst>
    </cfRule>
  </conditionalFormatting>
  <conditionalFormatting sqref="AH59:AH59">
    <cfRule priority="10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{4361151C-9DCD-4A04-9830-EB4B6D5D35D7}</x14:id>
        </ext>
      </extLst>
    </cfRule>
  </conditionalFormatting>
  <conditionalFormatting sqref="AH3:AH45">
    <cfRule priority="10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{FE37378E-935E-4B93-AAE2-1B84650C6EE4}</x14:id>
        </ext>
      </extLst>
    </cfRule>
  </conditionalFormatting>
  <conditionalFormatting sqref="AI57:AI57">
    <cfRule priority="10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{8F452740-44C3-41DB-B3DB-3257764AC316}</x14:id>
        </ext>
      </extLst>
    </cfRule>
  </conditionalFormatting>
  <conditionalFormatting sqref="BF62:BF62">
    <cfRule priority="10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{A80F74B5-92FE-4CDB-9DA4-E2220AF2B7F4}</x14:id>
        </ext>
      </extLst>
    </cfRule>
  </conditionalFormatting>
  <conditionalFormatting sqref="AH74:AH74">
    <cfRule priority="1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{DBFB9C0A-94B4-4B7C-AF0E-C8FB6EEACBA5}</x14:id>
        </ext>
      </extLst>
    </cfRule>
  </conditionalFormatting>
  <conditionalFormatting sqref="AH58:AH58">
    <cfRule priority="10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{86BBF918-2FFA-44C8-AD49-BF211C049AA1}</x14:id>
        </ext>
      </extLst>
    </cfRule>
  </conditionalFormatting>
  <conditionalFormatting sqref="BF66:BF66">
    <cfRule priority="10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{3DAC3C9E-B996-4A5C-9920-07E4B39DFD4C}</x14:id>
        </ext>
      </extLst>
    </cfRule>
  </conditionalFormatting>
  <conditionalFormatting sqref="BF57:BF57">
    <cfRule priority="10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{36D5621E-CF56-4065-9916-861DFF0ECFE8}</x14:id>
        </ext>
      </extLst>
    </cfRule>
  </conditionalFormatting>
  <conditionalFormatting sqref="M64:M64">
    <cfRule priority="1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{49EF40FF-B2F0-4A83-BD6D-BC00B8E69368}</x14:id>
        </ext>
      </extLst>
    </cfRule>
  </conditionalFormatting>
  <conditionalFormatting sqref="AO2:AO2">
    <cfRule priority="109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{46A79839-C996-48B7-9997-BA6743FEB2CE}</x14:id>
        </ext>
      </extLst>
    </cfRule>
  </conditionalFormatting>
  <conditionalFormatting sqref="M71:M71">
    <cfRule priority="1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{160B3348-F9C7-4DE4-80C6-8869918519EB}</x14:id>
        </ext>
      </extLst>
    </cfRule>
  </conditionalFormatting>
  <conditionalFormatting sqref="O1:O1">
    <cfRule priority="1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{A6910ED3-9A15-4820-80C0-7DAF083C976E}</x14:id>
        </ext>
      </extLst>
    </cfRule>
  </conditionalFormatting>
  <conditionalFormatting sqref="AH68:AH68">
    <cfRule priority="1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{3D63DD13-C7F8-4E0C-89BC-ABFDC8B7FF8F}</x14:id>
        </ext>
      </extLst>
    </cfRule>
  </conditionalFormatting>
  <conditionalFormatting sqref="BG50:BG50">
    <cfRule priority="1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{623C2FAE-4F1A-40DB-A257-74857C58F229}</x14:id>
        </ext>
      </extLst>
    </cfRule>
  </conditionalFormatting>
  <conditionalFormatting sqref="AH46:AH46">
    <cfRule priority="1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{8F93691F-6762-44FB-B1C5-4A1790B278F9}</x14:id>
        </ext>
      </extLst>
    </cfRule>
  </conditionalFormatting>
  <conditionalFormatting sqref="AH46:AH46">
    <cfRule priority="1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{14CC8476-9C57-4B98-A01C-41B90B3A11A1}</x14:id>
        </ext>
      </extLst>
    </cfRule>
  </conditionalFormatting>
  <conditionalFormatting sqref="AH71:AH71">
    <cfRule priority="11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{F0F01231-6E70-4640-8DA7-3C6EA23F6E7E}</x14:id>
        </ext>
      </extLst>
    </cfRule>
  </conditionalFormatting>
  <conditionalFormatting sqref="BF48:BF48">
    <cfRule priority="1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{E6FEEDAB-837F-4369-8722-7D8DCDAD632E}</x14:id>
        </ext>
      </extLst>
    </cfRule>
  </conditionalFormatting>
  <conditionalFormatting sqref="BF9:BF9">
    <cfRule priority="1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{8EB59270-0422-4B70-B9DD-4D1C280B6C1E}</x14:id>
        </ext>
      </extLst>
    </cfRule>
  </conditionalFormatting>
  <conditionalFormatting sqref="BG68:BG68">
    <cfRule priority="1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{48F4A75C-FC8E-4F14-8FD0-E11F34EAA564}</x14:id>
        </ext>
      </extLst>
    </cfRule>
  </conditionalFormatting>
  <conditionalFormatting sqref="AI69:AI69">
    <cfRule priority="1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{14E44397-69AE-4B6D-97A3-A2CE46DE2EE6}</x14:id>
        </ext>
      </extLst>
    </cfRule>
  </conditionalFormatting>
  <conditionalFormatting sqref="AI66:AI66">
    <cfRule priority="1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{07C04254-CD03-4048-BC95-BFC1DDFA8535}</x14:id>
        </ext>
      </extLst>
    </cfRule>
  </conditionalFormatting>
  <conditionalFormatting sqref="N50:N50">
    <cfRule priority="12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{A2771E04-8FE6-47B4-B164-725321C8ECCE}</x14:id>
        </ext>
      </extLst>
    </cfRule>
  </conditionalFormatting>
  <conditionalFormatting sqref="N1:N2">
    <cfRule priority="12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{CC42A736-83D6-4062-B0A1-18055BEC22E7}</x14:id>
        </ext>
      </extLst>
    </cfRule>
  </conditionalFormatting>
  <conditionalFormatting sqref="BF33:BF45">
    <cfRule priority="1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{562B1991-C206-4314-82D3-490A5CE894C1}</x14:id>
        </ext>
      </extLst>
    </cfRule>
  </conditionalFormatting>
  <conditionalFormatting sqref="M62:M62">
    <cfRule priority="1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{CD5B2F68-34B2-4290-A189-63C6389B3AD7}</x14:id>
        </ext>
      </extLst>
    </cfRule>
  </conditionalFormatting>
  <conditionalFormatting sqref="M63:M63">
    <cfRule priority="1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{39E9F942-13A0-4339-AD8F-C25DDF8687AA}</x14:id>
        </ext>
      </extLst>
    </cfRule>
  </conditionalFormatting>
  <conditionalFormatting sqref="M51:M51">
    <cfRule priority="1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{B8513FC1-D4B2-40A3-9152-7A18C7046770}</x14:id>
        </ext>
      </extLst>
    </cfRule>
  </conditionalFormatting>
  <conditionalFormatting sqref="BF53:BF53">
    <cfRule priority="1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{6A5B061D-5204-4256-B5E5-2E5416E7BBBC}</x14:id>
        </ext>
      </extLst>
    </cfRule>
  </conditionalFormatting>
  <conditionalFormatting sqref="BG61:BG61">
    <cfRule priority="12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{60D6A02E-D315-4442-A83D-BBDD1C69DB78}</x14:id>
        </ext>
      </extLst>
    </cfRule>
  </conditionalFormatting>
  <conditionalFormatting sqref="AH70:AH70">
    <cfRule priority="13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{D2167528-0C36-419E-9270-F530EB63CEA2}</x14:id>
        </ext>
      </extLst>
    </cfRule>
  </conditionalFormatting>
  <conditionalFormatting sqref="N62:N62">
    <cfRule priority="13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{C0703D1B-84C8-443C-944A-E5CCE6AF7BAB}</x14:id>
        </ext>
      </extLst>
    </cfRule>
  </conditionalFormatting>
  <conditionalFormatting sqref="AI67:AI67">
    <cfRule priority="13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{5C872954-4665-40CE-98D5-DC721A675B9D}</x14:id>
        </ext>
      </extLst>
    </cfRule>
  </conditionalFormatting>
  <conditionalFormatting sqref="N47:N47">
    <cfRule priority="13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{47BCAE8D-4921-46E7-AC44-C5A541D16608}</x14:id>
        </ext>
      </extLst>
    </cfRule>
  </conditionalFormatting>
  <conditionalFormatting sqref="AI50:AI50">
    <cfRule priority="13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{2964B31E-33BC-4AC2-806E-C55FDE9E21BD}</x14:id>
        </ext>
      </extLst>
    </cfRule>
  </conditionalFormatting>
  <conditionalFormatting sqref="M72:M72">
    <cfRule priority="13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{0FA8ADF7-1166-448F-8DB5-BBA51B002129}</x14:id>
        </ext>
      </extLst>
    </cfRule>
  </conditionalFormatting>
  <conditionalFormatting sqref="AH64:AH64">
    <cfRule priority="13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{F8711A1A-E5AF-4443-BBFC-87D248AD6474}</x14:id>
        </ext>
      </extLst>
    </cfRule>
  </conditionalFormatting>
  <conditionalFormatting sqref="N64:N64">
    <cfRule priority="13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{D867570B-8B65-419A-8F14-7548EEBEC765}</x14:id>
        </ext>
      </extLst>
    </cfRule>
  </conditionalFormatting>
  <conditionalFormatting sqref="N58:N58">
    <cfRule priority="13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{5539A5F2-0AE4-40DD-B7BF-709D9FD34836}</x14:id>
        </ext>
      </extLst>
    </cfRule>
  </conditionalFormatting>
  <conditionalFormatting sqref="N48:N48">
    <cfRule priority="13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{1C5BA3DC-4CD4-4C8B-AF2A-E3329C7EE274}</x14:id>
        </ext>
      </extLst>
    </cfRule>
  </conditionalFormatting>
  <conditionalFormatting sqref="N60:N60">
    <cfRule priority="14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{87024F23-C654-43FB-A736-4DFDF3DAC3D0}</x14:id>
        </ext>
      </extLst>
    </cfRule>
  </conditionalFormatting>
  <conditionalFormatting sqref="AH64:AH64">
    <cfRule priority="14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{616AE00B-6B5F-4E1B-8687-3B59DB8020A4}</x14:id>
        </ext>
      </extLst>
    </cfRule>
  </conditionalFormatting>
  <conditionalFormatting sqref="BG72:BG72">
    <cfRule priority="1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{E598626C-B9C3-4439-A539-BEF148E3FC4B}</x14:id>
        </ext>
      </extLst>
    </cfRule>
  </conditionalFormatting>
  <conditionalFormatting sqref="BF75:BF92">
    <cfRule priority="14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{06C4942D-2C25-4B71-858A-4D084A7A73CF}</x14:id>
        </ext>
      </extLst>
    </cfRule>
  </conditionalFormatting>
  <conditionalFormatting sqref="BF64:BF64">
    <cfRule priority="1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{F01D45CA-9D4F-4052-BFD7-847D18A66618}</x14:id>
        </ext>
      </extLst>
    </cfRule>
  </conditionalFormatting>
  <conditionalFormatting sqref="AH55:AH55">
    <cfRule priority="14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{F7E8AA5C-98C9-4A9D-A937-AE055A77C34A}</x14:id>
        </ext>
      </extLst>
    </cfRule>
  </conditionalFormatting>
  <conditionalFormatting sqref="BG71:BG71">
    <cfRule priority="1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{726C0584-C9C4-44BC-8BD5-B1F35CBB9FAB}</x14:id>
        </ext>
      </extLst>
    </cfRule>
  </conditionalFormatting>
  <conditionalFormatting sqref="BF55:BF55">
    <cfRule priority="1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{B2B7BAFF-CA75-4125-8688-64973E8465DC}</x14:id>
        </ext>
      </extLst>
    </cfRule>
  </conditionalFormatting>
  <conditionalFormatting sqref="BG62:BG62">
    <cfRule priority="14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{3302D796-C0B9-4B9D-B6BF-9AE7AD418C8C}</x14:id>
        </ext>
      </extLst>
    </cfRule>
  </conditionalFormatting>
  <conditionalFormatting sqref="AI60:AI60">
    <cfRule priority="1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{F5DFDCAD-8BB9-40B9-9081-ADAFAAB3D2F6}</x14:id>
        </ext>
      </extLst>
    </cfRule>
  </conditionalFormatting>
  <conditionalFormatting sqref="AI47:AI47">
    <cfRule priority="1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{983098CA-F248-4305-9DF7-6B66133C30A1}</x14:id>
        </ext>
      </extLst>
    </cfRule>
  </conditionalFormatting>
  <conditionalFormatting sqref="N68:N68">
    <cfRule priority="15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{6535AEA7-379F-4967-B258-12F614CF985C}</x14:id>
        </ext>
      </extLst>
    </cfRule>
  </conditionalFormatting>
  <conditionalFormatting sqref="N70:N70">
    <cfRule priority="15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{C666E150-2158-4F31-8009-BD0D92E7DC54}</x14:id>
        </ext>
      </extLst>
    </cfRule>
  </conditionalFormatting>
  <conditionalFormatting sqref="AH75:AH92">
    <cfRule priority="1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{1D872B54-3D9A-46C8-AA73-EF279B95675B}</x14:id>
        </ext>
      </extLst>
    </cfRule>
  </conditionalFormatting>
  <conditionalFormatting sqref="BF65:BF65">
    <cfRule priority="15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{7868F2F9-DAD5-4743-9B64-95E6E20A6AD1}</x14:id>
        </ext>
      </extLst>
    </cfRule>
  </conditionalFormatting>
  <conditionalFormatting sqref="N1:N2 P1:P1">
    <cfRule priority="1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{5B0B2FCA-976A-4FD1-AAF6-A91A84A3F405}</x14:id>
        </ext>
      </extLst>
    </cfRule>
  </conditionalFormatting>
  <conditionalFormatting sqref="AH63:AH63">
    <cfRule priority="15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{8A82A1ED-64A0-4C1E-B1EA-9444AC179CA3}</x14:id>
        </ext>
      </extLst>
    </cfRule>
  </conditionalFormatting>
  <conditionalFormatting sqref="BF74:BF74">
    <cfRule priority="1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{D448C8CE-0E60-474B-B768-C25A16525558}</x14:id>
        </ext>
      </extLst>
    </cfRule>
  </conditionalFormatting>
  <conditionalFormatting sqref="O1:O1">
    <cfRule priority="15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{B32AB1A3-DEF6-4CED-8591-F3A38DB5F2D0}</x14:id>
        </ext>
      </extLst>
    </cfRule>
  </conditionalFormatting>
  <conditionalFormatting sqref="BF6:BF6">
    <cfRule priority="15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{7FFFF362-9A7E-4E83-A3C7-6B6233163C28}</x14:id>
        </ext>
      </extLst>
    </cfRule>
  </conditionalFormatting>
  <conditionalFormatting sqref="BF46:BF46">
    <cfRule priority="16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{5E780D6F-DEF1-4565-87A9-65FBA2BCBC2A}</x14:id>
        </ext>
      </extLst>
    </cfRule>
  </conditionalFormatting>
  <conditionalFormatting sqref="BF67:BF67">
    <cfRule priority="1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{36C0830C-C1A9-4351-8044-CA365A059E11}</x14:id>
        </ext>
      </extLst>
    </cfRule>
  </conditionalFormatting>
  <conditionalFormatting sqref="BG46:BG46">
    <cfRule priority="16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{32B754D0-34C4-4153-A761-21DE4CEEEC6D}</x14:id>
        </ext>
      </extLst>
    </cfRule>
  </conditionalFormatting>
  <conditionalFormatting sqref="BG7:BG7">
    <cfRule priority="1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{F2B684BF-9785-4190-9A2D-C79370A4EAB6}</x14:id>
        </ext>
      </extLst>
    </cfRule>
  </conditionalFormatting>
  <conditionalFormatting sqref="BG65:BG65">
    <cfRule priority="1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{A4D07BB5-33F6-402C-8A52-D9AEADA004EE}</x14:id>
        </ext>
      </extLst>
    </cfRule>
  </conditionalFormatting>
  <conditionalFormatting sqref="M58:M58">
    <cfRule priority="1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{66DB408A-505C-41D6-B26C-BCF575BB74A2}</x14:id>
        </ext>
      </extLst>
    </cfRule>
  </conditionalFormatting>
  <conditionalFormatting sqref="M49:M49">
    <cfRule priority="16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{9850E3C6-6994-446F-B534-0D04110F89C1}</x14:id>
        </ext>
      </extLst>
    </cfRule>
  </conditionalFormatting>
  <conditionalFormatting sqref="AO2:AO2">
    <cfRule priority="167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{15F2F6B0-AFCD-4A56-943C-883E1DB411C9}</x14:id>
        </ext>
      </extLst>
    </cfRule>
  </conditionalFormatting>
  <conditionalFormatting sqref="N3:N45">
    <cfRule priority="16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{1E50EDC1-08AD-4F41-AA73-EDD2DB33A714}</x14:id>
        </ext>
      </extLst>
    </cfRule>
  </conditionalFormatting>
  <conditionalFormatting sqref="BG67:BG67">
    <cfRule priority="1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{87769066-11A3-48E2-A770-0E2D7735931B}</x14:id>
        </ext>
      </extLst>
    </cfRule>
  </conditionalFormatting>
  <conditionalFormatting sqref="N57:N57">
    <cfRule priority="17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{EB08EDA5-2D7E-427F-8AE9-66C3BC8A4ADD}</x14:id>
        </ext>
      </extLst>
    </cfRule>
  </conditionalFormatting>
  <conditionalFormatting sqref="AH57:AH57">
    <cfRule priority="1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{8313F2EB-9EEB-48B6-A78A-324A35D7F15B}</x14:id>
        </ext>
      </extLst>
    </cfRule>
  </conditionalFormatting>
  <conditionalFormatting sqref="AI2:AI2">
    <cfRule priority="17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{FF6A22E1-2C4D-44B3-A996-074B4B917C88}</x14:id>
        </ext>
      </extLst>
    </cfRule>
  </conditionalFormatting>
  <conditionalFormatting sqref="N93:N162">
    <cfRule priority="17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{267699E4-6D77-4AD0-A5E3-80D7FEC7F017}</x14:id>
        </ext>
      </extLst>
    </cfRule>
  </conditionalFormatting>
  <conditionalFormatting sqref="AH52:AH52">
    <cfRule priority="1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{7A6A97F6-3FFE-4191-BE01-4BDDCBCF487D}</x14:id>
        </ext>
      </extLst>
    </cfRule>
  </conditionalFormatting>
  <conditionalFormatting sqref="AI46:AI46">
    <cfRule priority="1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{7F5437D1-E6D2-4ED7-BF4D-9AA182F98344}</x14:id>
        </ext>
      </extLst>
    </cfRule>
  </conditionalFormatting>
  <conditionalFormatting sqref="BF1:BF162">
    <cfRule priority="17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{E97F286F-C6EE-4BF7-987F-89BAAE724523}</x14:id>
        </ext>
      </extLst>
    </cfRule>
  </conditionalFormatting>
  <conditionalFormatting sqref="BG48:BG48">
    <cfRule priority="17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{8855F1DF-68C7-436E-86F7-849EE5179066}</x14:id>
        </ext>
      </extLst>
    </cfRule>
  </conditionalFormatting>
  <conditionalFormatting sqref="AH66:AH66">
    <cfRule priority="1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{F5C14CB1-136C-4BF3-B10B-CA3206D98190}</x14:id>
        </ext>
      </extLst>
    </cfRule>
  </conditionalFormatting>
  <conditionalFormatting sqref="BG51:BG51">
    <cfRule priority="1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{8093B178-A47C-4ADD-8A9F-4A8642293261}</x14:id>
        </ext>
      </extLst>
    </cfRule>
  </conditionalFormatting>
  <conditionalFormatting sqref="BG1:BG162">
    <cfRule priority="18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{6BE689DA-D88E-4B51-AC21-950FF77D1435}</x14:id>
        </ext>
      </extLst>
    </cfRule>
  </conditionalFormatting>
  <conditionalFormatting sqref="N51:N51">
    <cfRule priority="18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{37C0B839-B361-4F77-BD33-7C324B70A8A4}</x14:id>
        </ext>
      </extLst>
    </cfRule>
  </conditionalFormatting>
  <conditionalFormatting sqref="AH70:AH70">
    <cfRule priority="18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{52FD45DC-1F18-4653-8143-DFF8ACFB93F4}</x14:id>
        </ext>
      </extLst>
    </cfRule>
  </conditionalFormatting>
  <conditionalFormatting sqref="AH51:AH51">
    <cfRule priority="18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{767B0620-956A-4E48-BD55-24EA1BB9D35A}</x14:id>
        </ext>
      </extLst>
    </cfRule>
  </conditionalFormatting>
  <conditionalFormatting sqref="BF50:BF50">
    <cfRule priority="1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{36BDF1FC-5A32-49F1-B8E0-1687E618DCF5}</x14:id>
        </ext>
      </extLst>
    </cfRule>
  </conditionalFormatting>
  <conditionalFormatting sqref="AH71:AH71">
    <cfRule priority="18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{05B5CF6D-7DB6-4A8E-8544-E693C0970950}</x14:id>
        </ext>
      </extLst>
    </cfRule>
  </conditionalFormatting>
  <conditionalFormatting sqref="BF68:BF68">
    <cfRule priority="18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{769F8A02-49BB-4C5E-AB2E-F914B216333E}</x14:id>
        </ext>
      </extLst>
    </cfRule>
  </conditionalFormatting>
  <conditionalFormatting sqref="AH68:AH68">
    <cfRule priority="1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{B95D53B8-4D26-4405-ABCB-DAF129DCEAF0}</x14:id>
        </ext>
      </extLst>
    </cfRule>
  </conditionalFormatting>
  <conditionalFormatting sqref="AH61:AH61">
    <cfRule priority="18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{77C36587-1D5D-4368-8083-441219D33AA2}</x14:id>
        </ext>
      </extLst>
    </cfRule>
  </conditionalFormatting>
  <conditionalFormatting sqref="M54:M54">
    <cfRule priority="18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{F16A41C7-AD56-424B-A43B-94AA66CF7D83}</x14:id>
        </ext>
      </extLst>
    </cfRule>
  </conditionalFormatting>
  <conditionalFormatting sqref="AH61:AH61">
    <cfRule priority="19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{FAD1542F-A3F7-4EBD-832D-A3125C19D7FC}</x14:id>
        </ext>
      </extLst>
    </cfRule>
  </conditionalFormatting>
  <conditionalFormatting sqref="N54:N54">
    <cfRule priority="19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{0EE980C4-4FEA-41EE-B448-7A72C7570428}</x14:id>
        </ext>
      </extLst>
    </cfRule>
  </conditionalFormatting>
  <conditionalFormatting sqref="M47:M47">
    <cfRule priority="19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{35AFAE66-2C01-4276-A0D4-9D65A6C8A795}</x14:id>
        </ext>
      </extLst>
    </cfRule>
  </conditionalFormatting>
  <conditionalFormatting sqref="AI68:AI68">
    <cfRule priority="1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{40C55F79-C0FC-4985-8CC6-D5299710E42B}</x14:id>
        </ext>
      </extLst>
    </cfRule>
  </conditionalFormatting>
  <conditionalFormatting sqref="AI51:AI51">
    <cfRule priority="1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{AC174880-6A3B-4178-815A-44B6E7643CD8}</x14:id>
        </ext>
      </extLst>
    </cfRule>
  </conditionalFormatting>
  <conditionalFormatting sqref="N63:N63">
    <cfRule priority="19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{5BDF49BB-3CF4-4BAA-9C6B-B69E7309541E}</x14:id>
        </ext>
      </extLst>
    </cfRule>
  </conditionalFormatting>
  <conditionalFormatting sqref="AI55:AI55">
    <cfRule priority="1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{B30C8690-C531-4FDD-8649-C07A203811FC}</x14:id>
        </ext>
      </extLst>
    </cfRule>
  </conditionalFormatting>
  <conditionalFormatting sqref="AH60:AH60">
    <cfRule priority="1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{EC10E5D7-B255-4937-AF4E-C763FF2ED7A8}</x14:id>
        </ext>
      </extLst>
    </cfRule>
  </conditionalFormatting>
  <conditionalFormatting sqref="BG73:BG73">
    <cfRule priority="1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{5621FF75-FB6E-4AB5-A5A0-D56139DFF571}</x14:id>
        </ext>
      </extLst>
    </cfRule>
  </conditionalFormatting>
  <conditionalFormatting sqref="M67:M67">
    <cfRule priority="19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{4C2DDBF1-5C98-4007-AA1E-B3B7FB4D3078}</x14:id>
        </ext>
      </extLst>
    </cfRule>
  </conditionalFormatting>
  <conditionalFormatting sqref="AH75:AH92">
    <cfRule priority="20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{95F38384-E903-48ED-BDD4-59C64942C4C2}</x14:id>
        </ext>
      </extLst>
    </cfRule>
  </conditionalFormatting>
  <conditionalFormatting sqref="AJ2:AJ2">
    <cfRule priority="20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{5C5C0AF5-E1D3-4529-A3E1-C5172FE0CD87}</x14:id>
        </ext>
      </extLst>
    </cfRule>
  </conditionalFormatting>
  <conditionalFormatting sqref="N1:N2 P1:P1">
    <cfRule priority="20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{E058A7AE-DC5C-4B64-977B-1CB3A69A1F9B}</x14:id>
        </ext>
      </extLst>
    </cfRule>
  </conditionalFormatting>
  <conditionalFormatting sqref="N72:N72">
    <cfRule priority="20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{510CA6E7-AF48-4FF7-AB96-DAD25C2E607E}</x14:id>
        </ext>
      </extLst>
    </cfRule>
  </conditionalFormatting>
  <conditionalFormatting sqref="AH69:AH69">
    <cfRule priority="2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{42844029-BD35-4AE0-96D4-BDA57FD415E8}</x14:id>
        </ext>
      </extLst>
    </cfRule>
  </conditionalFormatting>
  <conditionalFormatting sqref="AH73:AH73">
    <cfRule priority="20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{F514C787-D50A-460F-8A7D-27FC0515B0D5}</x14:id>
        </ext>
      </extLst>
    </cfRule>
  </conditionalFormatting>
  <conditionalFormatting sqref="M73:M73">
    <cfRule priority="20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{FFBC1976-CA18-4B22-9AC8-D3A1CFAB3F46}</x14:id>
        </ext>
      </extLst>
    </cfRule>
  </conditionalFormatting>
  <conditionalFormatting sqref="AH58:AH58">
    <cfRule priority="20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{091BD917-2096-4975-89AB-B0B7F6D20B2F}</x14:id>
        </ext>
      </extLst>
    </cfRule>
  </conditionalFormatting>
  <conditionalFormatting sqref="M1:M2">
    <cfRule priority="2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{12090FED-03CF-45ED-B0BF-EBABDC59D067}</x14:id>
        </ext>
      </extLst>
    </cfRule>
  </conditionalFormatting>
  <conditionalFormatting sqref="AH50:AH50">
    <cfRule priority="20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{D3DF1997-28AE-44BF-9048-1AA56FB8A7D6}</x14:id>
        </ext>
      </extLst>
    </cfRule>
  </conditionalFormatting>
  <conditionalFormatting sqref="AO2:AO2">
    <cfRule priority="210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{9CE4A7D2-37C2-49D4-8E72-304C97A1791B}</x14:id>
        </ext>
      </extLst>
    </cfRule>
  </conditionalFormatting>
  <conditionalFormatting sqref="BF4:BF4">
    <cfRule priority="21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{6548FCCD-2751-42C2-82FC-7BC1EE769AB4}</x14:id>
        </ext>
      </extLst>
    </cfRule>
  </conditionalFormatting>
  <conditionalFormatting sqref="N46:N46">
    <cfRule priority="21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{6CD67C74-88AA-4AE7-9478-A6FA50EFBE67}</x14:id>
        </ext>
      </extLst>
    </cfRule>
  </conditionalFormatting>
  <conditionalFormatting sqref="N69:N69">
    <cfRule priority="21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{92401B66-12C6-4DE9-B5D4-7F76CEEBBABC}</x14:id>
        </ext>
      </extLst>
    </cfRule>
  </conditionalFormatting>
  <conditionalFormatting sqref="AH62:AH62">
    <cfRule priority="2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{73A33920-D965-4851-AE8C-EDADAF060FEF}</x14:id>
        </ext>
      </extLst>
    </cfRule>
  </conditionalFormatting>
  <conditionalFormatting sqref="AI53:AI53">
    <cfRule priority="2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{17823258-59C5-4971-B3FB-80C2D25DE975}</x14:id>
        </ext>
      </extLst>
    </cfRule>
  </conditionalFormatting>
  <conditionalFormatting sqref="M57:M57">
    <cfRule priority="2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{0EBCA600-3E84-465A-B219-7F5AB3BAFD79}</x14:id>
        </ext>
      </extLst>
    </cfRule>
  </conditionalFormatting>
  <conditionalFormatting sqref="BG66:BG66">
    <cfRule priority="2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{7402D79C-4D50-4357-84E9-2620150DBA9E}</x14:id>
        </ext>
      </extLst>
    </cfRule>
  </conditionalFormatting>
  <conditionalFormatting sqref="AI63:AI63">
    <cfRule priority="2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{8AEC8458-7B93-42E0-AA6C-FC63E2B27A94}</x14:id>
        </ext>
      </extLst>
    </cfRule>
  </conditionalFormatting>
  <conditionalFormatting sqref="AI64:AI64">
    <cfRule priority="2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{DCD5EEDD-7661-432C-BBD3-74C5013B717C}</x14:id>
        </ext>
      </extLst>
    </cfRule>
  </conditionalFormatting>
  <conditionalFormatting sqref="M48:M48">
    <cfRule priority="2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{15AB7500-B18B-4DCF-A391-54D00D988A49}</x14:id>
        </ext>
      </extLst>
    </cfRule>
  </conditionalFormatting>
  <conditionalFormatting sqref="N49:N49">
    <cfRule priority="22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{72E62B7F-05FB-41F8-9C36-8E9CA770DE5D}</x14:id>
        </ext>
      </extLst>
    </cfRule>
  </conditionalFormatting>
  <conditionalFormatting sqref="AH63:AH63">
    <cfRule priority="22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{F06C0757-8A05-4287-9D8A-5A5339ADF3C0}</x14:id>
        </ext>
      </extLst>
    </cfRule>
  </conditionalFormatting>
  <conditionalFormatting sqref="AO2:AO2">
    <cfRule priority="223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{2C448433-D9BD-4DAE-930E-24A1385B512E}</x14:id>
        </ext>
      </extLst>
    </cfRule>
  </conditionalFormatting>
  <conditionalFormatting sqref="M3:M45">
    <cfRule priority="22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{58076D0E-76A0-43CC-B773-F6CBE8494661}</x14:id>
        </ext>
      </extLst>
    </cfRule>
  </conditionalFormatting>
  <conditionalFormatting sqref="AH55:AH55">
    <cfRule priority="2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{F2C66094-8084-4260-BCE6-5C715E71122E}</x14:id>
        </ext>
      </extLst>
    </cfRule>
  </conditionalFormatting>
  <conditionalFormatting sqref="BG4:BG4">
    <cfRule priority="2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{5D720064-2DDC-422B-BE9A-4599204416EC}</x14:id>
        </ext>
      </extLst>
    </cfRule>
  </conditionalFormatting>
  <conditionalFormatting sqref="AI61:AI61">
    <cfRule priority="2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{8331BEDB-BC3C-4FD6-A14E-6089FE452C66}</x14:id>
        </ext>
      </extLst>
    </cfRule>
  </conditionalFormatting>
  <conditionalFormatting sqref="BF61:BF61">
    <cfRule priority="2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{51CF5207-FEDF-4D7A-A661-034D8A1C3158}</x14:id>
        </ext>
      </extLst>
    </cfRule>
  </conditionalFormatting>
  <conditionalFormatting sqref="N67:N67">
    <cfRule priority="22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{E323F7B0-DA34-451B-BE1C-7C40FCB762CE}</x14:id>
        </ext>
      </extLst>
    </cfRule>
  </conditionalFormatting>
  <conditionalFormatting sqref="BG64:BG64">
    <cfRule priority="23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{DAAFE81E-9EB3-4A4A-A0EB-2E34E3D02DD6}</x14:id>
        </ext>
      </extLst>
    </cfRule>
  </conditionalFormatting>
  <conditionalFormatting sqref="BG74:BG74">
    <cfRule priority="23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{B43FC01F-3F51-4F41-A2CC-36E7DD60103A}</x14:id>
        </ext>
      </extLst>
    </cfRule>
  </conditionalFormatting>
  <conditionalFormatting sqref="AN2:AN2">
    <cfRule priority="2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{B8076A00-24D6-4E46-9858-40D7AC2B98F3}</x14:id>
        </ext>
      </extLst>
    </cfRule>
  </conditionalFormatting>
  <conditionalFormatting sqref="AH74:AH74">
    <cfRule priority="2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{7D1185F1-7916-4E37-8F95-8D06C6D81E5D}</x14:id>
        </ext>
      </extLst>
    </cfRule>
  </conditionalFormatting>
  <conditionalFormatting sqref="BF93:BF162">
    <cfRule priority="2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{EF076514-8D49-4692-91B8-6572E94AAF0F}</x14:id>
        </ext>
      </extLst>
    </cfRule>
  </conditionalFormatting>
  <conditionalFormatting sqref="AO2:AO2">
    <cfRule priority="235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{B6BCC8A6-719A-40FC-86E4-D4D7DD3FCFD5}</x14:id>
        </ext>
      </extLst>
    </cfRule>
  </conditionalFormatting>
  <conditionalFormatting sqref="AI3:AI45">
    <cfRule priority="2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{A4B56D6A-14B3-44D9-A2C1-462C4536399C}</x14:id>
        </ext>
      </extLst>
    </cfRule>
  </conditionalFormatting>
  <conditionalFormatting sqref="BG8:BG8">
    <cfRule priority="2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{8182A520-2881-420F-B3D7-EDC900CA12BE}</x14:id>
        </ext>
      </extLst>
    </cfRule>
  </conditionalFormatting>
  <conditionalFormatting sqref="BF56:BF56">
    <cfRule priority="23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{17397C62-03C3-480B-9619-7ACE820E5E57}</x14:id>
        </ext>
      </extLst>
    </cfRule>
  </conditionalFormatting>
  <conditionalFormatting sqref="AH93:AH162">
    <cfRule priority="2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{9189DF26-373F-4FEA-89D8-E28A1C79C679}</x14:id>
        </ext>
      </extLst>
    </cfRule>
  </conditionalFormatting>
  <conditionalFormatting sqref="AN2:AN2">
    <cfRule priority="24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{36926812-EBCD-487E-9A93-059709929D38}</x14:id>
        </ext>
      </extLst>
    </cfRule>
  </conditionalFormatting>
  <conditionalFormatting sqref="BG57:BG57">
    <cfRule priority="2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{F44A0434-293C-4DF7-85DE-200DB497AE83}</x14:id>
        </ext>
      </extLst>
    </cfRule>
  </conditionalFormatting>
  <conditionalFormatting sqref="N56:N56">
    <cfRule priority="24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{61C795D4-E9D4-4F83-88F6-CBCD2B0688B2}</x14:id>
        </ext>
      </extLst>
    </cfRule>
  </conditionalFormatting>
  <conditionalFormatting sqref="AI74:AI74">
    <cfRule priority="2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{ABB6A042-9FEE-450E-BF92-D9BD8301617B}</x14:id>
        </ext>
      </extLst>
    </cfRule>
  </conditionalFormatting>
  <conditionalFormatting sqref="AI48:AI48">
    <cfRule priority="24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{5032F67D-E969-4D74-94D1-C304AEE7273D}</x14:id>
        </ext>
      </extLst>
    </cfRule>
  </conditionalFormatting>
  <conditionalFormatting sqref="AH65:AH65">
    <cfRule priority="24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{6D878AD3-90A6-4037-BC44-91BAFA1E6307}</x14:id>
        </ext>
      </extLst>
    </cfRule>
  </conditionalFormatting>
  <conditionalFormatting sqref="AH67:AH67">
    <cfRule priority="24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{2F78B5EB-96F5-41B5-B1B2-B431AA451325}</x14:id>
        </ext>
      </extLst>
    </cfRule>
  </conditionalFormatting>
  <conditionalFormatting sqref="AI72:AI72">
    <cfRule priority="24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{F03A2FCF-E784-4221-B9C3-4425B02EDA8A}</x14:id>
        </ext>
      </extLst>
    </cfRule>
  </conditionalFormatting>
  <conditionalFormatting sqref="AI58:AI58">
    <cfRule priority="24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{F970E507-3544-4A93-9381-2F28E7C53F0E}</x14:id>
        </ext>
      </extLst>
    </cfRule>
  </conditionalFormatting>
  <conditionalFormatting sqref="AI59:AI59">
    <cfRule priority="2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{CFEDBE67-4902-4B4A-8322-B1EE03BFB19B}</x14:id>
        </ext>
      </extLst>
    </cfRule>
  </conditionalFormatting>
  <conditionalFormatting sqref="BG11:BG11">
    <cfRule priority="2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{4A5FA8AA-DEDF-4B52-9F03-65432C2BC57A}</x14:id>
        </ext>
      </extLst>
    </cfRule>
  </conditionalFormatting>
  <conditionalFormatting sqref="BG55:BG55">
    <cfRule priority="25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{62F96442-C734-471E-969C-CD14EA2331DC}</x14:id>
        </ext>
      </extLst>
    </cfRule>
  </conditionalFormatting>
  <conditionalFormatting sqref="BG49:BG49">
    <cfRule priority="25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{89F54103-E203-496C-9E06-CEA4C381A186}</x14:id>
        </ext>
      </extLst>
    </cfRule>
  </conditionalFormatting>
  <conditionalFormatting sqref="AH73:AH73">
    <cfRule priority="2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{1FB3CFD6-E69D-4FD8-A698-A117EF3F071D}</x14:id>
        </ext>
      </extLst>
    </cfRule>
  </conditionalFormatting>
  <conditionalFormatting sqref="AN2:AN2">
    <cfRule priority="25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{9A0E3B25-AD9E-45F9-AE67-E37652647AF0}</x14:id>
        </ext>
      </extLst>
    </cfRule>
  </conditionalFormatting>
  <conditionalFormatting sqref="M66:M66">
    <cfRule priority="2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{D32759BA-A8F9-457E-A0E5-5E1BDDC64AB2}</x14:id>
        </ext>
      </extLst>
    </cfRule>
  </conditionalFormatting>
  <conditionalFormatting sqref="AI62:AI62">
    <cfRule priority="2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{16FB337F-AF87-4325-B1F1-2D715B8B70EF}</x14:id>
        </ext>
      </extLst>
    </cfRule>
  </conditionalFormatting>
  <conditionalFormatting sqref="AH47:AH47">
    <cfRule priority="2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{8CE43D84-1FB0-4401-9B94-DAF67198C418}</x14:id>
        </ext>
      </extLst>
    </cfRule>
  </conditionalFormatting>
  <conditionalFormatting sqref="N61:N61">
    <cfRule priority="25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{2BA8CBDD-50E5-4E3D-B116-084034F0FF5B}</x14:id>
        </ext>
      </extLst>
    </cfRule>
  </conditionalFormatting>
  <conditionalFormatting sqref="BG93:BG162">
    <cfRule priority="25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{2CC924F1-110B-45D4-BE75-B3FECB6CD588}</x14:id>
        </ext>
      </extLst>
    </cfRule>
  </conditionalFormatting>
  <conditionalFormatting sqref="M52:M52">
    <cfRule priority="2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{84213D74-CF0A-464C-A6DC-4676C24F55DE}</x14:id>
        </ext>
      </extLst>
    </cfRule>
  </conditionalFormatting>
  <conditionalFormatting sqref="BF69:BF69">
    <cfRule priority="2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{062C7DAF-8D5E-48C9-9261-EB70C9CD6BFD}</x14:id>
        </ext>
      </extLst>
    </cfRule>
  </conditionalFormatting>
  <conditionalFormatting sqref="AI75:AI92">
    <cfRule priority="26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{3B9E9AE8-A8DB-4AD4-9F38-16FA88511667}</x14:id>
        </ext>
      </extLst>
    </cfRule>
  </conditionalFormatting>
  <conditionalFormatting sqref="AH49:AH49">
    <cfRule priority="26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{1A679EF6-2438-4323-AD63-E569B94EE726}</x14:id>
        </ext>
      </extLst>
    </cfRule>
  </conditionalFormatting>
  <conditionalFormatting sqref="M53:M53">
    <cfRule priority="2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{441B2819-F34B-4F0B-B8A2-3E8BF6E8B1D4}</x14:id>
        </ext>
      </extLst>
    </cfRule>
  </conditionalFormatting>
  <conditionalFormatting sqref="M69:M69">
    <cfRule priority="2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{7FC599F7-C2CB-4172-927F-A3C1366BFF22}</x14:id>
        </ext>
      </extLst>
    </cfRule>
  </conditionalFormatting>
  <conditionalFormatting sqref="AH69:AH69">
    <cfRule priority="26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{23B942C8-90D1-4F9E-8A87-39E11A972AD9}</x14:id>
        </ext>
      </extLst>
    </cfRule>
  </conditionalFormatting>
  <conditionalFormatting sqref="N73:N73">
    <cfRule priority="26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{EA238CE0-2A49-486D-AF6D-847E29FC0EC6}</x14:id>
        </ext>
      </extLst>
    </cfRule>
  </conditionalFormatting>
  <conditionalFormatting sqref="N71:N71">
    <cfRule priority="26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{E6941D34-9868-4FFE-8F29-D6E8EDB000FF}</x14:id>
        </ext>
      </extLst>
    </cfRule>
  </conditionalFormatting>
  <conditionalFormatting sqref="M68:M68">
    <cfRule priority="2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{B46BF78D-102F-4C1A-BEAE-9C0F635521E6}</x14:id>
        </ext>
      </extLst>
    </cfRule>
  </conditionalFormatting>
  <conditionalFormatting sqref="M46:M46">
    <cfRule priority="27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{77B1A00E-5A1D-4A84-822C-AB92CD867DE7}</x14:id>
        </ext>
      </extLst>
    </cfRule>
  </conditionalFormatting>
  <conditionalFormatting sqref="BG33:BG45">
    <cfRule priority="27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{B24BA2B9-FFE8-4CA0-9AA9-A75AE6DD140C}</x14:id>
        </ext>
      </extLst>
    </cfRule>
  </conditionalFormatting>
  <conditionalFormatting sqref="N53:N53">
    <cfRule priority="27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{010771B0-0327-414D-A262-05B614D44AA7}</x14:id>
        </ext>
      </extLst>
    </cfRule>
  </conditionalFormatting>
  <conditionalFormatting sqref="AH51:AH51">
    <cfRule priority="27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{E65AB5AF-3304-4D7A-A4B2-8BDAFD23BE7E}</x14:id>
        </ext>
      </extLst>
    </cfRule>
  </conditionalFormatting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92EFFB-865C-4ECA-B48D-0472EBF3513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R1:R1</xm:sqref>
        </x14:conditionalFormatting>
        <x14:conditionalFormatting xmlns:xm="http://schemas.microsoft.com/office/excel/2006/main">
          <x14:cfRule type="dataBar" id="{6187EDD6-6C2A-4F79-9281-F71E8BB7381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R1:R1</xm:sqref>
        </x14:conditionalFormatting>
        <x14:conditionalFormatting xmlns:xm="http://schemas.microsoft.com/office/excel/2006/main">
          <x14:cfRule type="dataBar" id="{18409B2E-887C-41DA-8636-7679738A5D9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S1:S1</xm:sqref>
        </x14:conditionalFormatting>
        <x14:conditionalFormatting xmlns:xm="http://schemas.microsoft.com/office/excel/2006/main">
          <x14:cfRule type="dataBar" id="{C467395E-51FA-4589-8C9A-EB3F19F289D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S1:S1</xm:sqref>
        </x14:conditionalFormatting>
        <x14:conditionalFormatting xmlns:xm="http://schemas.microsoft.com/office/excel/2006/main">
          <x14:cfRule type="dataBar" id="{934BB1B4-73EA-4F78-B4BC-463B19EFE6D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BF7:BF7</xm:sqref>
        </x14:conditionalFormatting>
        <x14:conditionalFormatting xmlns:xm="http://schemas.microsoft.com/office/excel/2006/main">
          <x14:cfRule type="dataBar" id="{F6A4B2B9-2158-44FE-9F7A-52811015F1B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BF3:BF3</xm:sqref>
        </x14:conditionalFormatting>
        <x14:conditionalFormatting xmlns:xm="http://schemas.microsoft.com/office/excel/2006/main">
          <x14:cfRule type="dataBar" id="{AEC08BBF-D838-49FA-9098-59293F07539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M70:M70</xm:sqref>
        </x14:conditionalFormatting>
        <x14:conditionalFormatting xmlns:xm="http://schemas.microsoft.com/office/excel/2006/main">
          <x14:cfRule type="dataBar" id="{8632CE46-AD08-423A-8744-723FEE5DB9C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AH65:AH65</xm:sqref>
        </x14:conditionalFormatting>
        <x14:conditionalFormatting xmlns:xm="http://schemas.microsoft.com/office/excel/2006/main">
          <x14:cfRule type="dataBar" id="{35012C02-702E-4B45-926D-58C65168C90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AH60:AH60</xm:sqref>
        </x14:conditionalFormatting>
        <x14:conditionalFormatting xmlns:xm="http://schemas.microsoft.com/office/excel/2006/main">
          <x14:cfRule type="dataBar" id="{57BF13C3-9A6C-4A03-B408-CBB19CA247C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M56:M56</xm:sqref>
        </x14:conditionalFormatting>
        <x14:conditionalFormatting xmlns:xm="http://schemas.microsoft.com/office/excel/2006/main">
          <x14:cfRule type="dataBar" id="{36C7BD7E-B6C7-40BC-B8EB-A61F6FE8130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M74:M74</xm:sqref>
        </x14:conditionalFormatting>
        <x14:conditionalFormatting xmlns:xm="http://schemas.microsoft.com/office/excel/2006/main">
          <x14:cfRule type="dataBar" id="{F0D03C48-F5B9-4E88-9A3B-1BFB2D087A5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AI65:AI65</xm:sqref>
        </x14:conditionalFormatting>
        <x14:conditionalFormatting xmlns:xm="http://schemas.microsoft.com/office/excel/2006/main">
          <x14:cfRule type="dataBar" id="{7B908D6D-E2B0-4447-AF55-A0F0CE49CD5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M60:M60</xm:sqref>
        </x14:conditionalFormatting>
        <x14:conditionalFormatting xmlns:xm="http://schemas.microsoft.com/office/excel/2006/main">
          <x14:cfRule type="dataBar" id="{13AE4BC2-1145-4E50-A206-0741553179E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AI70:AI70</xm:sqref>
        </x14:conditionalFormatting>
        <x14:conditionalFormatting xmlns:xm="http://schemas.microsoft.com/office/excel/2006/main">
          <x14:cfRule type="dataBar" id="{CE300371-15D7-4B61-AEE9-7FBBC7C8CD0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AH54:AH54</xm:sqref>
        </x14:conditionalFormatting>
        <x14:conditionalFormatting xmlns:xm="http://schemas.microsoft.com/office/excel/2006/main">
          <x14:cfRule type="dataBar" id="{0ED7D178-07AF-4CFB-82C8-414867E840F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1AF7643C-3FDE-4DD3-A269-5096EB7800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BF72:BF72</xm:sqref>
        </x14:conditionalFormatting>
        <x14:conditionalFormatting xmlns:xm="http://schemas.microsoft.com/office/excel/2006/main">
          <x14:cfRule type="dataBar" id="{16AA88E9-5ACB-4CD1-B744-4B91753B5D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BG69:BG69</xm:sqref>
        </x14:conditionalFormatting>
        <x14:conditionalFormatting xmlns:xm="http://schemas.microsoft.com/office/excel/2006/main">
          <x14:cfRule type="dataBar" id="{3B4476A0-299A-407F-8414-6E958703BD4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BG58:BG58</xm:sqref>
        </x14:conditionalFormatting>
        <x14:conditionalFormatting xmlns:xm="http://schemas.microsoft.com/office/excel/2006/main">
          <x14:cfRule type="dataBar" id="{CA9E42F0-2194-4FAD-B9B7-FC6B3EF8FCC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AI54:AI54</xm:sqref>
        </x14:conditionalFormatting>
        <x14:conditionalFormatting xmlns:xm="http://schemas.microsoft.com/office/excel/2006/main">
          <x14:cfRule type="dataBar" id="{6089A737-B492-49E1-8E7A-EE8B0157F11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BF60:BF60</xm:sqref>
        </x14:conditionalFormatting>
        <x14:conditionalFormatting xmlns:xm="http://schemas.microsoft.com/office/excel/2006/main">
          <x14:cfRule type="dataBar" id="{6C5ED25F-0B77-443E-BB4D-648FF03C9C2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BG5:BG5</xm:sqref>
        </x14:conditionalFormatting>
        <x14:conditionalFormatting xmlns:xm="http://schemas.microsoft.com/office/excel/2006/main">
          <x14:cfRule type="dataBar" id="{17E44D44-30E8-406F-BC0A-FAB89384DBE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BF12:BF32</xm:sqref>
        </x14:conditionalFormatting>
        <x14:conditionalFormatting xmlns:xm="http://schemas.microsoft.com/office/excel/2006/main">
          <x14:cfRule type="dataBar" id="{F00D362B-7245-41BE-B94D-20E9A395AAB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T1:T1</xm:sqref>
        </x14:conditionalFormatting>
        <x14:conditionalFormatting xmlns:xm="http://schemas.microsoft.com/office/excel/2006/main">
          <x14:cfRule type="dataBar" id="{E37C6842-12D4-4A98-A710-229F5B3EE7B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BG52:BG52</xm:sqref>
        </x14:conditionalFormatting>
        <x14:conditionalFormatting xmlns:xm="http://schemas.microsoft.com/office/excel/2006/main">
          <x14:cfRule type="dataBar" id="{B1460520-598F-4D58-A92C-0FF415504F5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AH56:AH56</xm:sqref>
        </x14:conditionalFormatting>
        <x14:conditionalFormatting xmlns:xm="http://schemas.microsoft.com/office/excel/2006/main">
          <x14:cfRule type="dataBar" id="{B2DBB800-9CFD-41D9-98F9-629366A59FB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AH59:AH59</xm:sqref>
        </x14:conditionalFormatting>
        <x14:conditionalFormatting xmlns:xm="http://schemas.microsoft.com/office/excel/2006/main">
          <x14:cfRule type="dataBar" id="{03455CBB-B57B-4E1B-869B-500BF8C6CAB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BG60:BG60</xm:sqref>
        </x14:conditionalFormatting>
        <x14:conditionalFormatting xmlns:xm="http://schemas.microsoft.com/office/excel/2006/main">
          <x14:cfRule type="dataBar" id="{04CD5380-6BB7-4F06-A274-063FD110D6F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BF54:BF54</xm:sqref>
        </x14:conditionalFormatting>
        <x14:conditionalFormatting xmlns:xm="http://schemas.microsoft.com/office/excel/2006/main">
          <x14:cfRule type="dataBar" id="{EF50FB03-C6D7-44F7-A0B4-77987B437A0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43B6C064-896E-48C2-8580-965D5055B79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AH49:AH49</xm:sqref>
        </x14:conditionalFormatting>
        <x14:conditionalFormatting xmlns:xm="http://schemas.microsoft.com/office/excel/2006/main">
          <x14:cfRule type="dataBar" id="{625456E5-E96E-4853-9416-52491A1FBF0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80625A2C-231E-40AC-96F9-77DF9B4AB00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AI49:AI49</xm:sqref>
        </x14:conditionalFormatting>
        <x14:conditionalFormatting xmlns:xm="http://schemas.microsoft.com/office/excel/2006/main">
          <x14:cfRule type="dataBar" id="{B9D3860E-E20B-4B0A-B1F6-7FD16979434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M55:M55</xm:sqref>
        </x14:conditionalFormatting>
        <x14:conditionalFormatting xmlns:xm="http://schemas.microsoft.com/office/excel/2006/main">
          <x14:cfRule type="dataBar" id="{5D3B6688-FC77-4197-9FE3-4E6D71E3048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N75:N92</xm:sqref>
        </x14:conditionalFormatting>
        <x14:conditionalFormatting xmlns:xm="http://schemas.microsoft.com/office/excel/2006/main">
          <x14:cfRule type="dataBar" id="{9B7AA5D8-5E40-479B-9EC3-4B4DBB74D4D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BG3:BG3</xm:sqref>
        </x14:conditionalFormatting>
        <x14:conditionalFormatting xmlns:xm="http://schemas.microsoft.com/office/excel/2006/main">
          <x14:cfRule type="dataBar" id="{1317C729-1210-47EF-B634-3D337C1DAD2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BG53:BG53</xm:sqref>
        </x14:conditionalFormatting>
        <x14:conditionalFormatting xmlns:xm="http://schemas.microsoft.com/office/excel/2006/main">
          <x14:cfRule type="dataBar" id="{C37D7A7E-E816-42FB-AB41-CDE8234A2B1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N66:N66</xm:sqref>
        </x14:conditionalFormatting>
        <x14:conditionalFormatting xmlns:xm="http://schemas.microsoft.com/office/excel/2006/main">
          <x14:cfRule type="dataBar" id="{EA6049F2-418E-4B62-B65C-6D7CF5AC10B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AH54:AH54</xm:sqref>
        </x14:conditionalFormatting>
        <x14:conditionalFormatting xmlns:xm="http://schemas.microsoft.com/office/excel/2006/main">
          <x14:cfRule type="dataBar" id="{E9032D89-3DF6-427E-8B6A-678550E54A7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BG12:BG32</xm:sqref>
        </x14:conditionalFormatting>
        <x14:conditionalFormatting xmlns:xm="http://schemas.microsoft.com/office/excel/2006/main">
          <x14:cfRule type="dataBar" id="{46D23C84-1738-4C37-AC15-7079AF0C43E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AH62:AH62</xm:sqref>
        </x14:conditionalFormatting>
        <x14:conditionalFormatting xmlns:xm="http://schemas.microsoft.com/office/excel/2006/main">
          <x14:cfRule type="dataBar" id="{AA182355-2E18-41CC-9538-7C202E2458F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BG63:BG63</xm:sqref>
        </x14:conditionalFormatting>
        <x14:conditionalFormatting xmlns:xm="http://schemas.microsoft.com/office/excel/2006/main">
          <x14:cfRule type="dataBar" id="{D3B7DEDE-9BE2-4DC9-8A8C-88CCDC4D67D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BG6:BG6</xm:sqref>
        </x14:conditionalFormatting>
        <x14:conditionalFormatting xmlns:xm="http://schemas.microsoft.com/office/excel/2006/main">
          <x14:cfRule type="dataBar" id="{7222D62C-FE40-4B7A-8F34-A92E1930823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N65:N65</xm:sqref>
        </x14:conditionalFormatting>
        <x14:conditionalFormatting xmlns:xm="http://schemas.microsoft.com/office/excel/2006/main">
          <x14:cfRule type="dataBar" id="{229C33C2-4573-4C88-994C-AA91C887218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M61:M61</xm:sqref>
        </x14:conditionalFormatting>
        <x14:conditionalFormatting xmlns:xm="http://schemas.microsoft.com/office/excel/2006/main">
          <x14:cfRule type="dataBar" id="{FC485351-DF5E-4E21-A8D4-7C93807E81A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BG10:BG10</xm:sqref>
        </x14:conditionalFormatting>
        <x14:conditionalFormatting xmlns:xm="http://schemas.microsoft.com/office/excel/2006/main">
          <x14:cfRule type="dataBar" id="{52881045-AF7E-4043-94C1-E9659BF3514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AH52:AH52</xm:sqref>
        </x14:conditionalFormatting>
        <x14:conditionalFormatting xmlns:xm="http://schemas.microsoft.com/office/excel/2006/main">
          <x14:cfRule type="dataBar" id="{94BF9F89-BC96-4749-9232-7AAFC9DE174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BF63:BF63</xm:sqref>
        </x14:conditionalFormatting>
        <x14:conditionalFormatting xmlns:xm="http://schemas.microsoft.com/office/excel/2006/main">
          <x14:cfRule type="dataBar" id="{F52111F1-1237-4E46-AAAC-19C9F979E27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AH93:AH162</xm:sqref>
        </x14:conditionalFormatting>
        <x14:conditionalFormatting xmlns:xm="http://schemas.microsoft.com/office/excel/2006/main">
          <x14:cfRule type="dataBar" id="{24FBBBFB-B2CA-452F-A2FF-7C832978435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AH3:AH45</xm:sqref>
        </x14:conditionalFormatting>
        <x14:conditionalFormatting xmlns:xm="http://schemas.microsoft.com/office/excel/2006/main">
          <x14:cfRule type="dataBar" id="{97775530-18C7-4043-B393-1988A401B47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N55:N55</xm:sqref>
        </x14:conditionalFormatting>
        <x14:conditionalFormatting xmlns:xm="http://schemas.microsoft.com/office/excel/2006/main">
          <x14:cfRule type="dataBar" id="{444C7391-0A44-40F5-907E-89278C9E38A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AH47:AH47</xm:sqref>
        </x14:conditionalFormatting>
        <x14:conditionalFormatting xmlns:xm="http://schemas.microsoft.com/office/excel/2006/main">
          <x14:cfRule type="dataBar" id="{CE24840A-357E-4A24-9E70-6E86B6B9780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M65:M65</xm:sqref>
        </x14:conditionalFormatting>
        <x14:conditionalFormatting xmlns:xm="http://schemas.microsoft.com/office/excel/2006/main">
          <x14:cfRule type="dataBar" id="{9006A07D-93FB-4179-95C5-6DED4A0ADE6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BG47:BG47</xm:sqref>
        </x14:conditionalFormatting>
        <x14:conditionalFormatting xmlns:xm="http://schemas.microsoft.com/office/excel/2006/main">
          <x14:cfRule type="dataBar" id="{0C96A243-73F3-4119-907C-1832C262A4B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BG70:BG70</xm:sqref>
        </x14:conditionalFormatting>
        <x14:conditionalFormatting xmlns:xm="http://schemas.microsoft.com/office/excel/2006/main">
          <x14:cfRule type="dataBar" id="{0F874B9F-7386-422C-8B14-1A9668069FA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AI73:AI73</xm:sqref>
        </x14:conditionalFormatting>
        <x14:conditionalFormatting xmlns:xm="http://schemas.microsoft.com/office/excel/2006/main">
          <x14:cfRule type="dataBar" id="{A81139EB-406B-4FDD-AFB9-8DA6B07DBE3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AH50:AH50</xm:sqref>
        </x14:conditionalFormatting>
        <x14:conditionalFormatting xmlns:xm="http://schemas.microsoft.com/office/excel/2006/main">
          <x14:cfRule type="dataBar" id="{887FA15D-139B-4E49-9841-944C3DFD0EE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AI52:AI52</xm:sqref>
        </x14:conditionalFormatting>
        <x14:conditionalFormatting xmlns:xm="http://schemas.microsoft.com/office/excel/2006/main">
          <x14:cfRule type="dataBar" id="{6C24E2E0-B9A4-435E-B525-020487A20AF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N52:N52</xm:sqref>
        </x14:conditionalFormatting>
        <x14:conditionalFormatting xmlns:xm="http://schemas.microsoft.com/office/excel/2006/main">
          <x14:cfRule type="dataBar" id="{AE539CF7-75AD-4733-9E6F-BC6A5B838D8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AI93:AI162</xm:sqref>
        </x14:conditionalFormatting>
        <x14:conditionalFormatting xmlns:xm="http://schemas.microsoft.com/office/excel/2006/main">
          <x14:cfRule type="dataBar" id="{9780BAC1-5C77-48FA-B2A5-E1910F5025C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M93:M162</xm:sqref>
        </x14:conditionalFormatting>
        <x14:conditionalFormatting xmlns:xm="http://schemas.microsoft.com/office/excel/2006/main">
          <x14:cfRule type="dataBar" id="{6C022C17-74DF-4A44-9E86-D66432CD8CE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D2F9DE41-876E-441F-9394-ACD4991AA4F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M59:M59</xm:sqref>
        </x14:conditionalFormatting>
        <x14:conditionalFormatting xmlns:xm="http://schemas.microsoft.com/office/excel/2006/main">
          <x14:cfRule type="dataBar" id="{8F0CD667-9ED4-4426-AB5A-8B8BC553305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AI56:AI56</xm:sqref>
        </x14:conditionalFormatting>
        <x14:conditionalFormatting xmlns:xm="http://schemas.microsoft.com/office/excel/2006/main">
          <x14:cfRule type="dataBar" id="{1A3F8255-80F1-4ED9-A339-1CA1742D5D2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AH67:AH67</xm:sqref>
        </x14:conditionalFormatting>
        <x14:conditionalFormatting xmlns:xm="http://schemas.microsoft.com/office/excel/2006/main">
          <x14:cfRule type="dataBar" id="{E428AF75-2338-4443-B3C8-5F96E439050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BF5:BF5</xm:sqref>
        </x14:conditionalFormatting>
        <x14:conditionalFormatting xmlns:xm="http://schemas.microsoft.com/office/excel/2006/main">
          <x14:cfRule type="dataBar" id="{B37CD319-B11A-4458-B885-32CB251627C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AH66:AH66</xm:sqref>
        </x14:conditionalFormatting>
        <x14:conditionalFormatting xmlns:xm="http://schemas.microsoft.com/office/excel/2006/main">
          <x14:cfRule type="dataBar" id="{890BC8C8-C623-4081-B0A2-0163B3DC675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BF49:BF49</xm:sqref>
        </x14:conditionalFormatting>
        <x14:conditionalFormatting xmlns:xm="http://schemas.microsoft.com/office/excel/2006/main">
          <x14:cfRule type="dataBar" id="{601E8155-9AA2-4453-A34F-7A2857FFD69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BG9:BG9</xm:sqref>
        </x14:conditionalFormatting>
        <x14:conditionalFormatting xmlns:xm="http://schemas.microsoft.com/office/excel/2006/main">
          <x14:cfRule type="dataBar" id="{8A31B4E1-B8A3-4C43-BF21-8EED64EAAD9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BG54:BG54</xm:sqref>
        </x14:conditionalFormatting>
        <x14:conditionalFormatting xmlns:xm="http://schemas.microsoft.com/office/excel/2006/main">
          <x14:cfRule type="dataBar" id="{42D4D196-68A9-4A3A-9C61-0294A945903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AH48:AH48</xm:sqref>
        </x14:conditionalFormatting>
        <x14:conditionalFormatting xmlns:xm="http://schemas.microsoft.com/office/excel/2006/main">
          <x14:cfRule type="dataBar" id="{0C758E5C-9615-4B6A-9CC8-AC08137879F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BF59:BF59</xm:sqref>
        </x14:conditionalFormatting>
        <x14:conditionalFormatting xmlns:xm="http://schemas.microsoft.com/office/excel/2006/main">
          <x14:cfRule type="dataBar" id="{A1298138-121B-45FF-B372-21F05013C83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AI71:AI71</xm:sqref>
        </x14:conditionalFormatting>
        <x14:conditionalFormatting xmlns:xm="http://schemas.microsoft.com/office/excel/2006/main">
          <x14:cfRule type="dataBar" id="{5B6F842F-5F35-423D-92C7-9D0887D3B3F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BF58:BF58</xm:sqref>
        </x14:conditionalFormatting>
        <x14:conditionalFormatting xmlns:xm="http://schemas.microsoft.com/office/excel/2006/main">
          <x14:cfRule type="dataBar" id="{4D70643A-0CD6-4B3D-B090-85B3A70589E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AH53:AH53</xm:sqref>
        </x14:conditionalFormatting>
        <x14:conditionalFormatting xmlns:xm="http://schemas.microsoft.com/office/excel/2006/main">
          <x14:cfRule type="dataBar" id="{DB7024CD-080E-439A-8275-63F015D97C3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M50:M50</xm:sqref>
        </x14:conditionalFormatting>
        <x14:conditionalFormatting xmlns:xm="http://schemas.microsoft.com/office/excel/2006/main">
          <x14:cfRule type="dataBar" id="{6C6BA16F-D290-43B5-8098-3EC4649953B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696EEDF9-84C2-48DA-8FFC-4A68ECE7FBA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AH72:AH72</xm:sqref>
        </x14:conditionalFormatting>
        <x14:conditionalFormatting xmlns:xm="http://schemas.microsoft.com/office/excel/2006/main">
          <x14:cfRule type="dataBar" id="{93E81238-1F30-4D50-B8CE-656AE99CE5C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BG56:BG56</xm:sqref>
        </x14:conditionalFormatting>
        <x14:conditionalFormatting xmlns:xm="http://schemas.microsoft.com/office/excel/2006/main">
          <x14:cfRule type="dataBar" id="{66CFC144-14C8-4AC5-9149-A54F9877117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N59:N59</xm:sqref>
        </x14:conditionalFormatting>
        <x14:conditionalFormatting xmlns:xm="http://schemas.microsoft.com/office/excel/2006/main">
          <x14:cfRule type="dataBar" id="{7ADC0A1E-04DB-4406-82E1-A3FEA2C142C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BF70:BF70</xm:sqref>
        </x14:conditionalFormatting>
        <x14:conditionalFormatting xmlns:xm="http://schemas.microsoft.com/office/excel/2006/main">
          <x14:cfRule type="dataBar" id="{CFF27D9D-DE7D-48FA-B910-155C3BFBBA3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T1:T1</xm:sqref>
        </x14:conditionalFormatting>
        <x14:conditionalFormatting xmlns:xm="http://schemas.microsoft.com/office/excel/2006/main">
          <x14:cfRule type="dataBar" id="{9407F08D-010D-487B-8450-401E2C5FDF5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N74:N74</xm:sqref>
        </x14:conditionalFormatting>
        <x14:conditionalFormatting xmlns:xm="http://schemas.microsoft.com/office/excel/2006/main">
          <x14:cfRule type="dataBar" id="{23CA0EC3-8BE1-43E7-A0B0-F1C3E303E07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AH72:AH72</xm:sqref>
        </x14:conditionalFormatting>
        <x14:conditionalFormatting xmlns:xm="http://schemas.microsoft.com/office/excel/2006/main">
          <x14:cfRule type="dataBar" id="{D218459E-2ACF-4640-ACB4-55007B7028A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AH56:AH56</xm:sqref>
        </x14:conditionalFormatting>
        <x14:conditionalFormatting xmlns:xm="http://schemas.microsoft.com/office/excel/2006/main">
          <x14:cfRule type="dataBar" id="{30733B85-5656-465E-9C05-9CBEECC595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BF73:BF73</xm:sqref>
        </x14:conditionalFormatting>
        <x14:conditionalFormatting xmlns:xm="http://schemas.microsoft.com/office/excel/2006/main">
          <x14:cfRule type="dataBar" id="{2772F4E5-D9A6-4B46-A49D-05F28F7A598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AH53:AH53</xm:sqref>
        </x14:conditionalFormatting>
        <x14:conditionalFormatting xmlns:xm="http://schemas.microsoft.com/office/excel/2006/main">
          <x14:cfRule type="dataBar" id="{7E18E365-6ECC-4256-9F02-6F9BCAF069A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BF11:BF11</xm:sqref>
        </x14:conditionalFormatting>
        <x14:conditionalFormatting xmlns:xm="http://schemas.microsoft.com/office/excel/2006/main">
          <x14:cfRule type="dataBar" id="{9953C046-8BE5-4AA3-A74F-B5565C850CF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AH57:AH57</xm:sqref>
        </x14:conditionalFormatting>
        <x14:conditionalFormatting xmlns:xm="http://schemas.microsoft.com/office/excel/2006/main">
          <x14:cfRule type="dataBar" id="{A1878264-02AA-4375-B9F2-65B3C4B07CC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AH48:AH48</xm:sqref>
        </x14:conditionalFormatting>
        <x14:conditionalFormatting xmlns:xm="http://schemas.microsoft.com/office/excel/2006/main">
          <x14:cfRule type="dataBar" id="{85BA4DF8-2FA9-4A0F-BF54-A4C5A26516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BF8:BF8</xm:sqref>
        </x14:conditionalFormatting>
        <x14:conditionalFormatting xmlns:xm="http://schemas.microsoft.com/office/excel/2006/main">
          <x14:cfRule type="dataBar" id="{908232B1-E285-4D36-84FF-41DBECBDA44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BF52:BF52</xm:sqref>
        </x14:conditionalFormatting>
        <x14:conditionalFormatting xmlns:xm="http://schemas.microsoft.com/office/excel/2006/main">
          <x14:cfRule type="dataBar" id="{6B8AF1C3-1B4B-4163-A8EC-BB4B8F39FE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BF47:BF47</xm:sqref>
        </x14:conditionalFormatting>
        <x14:conditionalFormatting xmlns:xm="http://schemas.microsoft.com/office/excel/2006/main">
          <x14:cfRule type="dataBar" id="{8BD8A3DA-3DA6-4EEB-A443-F71568FA793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M75:M92</xm:sqref>
        </x14:conditionalFormatting>
        <x14:conditionalFormatting xmlns:xm="http://schemas.microsoft.com/office/excel/2006/main">
          <x14:cfRule type="dataBar" id="{607AC2D3-7EAA-41DC-B417-03B4E2B8197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BG75:BG92</xm:sqref>
        </x14:conditionalFormatting>
        <x14:conditionalFormatting xmlns:xm="http://schemas.microsoft.com/office/excel/2006/main">
          <x14:cfRule type="dataBar" id="{478C15B7-96F5-47C1-9E25-93ACF41779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BG59:BG59</xm:sqref>
        </x14:conditionalFormatting>
        <x14:conditionalFormatting xmlns:xm="http://schemas.microsoft.com/office/excel/2006/main">
          <x14:cfRule type="dataBar" id="{1EBB30D8-59AC-42E7-B4BF-C00BEE5A5E3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BF71:BF71</xm:sqref>
        </x14:conditionalFormatting>
        <x14:conditionalFormatting xmlns:xm="http://schemas.microsoft.com/office/excel/2006/main">
          <x14:cfRule type="dataBar" id="{EA92C9F3-580A-4BE7-8BCF-AF7FC2DDB04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BF10:BF10</xm:sqref>
        </x14:conditionalFormatting>
        <x14:conditionalFormatting xmlns:xm="http://schemas.microsoft.com/office/excel/2006/main">
          <x14:cfRule type="dataBar" id="{BDF1B074-85BC-4BE2-AC8A-72F57B0C6A8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BF51:BF51</xm:sqref>
        </x14:conditionalFormatting>
        <x14:conditionalFormatting xmlns:xm="http://schemas.microsoft.com/office/excel/2006/main">
          <x14:cfRule type="dataBar" id="{4361151C-9DCD-4A04-9830-EB4B6D5D35D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AH59:AH59</xm:sqref>
        </x14:conditionalFormatting>
        <x14:conditionalFormatting xmlns:xm="http://schemas.microsoft.com/office/excel/2006/main">
          <x14:cfRule type="dataBar" id="{FE37378E-935E-4B93-AAE2-1B84650C6EE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AH3:AH45</xm:sqref>
        </x14:conditionalFormatting>
        <x14:conditionalFormatting xmlns:xm="http://schemas.microsoft.com/office/excel/2006/main">
          <x14:cfRule type="dataBar" id="{8F452740-44C3-41DB-B3DB-3257764AC31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AI57:AI57</xm:sqref>
        </x14:conditionalFormatting>
        <x14:conditionalFormatting xmlns:xm="http://schemas.microsoft.com/office/excel/2006/main">
          <x14:cfRule type="dataBar" id="{A80F74B5-92FE-4CDB-9DA4-E2220AF2B7F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BF62:BF62</xm:sqref>
        </x14:conditionalFormatting>
        <x14:conditionalFormatting xmlns:xm="http://schemas.microsoft.com/office/excel/2006/main">
          <x14:cfRule type="dataBar" id="{DBFB9C0A-94B4-4B7C-AF0E-C8FB6EEACBA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AH74:AH74</xm:sqref>
        </x14:conditionalFormatting>
        <x14:conditionalFormatting xmlns:xm="http://schemas.microsoft.com/office/excel/2006/main">
          <x14:cfRule type="dataBar" id="{86BBF918-2FFA-44C8-AD49-BF211C049AA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AH58:AH58</xm:sqref>
        </x14:conditionalFormatting>
        <x14:conditionalFormatting xmlns:xm="http://schemas.microsoft.com/office/excel/2006/main">
          <x14:cfRule type="dataBar" id="{3DAC3C9E-B996-4A5C-9920-07E4B39DFD4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BF66:BF66</xm:sqref>
        </x14:conditionalFormatting>
        <x14:conditionalFormatting xmlns:xm="http://schemas.microsoft.com/office/excel/2006/main">
          <x14:cfRule type="dataBar" id="{36D5621E-CF56-4065-9916-861DFF0ECFE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BF57:BF57</xm:sqref>
        </x14:conditionalFormatting>
        <x14:conditionalFormatting xmlns:xm="http://schemas.microsoft.com/office/excel/2006/main">
          <x14:cfRule type="dataBar" id="{49EF40FF-B2F0-4A83-BD6D-BC00B8E6936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M64:M64</xm:sqref>
        </x14:conditionalFormatting>
        <x14:conditionalFormatting xmlns:xm="http://schemas.microsoft.com/office/excel/2006/main">
          <x14:cfRule type="dataBar" id="{46A79839-C996-48B7-9997-BA6743FEB2C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160B3348-F9C7-4DE4-80C6-8869918519E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M71:M71</xm:sqref>
        </x14:conditionalFormatting>
        <x14:conditionalFormatting xmlns:xm="http://schemas.microsoft.com/office/excel/2006/main">
          <x14:cfRule type="dataBar" id="{A6910ED3-9A15-4820-80C0-7DAF083C976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3D63DD13-C7F8-4E0C-89BC-ABFDC8B7FF8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AH68:AH68</xm:sqref>
        </x14:conditionalFormatting>
        <x14:conditionalFormatting xmlns:xm="http://schemas.microsoft.com/office/excel/2006/main">
          <x14:cfRule type="dataBar" id="{623C2FAE-4F1A-40DB-A257-74857C58F22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BG50:BG50</xm:sqref>
        </x14:conditionalFormatting>
        <x14:conditionalFormatting xmlns:xm="http://schemas.microsoft.com/office/excel/2006/main">
          <x14:cfRule type="dataBar" id="{8F93691F-6762-44FB-B1C5-4A1790B278F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AH46:AH46</xm:sqref>
        </x14:conditionalFormatting>
        <x14:conditionalFormatting xmlns:xm="http://schemas.microsoft.com/office/excel/2006/main">
          <x14:cfRule type="dataBar" id="{14CC8476-9C57-4B98-A01C-41B90B3A11A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AH46:AH46</xm:sqref>
        </x14:conditionalFormatting>
        <x14:conditionalFormatting xmlns:xm="http://schemas.microsoft.com/office/excel/2006/main">
          <x14:cfRule type="dataBar" id="{F0F01231-6E70-4640-8DA7-3C6EA23F6E7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AH71:AH71</xm:sqref>
        </x14:conditionalFormatting>
        <x14:conditionalFormatting xmlns:xm="http://schemas.microsoft.com/office/excel/2006/main">
          <x14:cfRule type="dataBar" id="{E6FEEDAB-837F-4369-8722-7D8DCDAD632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BF48:BF48</xm:sqref>
        </x14:conditionalFormatting>
        <x14:conditionalFormatting xmlns:xm="http://schemas.microsoft.com/office/excel/2006/main">
          <x14:cfRule type="dataBar" id="{8EB59270-0422-4B70-B9DD-4D1C280B6C1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BF9:BF9</xm:sqref>
        </x14:conditionalFormatting>
        <x14:conditionalFormatting xmlns:xm="http://schemas.microsoft.com/office/excel/2006/main">
          <x14:cfRule type="dataBar" id="{48F4A75C-FC8E-4F14-8FD0-E11F34EAA56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BG68:BG68</xm:sqref>
        </x14:conditionalFormatting>
        <x14:conditionalFormatting xmlns:xm="http://schemas.microsoft.com/office/excel/2006/main">
          <x14:cfRule type="dataBar" id="{14E44397-69AE-4B6D-97A3-A2CE46DE2EE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AI69:AI69</xm:sqref>
        </x14:conditionalFormatting>
        <x14:conditionalFormatting xmlns:xm="http://schemas.microsoft.com/office/excel/2006/main">
          <x14:cfRule type="dataBar" id="{07C04254-CD03-4048-BC95-BFC1DDFA853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AI66:AI66</xm:sqref>
        </x14:conditionalFormatting>
        <x14:conditionalFormatting xmlns:xm="http://schemas.microsoft.com/office/excel/2006/main">
          <x14:cfRule type="dataBar" id="{A2771E04-8FE6-47B4-B164-725321C8ECC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N50:N50</xm:sqref>
        </x14:conditionalFormatting>
        <x14:conditionalFormatting xmlns:xm="http://schemas.microsoft.com/office/excel/2006/main">
          <x14:cfRule type="dataBar" id="{CC42A736-83D6-4062-B0A1-18055BEC22E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N1:N2</xm:sqref>
        </x14:conditionalFormatting>
        <x14:conditionalFormatting xmlns:xm="http://schemas.microsoft.com/office/excel/2006/main">
          <x14:cfRule type="dataBar" id="{562B1991-C206-4314-82D3-490A5CE894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BF33:BF45</xm:sqref>
        </x14:conditionalFormatting>
        <x14:conditionalFormatting xmlns:xm="http://schemas.microsoft.com/office/excel/2006/main">
          <x14:cfRule type="dataBar" id="{CD5B2F68-34B2-4290-A189-63C6389B3AD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M62:M62</xm:sqref>
        </x14:conditionalFormatting>
        <x14:conditionalFormatting xmlns:xm="http://schemas.microsoft.com/office/excel/2006/main">
          <x14:cfRule type="dataBar" id="{39E9F942-13A0-4339-AD8F-C25DDF8687A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M63:M63</xm:sqref>
        </x14:conditionalFormatting>
        <x14:conditionalFormatting xmlns:xm="http://schemas.microsoft.com/office/excel/2006/main">
          <x14:cfRule type="dataBar" id="{B8513FC1-D4B2-40A3-9152-7A18C704677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M51:M51</xm:sqref>
        </x14:conditionalFormatting>
        <x14:conditionalFormatting xmlns:xm="http://schemas.microsoft.com/office/excel/2006/main">
          <x14:cfRule type="dataBar" id="{6A5B061D-5204-4256-B5E5-2E5416E7BBB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BF53:BF53</xm:sqref>
        </x14:conditionalFormatting>
        <x14:conditionalFormatting xmlns:xm="http://schemas.microsoft.com/office/excel/2006/main">
          <x14:cfRule type="dataBar" id="{60D6A02E-D315-4442-A83D-BBDD1C69DB7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BG61:BG61</xm:sqref>
        </x14:conditionalFormatting>
        <x14:conditionalFormatting xmlns:xm="http://schemas.microsoft.com/office/excel/2006/main">
          <x14:cfRule type="dataBar" id="{D2167528-0C36-419E-9270-F530EB63CEA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AH70:AH70</xm:sqref>
        </x14:conditionalFormatting>
        <x14:conditionalFormatting xmlns:xm="http://schemas.microsoft.com/office/excel/2006/main">
          <x14:cfRule type="dataBar" id="{C0703D1B-84C8-443C-944A-E5CCE6AF7BA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N62:N62</xm:sqref>
        </x14:conditionalFormatting>
        <x14:conditionalFormatting xmlns:xm="http://schemas.microsoft.com/office/excel/2006/main">
          <x14:cfRule type="dataBar" id="{5C872954-4665-40CE-98D5-DC721A675B9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AI67:AI67</xm:sqref>
        </x14:conditionalFormatting>
        <x14:conditionalFormatting xmlns:xm="http://schemas.microsoft.com/office/excel/2006/main">
          <x14:cfRule type="dataBar" id="{47BCAE8D-4921-46E7-AC44-C5A541D1660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N47:N47</xm:sqref>
        </x14:conditionalFormatting>
        <x14:conditionalFormatting xmlns:xm="http://schemas.microsoft.com/office/excel/2006/main">
          <x14:cfRule type="dataBar" id="{2964B31E-33BC-4AC2-806E-C55FDE9E21B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AI50:AI50</xm:sqref>
        </x14:conditionalFormatting>
        <x14:conditionalFormatting xmlns:xm="http://schemas.microsoft.com/office/excel/2006/main">
          <x14:cfRule type="dataBar" id="{0FA8ADF7-1166-448F-8DB5-BBA51B00212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M72:M72</xm:sqref>
        </x14:conditionalFormatting>
        <x14:conditionalFormatting xmlns:xm="http://schemas.microsoft.com/office/excel/2006/main">
          <x14:cfRule type="dataBar" id="{F8711A1A-E5AF-4443-BBFC-87D248AD647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AH64:AH64</xm:sqref>
        </x14:conditionalFormatting>
        <x14:conditionalFormatting xmlns:xm="http://schemas.microsoft.com/office/excel/2006/main">
          <x14:cfRule type="dataBar" id="{D867570B-8B65-419A-8F14-7548EEBEC76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N64:N64</xm:sqref>
        </x14:conditionalFormatting>
        <x14:conditionalFormatting xmlns:xm="http://schemas.microsoft.com/office/excel/2006/main">
          <x14:cfRule type="dataBar" id="{5539A5F2-0AE4-40DD-B7BF-709D9FD3483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N58:N58</xm:sqref>
        </x14:conditionalFormatting>
        <x14:conditionalFormatting xmlns:xm="http://schemas.microsoft.com/office/excel/2006/main">
          <x14:cfRule type="dataBar" id="{1C5BA3DC-4CD4-4C8B-AF2A-E3329C7EE27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N48:N48</xm:sqref>
        </x14:conditionalFormatting>
        <x14:conditionalFormatting xmlns:xm="http://schemas.microsoft.com/office/excel/2006/main">
          <x14:cfRule type="dataBar" id="{87024F23-C654-43FB-A736-4DFDF3DAC3D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N60:N60</xm:sqref>
        </x14:conditionalFormatting>
        <x14:conditionalFormatting xmlns:xm="http://schemas.microsoft.com/office/excel/2006/main">
          <x14:cfRule type="dataBar" id="{616AE00B-6B5F-4E1B-8687-3B59DB8020A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AH64:AH64</xm:sqref>
        </x14:conditionalFormatting>
        <x14:conditionalFormatting xmlns:xm="http://schemas.microsoft.com/office/excel/2006/main">
          <x14:cfRule type="dataBar" id="{E598626C-B9C3-4439-A539-BEF148E3FC4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BG72:BG72</xm:sqref>
        </x14:conditionalFormatting>
        <x14:conditionalFormatting xmlns:xm="http://schemas.microsoft.com/office/excel/2006/main">
          <x14:cfRule type="dataBar" id="{06C4942D-2C25-4B71-858A-4D084A7A73C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BF75:BF92</xm:sqref>
        </x14:conditionalFormatting>
        <x14:conditionalFormatting xmlns:xm="http://schemas.microsoft.com/office/excel/2006/main">
          <x14:cfRule type="dataBar" id="{F01D45CA-9D4F-4052-BFD7-847D18A6661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BF64:BF64</xm:sqref>
        </x14:conditionalFormatting>
        <x14:conditionalFormatting xmlns:xm="http://schemas.microsoft.com/office/excel/2006/main">
          <x14:cfRule type="dataBar" id="{F7E8AA5C-98C9-4A9D-A937-AE055A77C34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AH55:AH55</xm:sqref>
        </x14:conditionalFormatting>
        <x14:conditionalFormatting xmlns:xm="http://schemas.microsoft.com/office/excel/2006/main">
          <x14:cfRule type="dataBar" id="{726C0584-C9C4-44BC-8BD5-B1F35CBB9FA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BG71:BG71</xm:sqref>
        </x14:conditionalFormatting>
        <x14:conditionalFormatting xmlns:xm="http://schemas.microsoft.com/office/excel/2006/main">
          <x14:cfRule type="dataBar" id="{B2B7BAFF-CA75-4125-8688-64973E8465D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BF55:BF55</xm:sqref>
        </x14:conditionalFormatting>
        <x14:conditionalFormatting xmlns:xm="http://schemas.microsoft.com/office/excel/2006/main">
          <x14:cfRule type="dataBar" id="{3302D796-C0B9-4B9D-B6BF-9AE7AD418C8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BG62:BG62</xm:sqref>
        </x14:conditionalFormatting>
        <x14:conditionalFormatting xmlns:xm="http://schemas.microsoft.com/office/excel/2006/main">
          <x14:cfRule type="dataBar" id="{F5DFDCAD-8BB9-40B9-9081-ADAFAAB3D2F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AI60:AI60</xm:sqref>
        </x14:conditionalFormatting>
        <x14:conditionalFormatting xmlns:xm="http://schemas.microsoft.com/office/excel/2006/main">
          <x14:cfRule type="dataBar" id="{983098CA-F248-4305-9DF7-6B66133C30A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AI47:AI47</xm:sqref>
        </x14:conditionalFormatting>
        <x14:conditionalFormatting xmlns:xm="http://schemas.microsoft.com/office/excel/2006/main">
          <x14:cfRule type="dataBar" id="{6535AEA7-379F-4967-B258-12F614CF985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N68:N68</xm:sqref>
        </x14:conditionalFormatting>
        <x14:conditionalFormatting xmlns:xm="http://schemas.microsoft.com/office/excel/2006/main">
          <x14:cfRule type="dataBar" id="{C666E150-2158-4F31-8009-BD0D92E7DC5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N70:N70</xm:sqref>
        </x14:conditionalFormatting>
        <x14:conditionalFormatting xmlns:xm="http://schemas.microsoft.com/office/excel/2006/main">
          <x14:cfRule type="dataBar" id="{1D872B54-3D9A-46C8-AA73-EF279B95675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AH75:AH92</xm:sqref>
        </x14:conditionalFormatting>
        <x14:conditionalFormatting xmlns:xm="http://schemas.microsoft.com/office/excel/2006/main">
          <x14:cfRule type="dataBar" id="{7868F2F9-DAD5-4743-9B64-95E6E20A6A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BF65:BF65</xm:sqref>
        </x14:conditionalFormatting>
        <x14:conditionalFormatting xmlns:xm="http://schemas.microsoft.com/office/excel/2006/main">
          <x14:cfRule type="dataBar" id="{5B0B2FCA-976A-4FD1-AAF6-A91A84A3F40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8A82A1ED-64A0-4C1E-B1EA-9444AC179CA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AH63:AH63</xm:sqref>
        </x14:conditionalFormatting>
        <x14:conditionalFormatting xmlns:xm="http://schemas.microsoft.com/office/excel/2006/main">
          <x14:cfRule type="dataBar" id="{D448C8CE-0E60-474B-B768-C25A1652555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BF74:BF74</xm:sqref>
        </x14:conditionalFormatting>
        <x14:conditionalFormatting xmlns:xm="http://schemas.microsoft.com/office/excel/2006/main">
          <x14:cfRule type="dataBar" id="{B32AB1A3-DEF6-4CED-8591-F3A38DB5F2D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7FFFF362-9A7E-4E83-A3C7-6B6233163C2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BF6:BF6</xm:sqref>
        </x14:conditionalFormatting>
        <x14:conditionalFormatting xmlns:xm="http://schemas.microsoft.com/office/excel/2006/main">
          <x14:cfRule type="dataBar" id="{5E780D6F-DEF1-4565-87A9-65FBA2BCBC2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BF46:BF46</xm:sqref>
        </x14:conditionalFormatting>
        <x14:conditionalFormatting xmlns:xm="http://schemas.microsoft.com/office/excel/2006/main">
          <x14:cfRule type="dataBar" id="{36C0830C-C1A9-4351-8044-CA365A059E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BF67:BF67</xm:sqref>
        </x14:conditionalFormatting>
        <x14:conditionalFormatting xmlns:xm="http://schemas.microsoft.com/office/excel/2006/main">
          <x14:cfRule type="dataBar" id="{32B754D0-34C4-4153-A761-21DE4CEEEC6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BG46:BG46</xm:sqref>
        </x14:conditionalFormatting>
        <x14:conditionalFormatting xmlns:xm="http://schemas.microsoft.com/office/excel/2006/main">
          <x14:cfRule type="dataBar" id="{F2B684BF-9785-4190-9A2D-C79370A4EAB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BG7:BG7</xm:sqref>
        </x14:conditionalFormatting>
        <x14:conditionalFormatting xmlns:xm="http://schemas.microsoft.com/office/excel/2006/main">
          <x14:cfRule type="dataBar" id="{A4D07BB5-33F6-402C-8A52-D9AEADA004E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BG65:BG65</xm:sqref>
        </x14:conditionalFormatting>
        <x14:conditionalFormatting xmlns:xm="http://schemas.microsoft.com/office/excel/2006/main">
          <x14:cfRule type="dataBar" id="{66DB408A-505C-41D6-B26C-BCF575BB74A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M58:M58</xm:sqref>
        </x14:conditionalFormatting>
        <x14:conditionalFormatting xmlns:xm="http://schemas.microsoft.com/office/excel/2006/main">
          <x14:cfRule type="dataBar" id="{9850E3C6-6994-446F-B534-0D04110F89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M49:M49</xm:sqref>
        </x14:conditionalFormatting>
        <x14:conditionalFormatting xmlns:xm="http://schemas.microsoft.com/office/excel/2006/main">
          <x14:cfRule type="dataBar" id="{15F2F6B0-AFCD-4A56-943C-883E1DB411C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1E50EDC1-08AD-4F41-AA73-EDD2DB33A71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N3:N45</xm:sqref>
        </x14:conditionalFormatting>
        <x14:conditionalFormatting xmlns:xm="http://schemas.microsoft.com/office/excel/2006/main">
          <x14:cfRule type="dataBar" id="{87769066-11A3-48E2-A770-0E2D7735931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BG67:BG67</xm:sqref>
        </x14:conditionalFormatting>
        <x14:conditionalFormatting xmlns:xm="http://schemas.microsoft.com/office/excel/2006/main">
          <x14:cfRule type="dataBar" id="{EB08EDA5-2D7E-427F-8AE9-66C3BC8A4AD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N57:N57</xm:sqref>
        </x14:conditionalFormatting>
        <x14:conditionalFormatting xmlns:xm="http://schemas.microsoft.com/office/excel/2006/main">
          <x14:cfRule type="dataBar" id="{8313F2EB-9EEB-48B6-A78A-324A35D7F15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AH57:AH57</xm:sqref>
        </x14:conditionalFormatting>
        <x14:conditionalFormatting xmlns:xm="http://schemas.microsoft.com/office/excel/2006/main">
          <x14:cfRule type="dataBar" id="{FF6A22E1-2C4D-44B3-A996-074B4B917C8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AI2:AI2</xm:sqref>
        </x14:conditionalFormatting>
        <x14:conditionalFormatting xmlns:xm="http://schemas.microsoft.com/office/excel/2006/main">
          <x14:cfRule type="dataBar" id="{267699E4-6D77-4AD0-A5E3-80D7FEC7F01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N93:N162</xm:sqref>
        </x14:conditionalFormatting>
        <x14:conditionalFormatting xmlns:xm="http://schemas.microsoft.com/office/excel/2006/main">
          <x14:cfRule type="dataBar" id="{7A6A97F6-3FFE-4191-BE01-4BDDCBCF487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AH52:AH52</xm:sqref>
        </x14:conditionalFormatting>
        <x14:conditionalFormatting xmlns:xm="http://schemas.microsoft.com/office/excel/2006/main">
          <x14:cfRule type="dataBar" id="{7F5437D1-E6D2-4ED7-BF4D-9AA182F9834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AI46:AI46</xm:sqref>
        </x14:conditionalFormatting>
        <x14:conditionalFormatting xmlns:xm="http://schemas.microsoft.com/office/excel/2006/main">
          <x14:cfRule type="dataBar" id="{E97F286F-C6EE-4BF7-987F-89BAAE72452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BF1:BF162</xm:sqref>
        </x14:conditionalFormatting>
        <x14:conditionalFormatting xmlns:xm="http://schemas.microsoft.com/office/excel/2006/main">
          <x14:cfRule type="dataBar" id="{8855F1DF-68C7-436E-86F7-849EE51790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BG48:BG48</xm:sqref>
        </x14:conditionalFormatting>
        <x14:conditionalFormatting xmlns:xm="http://schemas.microsoft.com/office/excel/2006/main">
          <x14:cfRule type="dataBar" id="{F5C14CB1-136C-4BF3-B10B-CA3206D9819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AH66:AH66</xm:sqref>
        </x14:conditionalFormatting>
        <x14:conditionalFormatting xmlns:xm="http://schemas.microsoft.com/office/excel/2006/main">
          <x14:cfRule type="dataBar" id="{8093B178-A47C-4ADD-8A9F-4A864229326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BG51:BG51</xm:sqref>
        </x14:conditionalFormatting>
        <x14:conditionalFormatting xmlns:xm="http://schemas.microsoft.com/office/excel/2006/main">
          <x14:cfRule type="dataBar" id="{6BE689DA-D88E-4B51-AC21-950FF77D143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BG1:BG162</xm:sqref>
        </x14:conditionalFormatting>
        <x14:conditionalFormatting xmlns:xm="http://schemas.microsoft.com/office/excel/2006/main">
          <x14:cfRule type="dataBar" id="{37C0B839-B361-4F77-BD33-7C324B70A8A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N51:N51</xm:sqref>
        </x14:conditionalFormatting>
        <x14:conditionalFormatting xmlns:xm="http://schemas.microsoft.com/office/excel/2006/main">
          <x14:cfRule type="dataBar" id="{52FD45DC-1F18-4653-8143-DFF8ACFB93F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AH70:AH70</xm:sqref>
        </x14:conditionalFormatting>
        <x14:conditionalFormatting xmlns:xm="http://schemas.microsoft.com/office/excel/2006/main">
          <x14:cfRule type="dataBar" id="{767B0620-956A-4E48-BD55-24EA1BB9D35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AH51:AH51</xm:sqref>
        </x14:conditionalFormatting>
        <x14:conditionalFormatting xmlns:xm="http://schemas.microsoft.com/office/excel/2006/main">
          <x14:cfRule type="dataBar" id="{36BDF1FC-5A32-49F1-B8E0-1687E618DCF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BF50:BF50</xm:sqref>
        </x14:conditionalFormatting>
        <x14:conditionalFormatting xmlns:xm="http://schemas.microsoft.com/office/excel/2006/main">
          <x14:cfRule type="dataBar" id="{05B5CF6D-7DB6-4A8E-8544-E693C097095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AH71:AH71</xm:sqref>
        </x14:conditionalFormatting>
        <x14:conditionalFormatting xmlns:xm="http://schemas.microsoft.com/office/excel/2006/main">
          <x14:cfRule type="dataBar" id="{769F8A02-49BB-4C5E-AB2E-F914B216333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BF68:BF68</xm:sqref>
        </x14:conditionalFormatting>
        <x14:conditionalFormatting xmlns:xm="http://schemas.microsoft.com/office/excel/2006/main">
          <x14:cfRule type="dataBar" id="{B95D53B8-4D26-4405-ABCB-DAF129DCEAF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AH68:AH68</xm:sqref>
        </x14:conditionalFormatting>
        <x14:conditionalFormatting xmlns:xm="http://schemas.microsoft.com/office/excel/2006/main">
          <x14:cfRule type="dataBar" id="{77C36587-1D5D-4368-8083-441219D33AA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AH61:AH61</xm:sqref>
        </x14:conditionalFormatting>
        <x14:conditionalFormatting xmlns:xm="http://schemas.microsoft.com/office/excel/2006/main">
          <x14:cfRule type="dataBar" id="{F16A41C7-AD56-424B-A43B-94AA66CF7D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M54:M54</xm:sqref>
        </x14:conditionalFormatting>
        <x14:conditionalFormatting xmlns:xm="http://schemas.microsoft.com/office/excel/2006/main">
          <x14:cfRule type="dataBar" id="{FAD1542F-A3F7-4EBD-832D-A3125C19D7F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AH61:AH61</xm:sqref>
        </x14:conditionalFormatting>
        <x14:conditionalFormatting xmlns:xm="http://schemas.microsoft.com/office/excel/2006/main">
          <x14:cfRule type="dataBar" id="{0EE980C4-4FEA-41EE-B448-7A72C75704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N54:N54</xm:sqref>
        </x14:conditionalFormatting>
        <x14:conditionalFormatting xmlns:xm="http://schemas.microsoft.com/office/excel/2006/main">
          <x14:cfRule type="dataBar" id="{35AFAE66-2C01-4276-A0D4-9D65A6C8A79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M47:M47</xm:sqref>
        </x14:conditionalFormatting>
        <x14:conditionalFormatting xmlns:xm="http://schemas.microsoft.com/office/excel/2006/main">
          <x14:cfRule type="dataBar" id="{40C55F79-C0FC-4985-8CC6-D5299710E42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AI68:AI68</xm:sqref>
        </x14:conditionalFormatting>
        <x14:conditionalFormatting xmlns:xm="http://schemas.microsoft.com/office/excel/2006/main">
          <x14:cfRule type="dataBar" id="{AC174880-6A3B-4178-815A-44B6E7643CD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AI51:AI51</xm:sqref>
        </x14:conditionalFormatting>
        <x14:conditionalFormatting xmlns:xm="http://schemas.microsoft.com/office/excel/2006/main">
          <x14:cfRule type="dataBar" id="{5BDF49BB-3CF4-4BAA-9C6B-B69E7309541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N63:N63</xm:sqref>
        </x14:conditionalFormatting>
        <x14:conditionalFormatting xmlns:xm="http://schemas.microsoft.com/office/excel/2006/main">
          <x14:cfRule type="dataBar" id="{B30C8690-C531-4FDD-8649-C07A203811F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AI55:AI55</xm:sqref>
        </x14:conditionalFormatting>
        <x14:conditionalFormatting xmlns:xm="http://schemas.microsoft.com/office/excel/2006/main">
          <x14:cfRule type="dataBar" id="{EC10E5D7-B255-4937-AF4E-C763FF2ED7A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AH60:AH60</xm:sqref>
        </x14:conditionalFormatting>
        <x14:conditionalFormatting xmlns:xm="http://schemas.microsoft.com/office/excel/2006/main">
          <x14:cfRule type="dataBar" id="{5621FF75-FB6E-4AB5-A5A0-D56139DFF57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BG73:BG73</xm:sqref>
        </x14:conditionalFormatting>
        <x14:conditionalFormatting xmlns:xm="http://schemas.microsoft.com/office/excel/2006/main">
          <x14:cfRule type="dataBar" id="{4C2DDBF1-5C98-4007-AA1E-B3B7FB4D307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M67:M67</xm:sqref>
        </x14:conditionalFormatting>
        <x14:conditionalFormatting xmlns:xm="http://schemas.microsoft.com/office/excel/2006/main">
          <x14:cfRule type="dataBar" id="{95F38384-E903-48ED-BDD4-59C64942C4C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AH75:AH92</xm:sqref>
        </x14:conditionalFormatting>
        <x14:conditionalFormatting xmlns:xm="http://schemas.microsoft.com/office/excel/2006/main">
          <x14:cfRule type="dataBar" id="{5C5C0AF5-E1D3-4529-A3E1-C5172FE0CD8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E058A7AE-DC5C-4B64-977B-1CB3A69A1F9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510CA6E7-AF48-4FF7-AB96-DAD25C2E607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N72:N72</xm:sqref>
        </x14:conditionalFormatting>
        <x14:conditionalFormatting xmlns:xm="http://schemas.microsoft.com/office/excel/2006/main">
          <x14:cfRule type="dataBar" id="{42844029-BD35-4AE0-96D4-BDA57FD415E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AH69:AH69</xm:sqref>
        </x14:conditionalFormatting>
        <x14:conditionalFormatting xmlns:xm="http://schemas.microsoft.com/office/excel/2006/main">
          <x14:cfRule type="dataBar" id="{F514C787-D50A-460F-8A7D-27FC0515B0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AH73:AH73</xm:sqref>
        </x14:conditionalFormatting>
        <x14:conditionalFormatting xmlns:xm="http://schemas.microsoft.com/office/excel/2006/main">
          <x14:cfRule type="dataBar" id="{FFBC1976-CA18-4B22-9AC8-D3A1CFAB3F4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M73:M73</xm:sqref>
        </x14:conditionalFormatting>
        <x14:conditionalFormatting xmlns:xm="http://schemas.microsoft.com/office/excel/2006/main">
          <x14:cfRule type="dataBar" id="{091BD917-2096-4975-89AB-B0B7F6D20B2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AH58:AH58</xm:sqref>
        </x14:conditionalFormatting>
        <x14:conditionalFormatting xmlns:xm="http://schemas.microsoft.com/office/excel/2006/main">
          <x14:cfRule type="dataBar" id="{12090FED-03CF-45ED-B0BF-EBABDC59D06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M1:M2</xm:sqref>
        </x14:conditionalFormatting>
        <x14:conditionalFormatting xmlns:xm="http://schemas.microsoft.com/office/excel/2006/main">
          <x14:cfRule type="dataBar" id="{D3DF1997-28AE-44BF-9048-1AA56FB8A7D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AH50:AH50</xm:sqref>
        </x14:conditionalFormatting>
        <x14:conditionalFormatting xmlns:xm="http://schemas.microsoft.com/office/excel/2006/main">
          <x14:cfRule type="dataBar" id="{9CE4A7D2-37C2-49D4-8E72-304C97A1791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6548FCCD-2751-42C2-82FC-7BC1EE769AB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BF4:BF4</xm:sqref>
        </x14:conditionalFormatting>
        <x14:conditionalFormatting xmlns:xm="http://schemas.microsoft.com/office/excel/2006/main">
          <x14:cfRule type="dataBar" id="{6CD67C74-88AA-4AE7-9478-A6FA50EFBE6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N46:N46</xm:sqref>
        </x14:conditionalFormatting>
        <x14:conditionalFormatting xmlns:xm="http://schemas.microsoft.com/office/excel/2006/main">
          <x14:cfRule type="dataBar" id="{92401B66-12C6-4DE9-B5D4-7F76CEEBBAB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N69:N69</xm:sqref>
        </x14:conditionalFormatting>
        <x14:conditionalFormatting xmlns:xm="http://schemas.microsoft.com/office/excel/2006/main">
          <x14:cfRule type="dataBar" id="{73A33920-D965-4851-AE8C-EDADAF060FE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AH62:AH62</xm:sqref>
        </x14:conditionalFormatting>
        <x14:conditionalFormatting xmlns:xm="http://schemas.microsoft.com/office/excel/2006/main">
          <x14:cfRule type="dataBar" id="{17823258-59C5-4971-B3FB-80C2D25DE97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AI53:AI53</xm:sqref>
        </x14:conditionalFormatting>
        <x14:conditionalFormatting xmlns:xm="http://schemas.microsoft.com/office/excel/2006/main">
          <x14:cfRule type="dataBar" id="{0EBCA600-3E84-465A-B219-7F5AB3BAFD7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M57:M57</xm:sqref>
        </x14:conditionalFormatting>
        <x14:conditionalFormatting xmlns:xm="http://schemas.microsoft.com/office/excel/2006/main">
          <x14:cfRule type="dataBar" id="{7402D79C-4D50-4357-84E9-2620150DBA9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BG66:BG66</xm:sqref>
        </x14:conditionalFormatting>
        <x14:conditionalFormatting xmlns:xm="http://schemas.microsoft.com/office/excel/2006/main">
          <x14:cfRule type="dataBar" id="{8AEC8458-7B93-42E0-AA6C-FC63E2B27A9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AI63:AI63</xm:sqref>
        </x14:conditionalFormatting>
        <x14:conditionalFormatting xmlns:xm="http://schemas.microsoft.com/office/excel/2006/main">
          <x14:cfRule type="dataBar" id="{DCD5EEDD-7661-432C-BBD3-74C5013B717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AI64:AI64</xm:sqref>
        </x14:conditionalFormatting>
        <x14:conditionalFormatting xmlns:xm="http://schemas.microsoft.com/office/excel/2006/main">
          <x14:cfRule type="dataBar" id="{15AB7500-B18B-4DCF-A391-54D00D988A4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M48:M48</xm:sqref>
        </x14:conditionalFormatting>
        <x14:conditionalFormatting xmlns:xm="http://schemas.microsoft.com/office/excel/2006/main">
          <x14:cfRule type="dataBar" id="{72E62B7F-05FB-41F8-9C36-8E9CA770DE5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N49:N49</xm:sqref>
        </x14:conditionalFormatting>
        <x14:conditionalFormatting xmlns:xm="http://schemas.microsoft.com/office/excel/2006/main">
          <x14:cfRule type="dataBar" id="{F06C0757-8A05-4287-9D8A-5A5339ADF3C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AH63:AH63</xm:sqref>
        </x14:conditionalFormatting>
        <x14:conditionalFormatting xmlns:xm="http://schemas.microsoft.com/office/excel/2006/main">
          <x14:cfRule type="dataBar" id="{2C448433-D9BD-4DAE-930E-24A1385B512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58076D0E-76A0-43CC-B773-F6CBE849466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M3:M45</xm:sqref>
        </x14:conditionalFormatting>
        <x14:conditionalFormatting xmlns:xm="http://schemas.microsoft.com/office/excel/2006/main">
          <x14:cfRule type="dataBar" id="{F2C66094-8084-4260-BCE6-5C715E71122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AH55:AH55</xm:sqref>
        </x14:conditionalFormatting>
        <x14:conditionalFormatting xmlns:xm="http://schemas.microsoft.com/office/excel/2006/main">
          <x14:cfRule type="dataBar" id="{5D720064-2DDC-422B-BE9A-4599204416E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BG4:BG4</xm:sqref>
        </x14:conditionalFormatting>
        <x14:conditionalFormatting xmlns:xm="http://schemas.microsoft.com/office/excel/2006/main">
          <x14:cfRule type="dataBar" id="{8331BEDB-BC3C-4FD6-A14E-6089FE452C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AI61:AI61</xm:sqref>
        </x14:conditionalFormatting>
        <x14:conditionalFormatting xmlns:xm="http://schemas.microsoft.com/office/excel/2006/main">
          <x14:cfRule type="dataBar" id="{51CF5207-FEDF-4D7A-A661-034D8A1C315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BF61:BF61</xm:sqref>
        </x14:conditionalFormatting>
        <x14:conditionalFormatting xmlns:xm="http://schemas.microsoft.com/office/excel/2006/main">
          <x14:cfRule type="dataBar" id="{E323F7B0-DA34-451B-BE1C-7C40FCB762C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N67:N67</xm:sqref>
        </x14:conditionalFormatting>
        <x14:conditionalFormatting xmlns:xm="http://schemas.microsoft.com/office/excel/2006/main">
          <x14:cfRule type="dataBar" id="{DAAFE81E-9EB3-4A4A-A0EB-2E34E3D02DD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BG64:BG64</xm:sqref>
        </x14:conditionalFormatting>
        <x14:conditionalFormatting xmlns:xm="http://schemas.microsoft.com/office/excel/2006/main">
          <x14:cfRule type="dataBar" id="{B43FC01F-3F51-4F41-A2CC-36E7DD6010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BG74:BG74</xm:sqref>
        </x14:conditionalFormatting>
        <x14:conditionalFormatting xmlns:xm="http://schemas.microsoft.com/office/excel/2006/main">
          <x14:cfRule type="dataBar" id="{B8076A00-24D6-4E46-9858-40D7AC2B98F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7D1185F1-7916-4E37-8F95-8D06C6D81E5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AH74:AH74</xm:sqref>
        </x14:conditionalFormatting>
        <x14:conditionalFormatting xmlns:xm="http://schemas.microsoft.com/office/excel/2006/main">
          <x14:cfRule type="dataBar" id="{EF076514-8D49-4692-91B8-6572E94AAF0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BF93:BF162</xm:sqref>
        </x14:conditionalFormatting>
        <x14:conditionalFormatting xmlns:xm="http://schemas.microsoft.com/office/excel/2006/main">
          <x14:cfRule type="dataBar" id="{B6BCC8A6-719A-40FC-86E4-D4D7DD3FCFD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AO2:AO2</xm:sqref>
        </x14:conditionalFormatting>
        <x14:conditionalFormatting xmlns:xm="http://schemas.microsoft.com/office/excel/2006/main">
          <x14:cfRule type="dataBar" id="{A4B56D6A-14B3-44D9-A2C1-462C4536399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AI3:AI45</xm:sqref>
        </x14:conditionalFormatting>
        <x14:conditionalFormatting xmlns:xm="http://schemas.microsoft.com/office/excel/2006/main">
          <x14:cfRule type="dataBar" id="{8182A520-2881-420F-B3D7-EDC900CA12B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BG8:BG8</xm:sqref>
        </x14:conditionalFormatting>
        <x14:conditionalFormatting xmlns:xm="http://schemas.microsoft.com/office/excel/2006/main">
          <x14:cfRule type="dataBar" id="{17397C62-03C3-480B-9619-7ACE820E5E5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BF56:BF56</xm:sqref>
        </x14:conditionalFormatting>
        <x14:conditionalFormatting xmlns:xm="http://schemas.microsoft.com/office/excel/2006/main">
          <x14:cfRule type="dataBar" id="{9189DF26-373F-4FEA-89D8-E28A1C79C67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AH93:AH162</xm:sqref>
        </x14:conditionalFormatting>
        <x14:conditionalFormatting xmlns:xm="http://schemas.microsoft.com/office/excel/2006/main">
          <x14:cfRule type="dataBar" id="{36926812-EBCD-487E-9A93-059709929D3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F44A0434-293C-4DF7-85DE-200DB497AE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BG57:BG57</xm:sqref>
        </x14:conditionalFormatting>
        <x14:conditionalFormatting xmlns:xm="http://schemas.microsoft.com/office/excel/2006/main">
          <x14:cfRule type="dataBar" id="{61C795D4-E9D4-4F83-88F6-CBCD2B0688B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N56:N56</xm:sqref>
        </x14:conditionalFormatting>
        <x14:conditionalFormatting xmlns:xm="http://schemas.microsoft.com/office/excel/2006/main">
          <x14:cfRule type="dataBar" id="{ABB6A042-9FEE-450E-BF92-D9BD8301617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AI74:AI74</xm:sqref>
        </x14:conditionalFormatting>
        <x14:conditionalFormatting xmlns:xm="http://schemas.microsoft.com/office/excel/2006/main">
          <x14:cfRule type="dataBar" id="{5032F67D-E969-4D74-94D1-C304AEE7273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AI48:AI48</xm:sqref>
        </x14:conditionalFormatting>
        <x14:conditionalFormatting xmlns:xm="http://schemas.microsoft.com/office/excel/2006/main">
          <x14:cfRule type="dataBar" id="{6D878AD3-90A6-4037-BC44-91BAFA1E630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AH65:AH65</xm:sqref>
        </x14:conditionalFormatting>
        <x14:conditionalFormatting xmlns:xm="http://schemas.microsoft.com/office/excel/2006/main">
          <x14:cfRule type="dataBar" id="{2F78B5EB-96F5-41B5-B1B2-B431AA45132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AH67:AH67</xm:sqref>
        </x14:conditionalFormatting>
        <x14:conditionalFormatting xmlns:xm="http://schemas.microsoft.com/office/excel/2006/main">
          <x14:cfRule type="dataBar" id="{F03A2FCF-E784-4221-B9C3-4425B02EDA8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AI72:AI72</xm:sqref>
        </x14:conditionalFormatting>
        <x14:conditionalFormatting xmlns:xm="http://schemas.microsoft.com/office/excel/2006/main">
          <x14:cfRule type="dataBar" id="{F970E507-3544-4A93-9381-2F28E7C53F0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AI58:AI58</xm:sqref>
        </x14:conditionalFormatting>
        <x14:conditionalFormatting xmlns:xm="http://schemas.microsoft.com/office/excel/2006/main">
          <x14:cfRule type="dataBar" id="{CFEDBE67-4902-4B4A-8322-B1EE03BFB19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AI59:AI59</xm:sqref>
        </x14:conditionalFormatting>
        <x14:conditionalFormatting xmlns:xm="http://schemas.microsoft.com/office/excel/2006/main">
          <x14:cfRule type="dataBar" id="{4A5FA8AA-DEDF-4B52-9F03-65432C2BC57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BG11:BG11</xm:sqref>
        </x14:conditionalFormatting>
        <x14:conditionalFormatting xmlns:xm="http://schemas.microsoft.com/office/excel/2006/main">
          <x14:cfRule type="dataBar" id="{62F96442-C734-471E-969C-CD14EA2331D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BG55:BG55</xm:sqref>
        </x14:conditionalFormatting>
        <x14:conditionalFormatting xmlns:xm="http://schemas.microsoft.com/office/excel/2006/main">
          <x14:cfRule type="dataBar" id="{89F54103-E203-496C-9E06-CEA4C381A18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BG49:BG49</xm:sqref>
        </x14:conditionalFormatting>
        <x14:conditionalFormatting xmlns:xm="http://schemas.microsoft.com/office/excel/2006/main">
          <x14:cfRule type="dataBar" id="{1FB3CFD6-E69D-4FD8-A698-A117EF3F071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AH73:AH73</xm:sqref>
        </x14:conditionalFormatting>
        <x14:conditionalFormatting xmlns:xm="http://schemas.microsoft.com/office/excel/2006/main">
          <x14:cfRule type="dataBar" id="{9A0E3B25-AD9E-45F9-AE67-E37652647AF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D32759BA-A8F9-457E-A0E5-5E1BDDC64AB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M66:M66</xm:sqref>
        </x14:conditionalFormatting>
        <x14:conditionalFormatting xmlns:xm="http://schemas.microsoft.com/office/excel/2006/main">
          <x14:cfRule type="dataBar" id="{16FB337F-AF87-4325-B1F1-2D715B8B70E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AI62:AI62</xm:sqref>
        </x14:conditionalFormatting>
        <x14:conditionalFormatting xmlns:xm="http://schemas.microsoft.com/office/excel/2006/main">
          <x14:cfRule type="dataBar" id="{8CE43D84-1FB0-4401-9B94-DAF67198C41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AH47:AH47</xm:sqref>
        </x14:conditionalFormatting>
        <x14:conditionalFormatting xmlns:xm="http://schemas.microsoft.com/office/excel/2006/main">
          <x14:cfRule type="dataBar" id="{2BA8CBDD-50E5-4E3D-B116-084034F0FF5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N61:N61</xm:sqref>
        </x14:conditionalFormatting>
        <x14:conditionalFormatting xmlns:xm="http://schemas.microsoft.com/office/excel/2006/main">
          <x14:cfRule type="dataBar" id="{2CC924F1-110B-45D4-BE75-B3FECB6CD58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BG93:BG162</xm:sqref>
        </x14:conditionalFormatting>
        <x14:conditionalFormatting xmlns:xm="http://schemas.microsoft.com/office/excel/2006/main">
          <x14:cfRule type="dataBar" id="{84213D74-CF0A-464C-A6DC-4676C24F55D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M52:M52</xm:sqref>
        </x14:conditionalFormatting>
        <x14:conditionalFormatting xmlns:xm="http://schemas.microsoft.com/office/excel/2006/main">
          <x14:cfRule type="dataBar" id="{062C7DAF-8D5E-48C9-9261-EB70C9CD6BF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BF69:BF69</xm:sqref>
        </x14:conditionalFormatting>
        <x14:conditionalFormatting xmlns:xm="http://schemas.microsoft.com/office/excel/2006/main">
          <x14:cfRule type="dataBar" id="{3B9E9AE8-A8DB-4AD4-9F38-16FA8851166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AI75:AI92</xm:sqref>
        </x14:conditionalFormatting>
        <x14:conditionalFormatting xmlns:xm="http://schemas.microsoft.com/office/excel/2006/main">
          <x14:cfRule type="dataBar" id="{1A679EF6-2438-4323-AD63-E569B94EE72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AH49:AH49</xm:sqref>
        </x14:conditionalFormatting>
        <x14:conditionalFormatting xmlns:xm="http://schemas.microsoft.com/office/excel/2006/main">
          <x14:cfRule type="dataBar" id="{441B2819-F34B-4F0B-B8A2-3E8BF6E8B1D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M53:M53</xm:sqref>
        </x14:conditionalFormatting>
        <x14:conditionalFormatting xmlns:xm="http://schemas.microsoft.com/office/excel/2006/main">
          <x14:cfRule type="dataBar" id="{7FC599F7-C2CB-4172-927F-A3C1366BFF2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M69:M69</xm:sqref>
        </x14:conditionalFormatting>
        <x14:conditionalFormatting xmlns:xm="http://schemas.microsoft.com/office/excel/2006/main">
          <x14:cfRule type="dataBar" id="{23B942C8-90D1-4F9E-8A87-39E11A972AD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AH69:AH69</xm:sqref>
        </x14:conditionalFormatting>
        <x14:conditionalFormatting xmlns:xm="http://schemas.microsoft.com/office/excel/2006/main">
          <x14:cfRule type="dataBar" id="{EA238CE0-2A49-486D-AF6D-847E29FC0EC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N73:N73</xm:sqref>
        </x14:conditionalFormatting>
        <x14:conditionalFormatting xmlns:xm="http://schemas.microsoft.com/office/excel/2006/main">
          <x14:cfRule type="dataBar" id="{E6941D34-9868-4FFE-8F29-D6E8EDB000F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N71:N71</xm:sqref>
        </x14:conditionalFormatting>
        <x14:conditionalFormatting xmlns:xm="http://schemas.microsoft.com/office/excel/2006/main">
          <x14:cfRule type="dataBar" id="{B46BF78D-102F-4C1A-BEAE-9C0F635521E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M68:M68</xm:sqref>
        </x14:conditionalFormatting>
        <x14:conditionalFormatting xmlns:xm="http://schemas.microsoft.com/office/excel/2006/main">
          <x14:cfRule type="dataBar" id="{77B1A00E-5A1D-4A84-822C-AB92CD867DE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M46:M46</xm:sqref>
        </x14:conditionalFormatting>
        <x14:conditionalFormatting xmlns:xm="http://schemas.microsoft.com/office/excel/2006/main">
          <x14:cfRule type="dataBar" id="{B24BA2B9-FFE8-4CA0-9AA9-A75AE6DD140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BG33:BG45</xm:sqref>
        </x14:conditionalFormatting>
        <x14:conditionalFormatting xmlns:xm="http://schemas.microsoft.com/office/excel/2006/main">
          <x14:cfRule type="dataBar" id="{010771B0-0327-414D-A262-05B614D44AA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N53:N53</xm:sqref>
        </x14:conditionalFormatting>
        <x14:conditionalFormatting xmlns:xm="http://schemas.microsoft.com/office/excel/2006/main">
          <x14:cfRule type="dataBar" id="{E65AB5AF-3304-4D7A-A4B2-8BDAFD23BE7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AH51:AH51</xm:sqref>
        </x14:conditionalFormatting>
      </x14:conditionalFormattings>
    </ext>
  </extLst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3" min="13" style="0" width="17.4"/>
    <col collapsed="false" customWidth="true" hidden="false" max="18" min="18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4" min="14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5" min="15" style="0" width="17.4"/>
    <col collapsed="false" customWidth="true" hidden="false" max="19" min="19" style="0" width="17.933333333333334"/>
    <col collapsed="false" customWidth="true" hidden="false" max="20" min="20" style="0" width="17.93333333333333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6" min="16" style="0" width="17.4"/>
    <col collapsed="false" customWidth="true" hidden="false" max="17" min="17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</cols>
  <sheetData>
    <row customHeight="true" ht="18.51851851851852" r="1">
      <c r="A1" s="650" t="s">
        <v>1365</v>
      </c>
      <c r="B1" s="650" t="s">
        <v>1366</v>
      </c>
      <c r="C1" s="650" t="s">
        <v>1367</v>
      </c>
      <c r="D1" s="650" t="s">
        <v>1368</v>
      </c>
      <c r="E1" s="651" t="s">
        <v>1369</v>
      </c>
      <c r="F1" s="650" t="s">
        <v>1370</v>
      </c>
      <c r="G1" s="651" t="s">
        <v>1371</v>
      </c>
      <c r="H1" s="651" t="s">
        <v>1372</v>
      </c>
      <c r="I1" s="651" t="s">
        <v>1373</v>
      </c>
    </row>
    <row customHeight="true" ht="18.51851851851852" r="2">
      <c r="A2" s="652" t="s">
        <v>1374</v>
      </c>
      <c r="B2" s="652">
        <v>139.99</v>
      </c>
      <c r="C2" s="653">
        <v>0.1</v>
      </c>
      <c r="D2" s="654">
        <v>0.2669</v>
      </c>
      <c r="E2" s="654">
        <v>0.2345</v>
      </c>
      <c r="G2" s="655">
        <v>45797</v>
      </c>
      <c r="H2" s="655">
        <v>45828</v>
      </c>
      <c r="I2" s="656" t="s">
        <v>1375</v>
      </c>
    </row>
    <row customHeight="true" ht="18.51851851851852" r="3"/>
    <row customHeight="true" ht="18.51851851851852" r="4"/>
    <row customHeight="true" ht="18.51851851851852" r="5"/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5.266666666666667"/>
    <col collapsed="false" customWidth="true" hidden="false" max="5" min="5" style="0" width="17.4"/>
    <col collapsed="false" customWidth="true" hidden="false" max="9" min="9" style="0" width="15.4"/>
    <col collapsed="false" customWidth="true" hidden="false" max="13" min="13" style="0" width="20.733333333333334"/>
    <col collapsed="false" customWidth="true" hidden="false" max="20" min="20" style="0" width="17.93333333333333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4.466666666666667"/>
    <col collapsed="false" customWidth="true" hidden="false" max="14" min="14" style="0" width="17.4"/>
    <col collapsed="false" customWidth="true" hidden="false" max="17" min="17" style="0" width="17.4"/>
    <col collapsed="false" customWidth="true" hidden="false" max="3" min="3" style="0" width="15.8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7.93333333333333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20.733333333333334"/>
    <col collapsed="false" customWidth="true" hidden="false" max="16" min="16" style="0" width="17.4"/>
    <col collapsed="false" customWidth="true" hidden="false" max="19" min="19" style="0" width="17.933333333333334"/>
  </cols>
  <sheetData>
    <row customHeight="true" ht="18.51851851851852" r="1">
      <c r="A1" s="657" t="s">
        <v>1376</v>
      </c>
      <c r="B1" s="657" t="s">
        <v>1377</v>
      </c>
      <c r="C1" s="657" t="s">
        <v>1378</v>
      </c>
      <c r="D1" s="657" t="s">
        <v>1379</v>
      </c>
      <c r="E1" s="657" t="s">
        <v>1380</v>
      </c>
      <c r="F1" s="657" t="s">
        <v>1381</v>
      </c>
      <c r="G1" s="657" t="s">
        <v>1382</v>
      </c>
      <c r="H1" s="657" t="s">
        <v>1383</v>
      </c>
      <c r="I1" s="657" t="s">
        <v>1384</v>
      </c>
      <c r="J1" s="657" t="s">
        <v>1385</v>
      </c>
      <c r="K1" s="657" t="s">
        <v>1386</v>
      </c>
      <c r="L1" s="657" t="s">
        <v>1387</v>
      </c>
      <c r="M1" s="657" t="s">
        <v>1388</v>
      </c>
      <c r="N1" s="657" t="s">
        <v>1389</v>
      </c>
      <c r="O1" s="657" t="s">
        <v>1390</v>
      </c>
      <c r="P1" s="657" t="s">
        <v>1391</v>
      </c>
      <c r="Q1" s="657" t="s">
        <v>1392</v>
      </c>
    </row>
    <row customHeight="true" ht="18.51851851851852" r="2">
      <c r="A2" s="658">
        <v>45839</v>
      </c>
      <c r="B2" s="659">
        <f>1140-200</f>
      </c>
      <c r="C2" s="660">
        <v>0</v>
      </c>
      <c r="D2" s="660">
        <v>0</v>
      </c>
      <c r="E2" s="660">
        <f t="shared" ref="E2:E19" si="0">F2-D2</f>
      </c>
      <c r="F2" s="660">
        <v>800</v>
      </c>
      <c r="G2" s="661">
        <v>940</v>
      </c>
      <c r="H2" s="661">
        <v>559</v>
      </c>
      <c r="I2" s="660">
        <f>G2-H2</f>
      </c>
      <c r="J2" s="662"/>
      <c r="K2" s="663"/>
      <c r="L2" s="663"/>
      <c r="M2" s="663"/>
      <c r="N2" s="660"/>
      <c r="O2" s="660"/>
      <c r="P2" s="660">
        <v>65</v>
      </c>
      <c r="Q2" s="660">
        <v>30</v>
      </c>
    </row>
    <row customHeight="true" ht="18.51851851851852" r="3">
      <c r="A3" s="658">
        <v>45870</v>
      </c>
      <c r="B3" s="659">
        <f>B2-G2+C2</f>
      </c>
      <c r="C3" s="660"/>
      <c r="D3" s="660">
        <v>0</v>
      </c>
      <c r="E3" s="664">
        <f t="shared" si="0"/>
      </c>
      <c r="F3" s="660">
        <v>340</v>
      </c>
      <c r="G3" s="661">
        <v>0</v>
      </c>
      <c r="H3" s="661">
        <v>312</v>
      </c>
      <c r="I3" s="660">
        <f t="shared" ref="I3:I6" si="5">G3+I2-H3</f>
      </c>
      <c r="J3" s="665"/>
      <c r="K3" s="663"/>
      <c r="L3" s="663">
        <f>K3-55</f>
      </c>
      <c r="M3" s="663">
        <f>L3-55</f>
      </c>
      <c r="N3" s="660"/>
      <c r="O3" s="660"/>
      <c r="P3" s="660">
        <v>65</v>
      </c>
      <c r="Q3" s="660">
        <v>30</v>
      </c>
    </row>
    <row customHeight="true" ht="18.51851851851852" r="4">
      <c r="A4" s="658">
        <v>45901</v>
      </c>
      <c r="B4" s="659">
        <v>0</v>
      </c>
      <c r="C4" s="660">
        <v>1500</v>
      </c>
      <c r="D4" s="660">
        <v>0</v>
      </c>
      <c r="E4" s="664">
        <f t="shared" si="0"/>
      </c>
      <c r="F4" s="660">
        <v>500</v>
      </c>
      <c r="G4" s="661">
        <v>624</v>
      </c>
      <c r="H4" s="661">
        <v>70</v>
      </c>
      <c r="I4" s="660">
        <f t="shared" si="5"/>
      </c>
      <c r="J4" s="666" t="s">
        <v>1393</v>
      </c>
      <c r="K4" s="663">
        <v>45901</v>
      </c>
      <c r="L4" s="663">
        <f t="shared" ref="L4:L19" si="7">K4-P4</f>
      </c>
      <c r="M4" s="663">
        <f t="shared" ref="M4:M19" si="9">L4-Q4</f>
      </c>
      <c r="N4" s="666"/>
      <c r="O4" s="666"/>
      <c r="P4" s="660">
        <v>30</v>
      </c>
      <c r="Q4" s="660">
        <v>30</v>
      </c>
    </row>
    <row customHeight="true" ht="18.51851851851852" r="5">
      <c r="A5" s="658">
        <v>45931</v>
      </c>
      <c r="B5" s="659">
        <f>B4-G4+C4</f>
      </c>
      <c r="C5" s="660">
        <v>0</v>
      </c>
      <c r="D5" s="660">
        <v>0</v>
      </c>
      <c r="E5" s="664">
        <f t="shared" si="0"/>
      </c>
      <c r="F5" s="660">
        <v>740</v>
      </c>
      <c r="G5" s="661">
        <v>876</v>
      </c>
      <c r="H5" s="661">
        <v>434</v>
      </c>
      <c r="I5" s="660">
        <f t="shared" si="5"/>
      </c>
      <c r="J5" s="666"/>
      <c r="K5" s="663"/>
      <c r="L5" s="663">
        <f t="shared" si="7"/>
      </c>
      <c r="M5" s="663">
        <f t="shared" si="9"/>
      </c>
      <c r="N5" s="666"/>
      <c r="O5" s="666"/>
      <c r="P5" s="660">
        <v>65</v>
      </c>
      <c r="Q5" s="660">
        <v>30</v>
      </c>
    </row>
    <row customHeight="true" ht="18.51851851851852" r="6">
      <c r="A6" s="658">
        <v>45962</v>
      </c>
      <c r="B6" s="659">
        <v>0</v>
      </c>
      <c r="C6" s="660">
        <v>1000</v>
      </c>
      <c r="D6" s="660">
        <v>0</v>
      </c>
      <c r="E6" s="664">
        <f t="shared" si="0"/>
      </c>
      <c r="F6" s="660">
        <v>800</v>
      </c>
      <c r="G6" s="661">
        <v>1000</v>
      </c>
      <c r="H6" s="660">
        <v>566</v>
      </c>
      <c r="I6" s="660">
        <f t="shared" si="5"/>
      </c>
      <c r="J6" s="666" t="s">
        <v>1393</v>
      </c>
      <c r="K6" s="663">
        <v>45962</v>
      </c>
      <c r="L6" s="663">
        <f t="shared" si="7"/>
      </c>
      <c r="M6" s="663">
        <f t="shared" si="9"/>
      </c>
      <c r="N6" s="666"/>
      <c r="O6" s="666"/>
      <c r="P6" s="660">
        <v>65</v>
      </c>
      <c r="Q6" s="660">
        <v>30</v>
      </c>
    </row>
    <row customHeight="true" ht="18.51851851851852" r="7">
      <c r="A7" s="658">
        <v>45992</v>
      </c>
      <c r="B7" s="659">
        <f>B6-G6+C6</f>
      </c>
      <c r="C7" s="660">
        <v>2000</v>
      </c>
      <c r="D7" s="660">
        <v>0</v>
      </c>
      <c r="E7" s="664">
        <f t="shared" si="0"/>
      </c>
      <c r="F7" s="660">
        <v>900</v>
      </c>
      <c r="G7" s="666"/>
      <c r="H7" s="660">
        <v>700</v>
      </c>
      <c r="I7" s="660"/>
      <c r="J7" s="666" t="s">
        <v>1394</v>
      </c>
      <c r="K7" s="663">
        <v>46011</v>
      </c>
      <c r="L7" s="663">
        <f t="shared" si="7"/>
      </c>
      <c r="M7" s="663">
        <f t="shared" si="9"/>
      </c>
      <c r="N7" s="666"/>
      <c r="O7" s="666"/>
      <c r="P7" s="660">
        <v>65</v>
      </c>
      <c r="Q7" s="660">
        <v>30</v>
      </c>
    </row>
    <row customHeight="true" ht="18.51851851851852" r="8">
      <c r="A8" s="658">
        <v>46023</v>
      </c>
      <c r="B8" s="659">
        <f t="shared" ref="B8:B19" si="3">B7-F7+C7</f>
      </c>
      <c r="C8" s="660">
        <v>500</v>
      </c>
      <c r="D8" s="660">
        <v>0</v>
      </c>
      <c r="E8" s="664">
        <f t="shared" si="0"/>
      </c>
      <c r="F8" s="660">
        <v>900</v>
      </c>
      <c r="G8" s="666"/>
      <c r="H8" s="660">
        <v>600</v>
      </c>
      <c r="I8" s="660"/>
      <c r="J8" s="666" t="s">
        <v>1395</v>
      </c>
      <c r="K8" s="663">
        <v>46042</v>
      </c>
      <c r="L8" s="663">
        <f t="shared" si="7"/>
      </c>
      <c r="M8" s="663">
        <f t="shared" si="9"/>
      </c>
      <c r="N8" s="666"/>
      <c r="O8" s="666"/>
      <c r="P8" s="660">
        <v>60</v>
      </c>
      <c r="Q8" s="660">
        <v>30</v>
      </c>
    </row>
    <row customHeight="true" ht="18.51851851851852" r="9">
      <c r="A9" s="658">
        <v>46054</v>
      </c>
      <c r="B9" s="659">
        <f t="shared" si="3"/>
      </c>
      <c r="C9" s="667">
        <v>800</v>
      </c>
      <c r="D9" s="660">
        <v>0</v>
      </c>
      <c r="E9" s="664">
        <f t="shared" si="0"/>
      </c>
      <c r="F9" s="660">
        <v>800</v>
      </c>
      <c r="G9" s="666"/>
      <c r="H9" s="660">
        <v>650</v>
      </c>
      <c r="I9" s="660"/>
      <c r="J9" s="666" t="s">
        <v>1395</v>
      </c>
      <c r="K9" s="663">
        <v>46073</v>
      </c>
      <c r="L9" s="663">
        <f t="shared" si="7"/>
      </c>
      <c r="M9" s="663">
        <f t="shared" si="9"/>
      </c>
      <c r="N9" s="666"/>
      <c r="O9" s="666"/>
      <c r="P9" s="660">
        <v>65</v>
      </c>
      <c r="Q9" s="660">
        <v>30</v>
      </c>
    </row>
    <row customHeight="true" ht="18.51851851851852" r="10">
      <c r="A10" s="658">
        <v>46082</v>
      </c>
      <c r="B10" s="659">
        <f t="shared" si="3"/>
      </c>
      <c r="C10" s="667">
        <v>1000</v>
      </c>
      <c r="D10" s="660">
        <v>0</v>
      </c>
      <c r="E10" s="664">
        <f t="shared" si="0"/>
      </c>
      <c r="F10" s="660">
        <v>750</v>
      </c>
      <c r="G10" s="666"/>
      <c r="H10" s="660">
        <v>700</v>
      </c>
      <c r="I10" s="660"/>
      <c r="J10" s="666" t="s">
        <v>1395</v>
      </c>
      <c r="K10" s="663">
        <v>46101</v>
      </c>
      <c r="L10" s="663">
        <f t="shared" si="7"/>
      </c>
      <c r="M10" s="663">
        <f t="shared" si="9"/>
      </c>
      <c r="N10" s="666"/>
      <c r="O10" s="666"/>
      <c r="P10" s="660">
        <v>65</v>
      </c>
      <c r="Q10" s="660">
        <v>30</v>
      </c>
    </row>
    <row customHeight="true" ht="18.51851851851852" r="11">
      <c r="A11" s="658">
        <v>46113</v>
      </c>
      <c r="B11" s="659">
        <f t="shared" si="3"/>
      </c>
      <c r="C11" s="660">
        <v>0</v>
      </c>
      <c r="D11" s="660">
        <v>0</v>
      </c>
      <c r="E11" s="664">
        <f t="shared" si="0"/>
      </c>
      <c r="F11" s="660">
        <v>800</v>
      </c>
      <c r="G11" s="666"/>
      <c r="H11" s="660">
        <v>750</v>
      </c>
      <c r="I11" s="660"/>
      <c r="J11" s="666"/>
      <c r="K11" s="663">
        <v>46122</v>
      </c>
      <c r="L11" s="663">
        <f t="shared" si="7"/>
      </c>
      <c r="M11" s="663">
        <f t="shared" si="9"/>
      </c>
      <c r="N11" s="666"/>
      <c r="O11" s="666"/>
      <c r="P11" s="660">
        <v>65</v>
      </c>
      <c r="Q11" s="660">
        <v>30</v>
      </c>
    </row>
    <row customHeight="true" ht="18.51851851851852" r="12">
      <c r="A12" s="658">
        <v>46143</v>
      </c>
      <c r="B12" s="659">
        <f t="shared" si="3"/>
      </c>
      <c r="C12" s="667">
        <v>1000</v>
      </c>
      <c r="D12" s="660">
        <v>0</v>
      </c>
      <c r="E12" s="664">
        <f t="shared" si="0"/>
      </c>
      <c r="F12" s="660">
        <v>800</v>
      </c>
      <c r="G12" s="666"/>
      <c r="H12" s="660">
        <v>800</v>
      </c>
      <c r="I12" s="660"/>
      <c r="J12" s="666" t="s">
        <v>1395</v>
      </c>
      <c r="K12" s="663">
        <v>46143</v>
      </c>
      <c r="L12" s="663">
        <f t="shared" si="7"/>
      </c>
      <c r="M12" s="663">
        <f t="shared" si="9"/>
      </c>
      <c r="N12" s="666"/>
      <c r="O12" s="666"/>
      <c r="P12" s="660">
        <v>65</v>
      </c>
      <c r="Q12" s="660">
        <v>30</v>
      </c>
    </row>
    <row customHeight="true" ht="18.51851851851852" r="13">
      <c r="A13" s="658">
        <v>46174</v>
      </c>
      <c r="B13" s="659">
        <f t="shared" si="3"/>
      </c>
      <c r="C13" s="660">
        <v>1000</v>
      </c>
      <c r="D13" s="660">
        <v>0</v>
      </c>
      <c r="E13" s="664">
        <f t="shared" si="0"/>
      </c>
      <c r="F13" s="660">
        <v>1000</v>
      </c>
      <c r="G13" s="666"/>
      <c r="H13" s="660">
        <v>800</v>
      </c>
      <c r="I13" s="660"/>
      <c r="J13" s="666"/>
      <c r="K13" s="663">
        <v>46174</v>
      </c>
      <c r="L13" s="663">
        <f t="shared" si="7"/>
      </c>
      <c r="M13" s="663">
        <f t="shared" si="9"/>
      </c>
      <c r="N13" s="666"/>
      <c r="O13" s="666"/>
      <c r="P13" s="660">
        <v>65</v>
      </c>
      <c r="Q13" s="660">
        <v>30</v>
      </c>
    </row>
    <row customHeight="true" ht="18.51851851851852" r="14">
      <c r="A14" s="658">
        <v>46204</v>
      </c>
      <c r="B14" s="659">
        <f t="shared" si="3"/>
      </c>
      <c r="C14" s="660">
        <v>1000</v>
      </c>
      <c r="D14" s="660">
        <v>0</v>
      </c>
      <c r="E14" s="664">
        <f t="shared" si="0"/>
      </c>
      <c r="F14" s="660">
        <v>800</v>
      </c>
      <c r="G14" s="666"/>
      <c r="H14" s="660">
        <v>900</v>
      </c>
      <c r="I14" s="660"/>
      <c r="J14" s="666"/>
      <c r="K14" s="663">
        <v>46204</v>
      </c>
      <c r="L14" s="663">
        <f t="shared" si="7"/>
      </c>
      <c r="M14" s="663">
        <f t="shared" si="9"/>
      </c>
      <c r="N14" s="666"/>
      <c r="O14" s="666"/>
      <c r="P14" s="660">
        <v>65</v>
      </c>
      <c r="Q14" s="660">
        <v>30</v>
      </c>
    </row>
    <row customHeight="true" ht="18.51851851851852" r="15">
      <c r="A15" s="658">
        <v>46235</v>
      </c>
      <c r="B15" s="659">
        <f t="shared" si="3"/>
      </c>
      <c r="C15" s="660">
        <v>1000</v>
      </c>
      <c r="D15" s="660">
        <v>0</v>
      </c>
      <c r="E15" s="664">
        <f t="shared" si="0"/>
      </c>
      <c r="F15" s="660">
        <v>800</v>
      </c>
      <c r="G15" s="666"/>
      <c r="H15" s="660">
        <v>800</v>
      </c>
      <c r="I15" s="660"/>
      <c r="J15" s="666"/>
      <c r="K15" s="663">
        <v>46249</v>
      </c>
      <c r="L15" s="663">
        <f t="shared" si="7"/>
      </c>
      <c r="M15" s="663">
        <f t="shared" si="9"/>
      </c>
      <c r="N15" s="666"/>
      <c r="O15" s="666"/>
      <c r="P15" s="660">
        <v>65</v>
      </c>
      <c r="Q15" s="660">
        <v>30</v>
      </c>
    </row>
    <row customHeight="true" ht="18.51851851851852" r="16">
      <c r="A16" s="658">
        <v>46266</v>
      </c>
      <c r="B16" s="659">
        <f t="shared" si="3"/>
      </c>
      <c r="C16" s="660">
        <v>0</v>
      </c>
      <c r="D16" s="660">
        <v>0</v>
      </c>
      <c r="E16" s="664">
        <f t="shared" si="0"/>
      </c>
      <c r="F16" s="660">
        <v>900</v>
      </c>
      <c r="G16" s="666"/>
      <c r="H16" s="660">
        <v>800</v>
      </c>
      <c r="I16" s="660"/>
      <c r="J16" s="666"/>
      <c r="K16" s="663">
        <v>46275</v>
      </c>
      <c r="L16" s="663">
        <f t="shared" si="7"/>
      </c>
      <c r="M16" s="663">
        <f t="shared" si="9"/>
      </c>
      <c r="N16" s="666"/>
      <c r="O16" s="666"/>
      <c r="P16" s="660">
        <v>65</v>
      </c>
      <c r="Q16" s="660">
        <v>30</v>
      </c>
    </row>
    <row customHeight="true" ht="18.51851851851852" r="17">
      <c r="A17" s="658">
        <v>46296</v>
      </c>
      <c r="B17" s="659">
        <f t="shared" si="3"/>
      </c>
      <c r="C17" s="660">
        <v>1000</v>
      </c>
      <c r="D17" s="660">
        <v>0</v>
      </c>
      <c r="E17" s="664">
        <f t="shared" si="0"/>
      </c>
      <c r="F17" s="660">
        <v>1000</v>
      </c>
      <c r="G17" s="666"/>
      <c r="H17" s="660">
        <v>900</v>
      </c>
      <c r="I17" s="660"/>
      <c r="J17" s="666"/>
      <c r="K17" s="663">
        <v>46296</v>
      </c>
      <c r="L17" s="663">
        <f t="shared" si="7"/>
      </c>
      <c r="M17" s="663">
        <f t="shared" si="9"/>
      </c>
      <c r="N17" s="666"/>
      <c r="O17" s="666"/>
      <c r="P17" s="660">
        <v>65</v>
      </c>
      <c r="Q17" s="660">
        <v>30</v>
      </c>
    </row>
    <row customHeight="true" ht="18.51851851851852" r="18">
      <c r="A18" s="658">
        <v>46327</v>
      </c>
      <c r="B18" s="659">
        <f t="shared" si="3"/>
      </c>
      <c r="C18" s="660">
        <v>1000</v>
      </c>
      <c r="D18" s="660">
        <v>0</v>
      </c>
      <c r="E18" s="664">
        <f t="shared" si="0"/>
      </c>
      <c r="F18" s="660">
        <v>1000</v>
      </c>
      <c r="G18" s="666"/>
      <c r="H18" s="660">
        <v>1000</v>
      </c>
      <c r="I18" s="660"/>
      <c r="J18" s="666"/>
      <c r="K18" s="663">
        <v>46327</v>
      </c>
      <c r="L18" s="663">
        <f t="shared" si="7"/>
      </c>
      <c r="M18" s="663">
        <f t="shared" si="9"/>
      </c>
      <c r="N18" s="666"/>
      <c r="O18" s="666"/>
      <c r="P18" s="660">
        <v>65</v>
      </c>
      <c r="Q18" s="660">
        <v>30</v>
      </c>
    </row>
    <row customHeight="true" ht="18.51851851851852" r="19">
      <c r="A19" s="668">
        <v>46357</v>
      </c>
      <c r="B19" s="659">
        <f t="shared" si="3"/>
      </c>
      <c r="C19" s="660"/>
      <c r="D19" s="660">
        <v>0</v>
      </c>
      <c r="E19" s="664">
        <f t="shared" si="0"/>
      </c>
      <c r="F19" s="660">
        <v>800</v>
      </c>
      <c r="G19" s="666"/>
      <c r="H19" s="660">
        <v>1000</v>
      </c>
      <c r="I19" s="660"/>
      <c r="J19" s="666"/>
      <c r="K19" s="663"/>
      <c r="L19" s="663">
        <f t="shared" si="7"/>
      </c>
      <c r="M19" s="663">
        <f t="shared" si="9"/>
      </c>
      <c r="N19" s="666"/>
      <c r="O19" s="666"/>
      <c r="P19" s="660">
        <v>65</v>
      </c>
      <c r="Q19" s="660">
        <v>30</v>
      </c>
    </row>
    <row customHeight="true" ht="18.51851851851852" r="20">
      <c r="A20" s="669"/>
      <c r="B20" s="669"/>
      <c r="C20" s="670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</row>
    <row customHeight="true" ht="18.51851851851852" r="21">
      <c r="A21" s="657" t="s">
        <v>1376</v>
      </c>
      <c r="B21" s="657" t="s">
        <v>1377</v>
      </c>
      <c r="C21" s="657" t="s">
        <v>1378</v>
      </c>
      <c r="D21" s="657" t="s">
        <v>1379</v>
      </c>
      <c r="E21" s="657" t="s">
        <v>1380</v>
      </c>
      <c r="F21" s="657" t="s">
        <v>1381</v>
      </c>
      <c r="G21" s="657" t="s">
        <v>1382</v>
      </c>
      <c r="H21" s="657" t="s">
        <v>1383</v>
      </c>
      <c r="I21" s="657" t="s">
        <v>1384</v>
      </c>
      <c r="J21" s="657" t="s">
        <v>1385</v>
      </c>
      <c r="K21" s="657" t="s">
        <v>1386</v>
      </c>
      <c r="L21" s="657" t="s">
        <v>1387</v>
      </c>
      <c r="M21" s="657" t="s">
        <v>1388</v>
      </c>
      <c r="N21" s="657" t="s">
        <v>1389</v>
      </c>
      <c r="O21" s="657" t="s">
        <v>1390</v>
      </c>
      <c r="P21" s="657" t="s">
        <v>1391</v>
      </c>
      <c r="Q21" s="657" t="s">
        <v>1392</v>
      </c>
    </row>
    <row customHeight="true" ht="18.51851851851852" r="22">
      <c r="A22" s="658">
        <v>45839</v>
      </c>
      <c r="B22" s="659">
        <v>340</v>
      </c>
      <c r="C22" s="660">
        <v>0</v>
      </c>
      <c r="D22" s="660">
        <v>0</v>
      </c>
      <c r="E22" s="660">
        <f t="shared" ref="E22:E39" si="1">F22-D22</f>
      </c>
      <c r="F22" s="660">
        <v>80</v>
      </c>
      <c r="G22" s="661">
        <v>132</v>
      </c>
      <c r="H22" s="661">
        <v>47</v>
      </c>
      <c r="I22" s="660">
        <f>G22-H22</f>
      </c>
      <c r="J22" s="662"/>
      <c r="K22" s="663"/>
      <c r="L22" s="663"/>
      <c r="M22" s="663"/>
      <c r="N22" s="660"/>
      <c r="O22" s="660"/>
      <c r="P22" s="660">
        <v>65</v>
      </c>
      <c r="Q22" s="660">
        <v>30</v>
      </c>
    </row>
    <row customHeight="true" ht="18.51851851851852" r="23">
      <c r="A23" s="658">
        <v>45870</v>
      </c>
      <c r="B23" s="659">
        <f t="shared" ref="B23:B27" si="2">B22-G22+C22</f>
      </c>
      <c r="C23" s="660"/>
      <c r="D23" s="660">
        <v>0</v>
      </c>
      <c r="E23" s="664">
        <f t="shared" si="1"/>
      </c>
      <c r="F23" s="660">
        <v>120</v>
      </c>
      <c r="G23" s="661">
        <v>204</v>
      </c>
      <c r="H23" s="661">
        <v>167</v>
      </c>
      <c r="I23" s="660">
        <f t="shared" ref="I23:I26" si="6">G23+I22-H23</f>
      </c>
      <c r="J23" s="665"/>
      <c r="K23" s="663"/>
      <c r="L23" s="663">
        <f>K23-55</f>
      </c>
      <c r="M23" s="663">
        <f>L23-55</f>
      </c>
      <c r="N23" s="660"/>
      <c r="O23" s="660"/>
      <c r="P23" s="660">
        <v>65</v>
      </c>
      <c r="Q23" s="660">
        <v>30</v>
      </c>
    </row>
    <row customHeight="true" ht="18.51851851851852" r="24">
      <c r="A24" s="658">
        <v>45901</v>
      </c>
      <c r="B24" s="659">
        <f t="shared" si="2"/>
      </c>
      <c r="C24" s="660">
        <v>500</v>
      </c>
      <c r="D24" s="660">
        <v>0</v>
      </c>
      <c r="E24" s="664">
        <f t="shared" si="1"/>
      </c>
      <c r="F24" s="660">
        <v>140</v>
      </c>
      <c r="G24" s="661">
        <v>232</v>
      </c>
      <c r="H24" s="661">
        <v>109</v>
      </c>
      <c r="I24" s="660">
        <f t="shared" si="6"/>
      </c>
      <c r="J24" s="666" t="s">
        <v>1393</v>
      </c>
      <c r="K24" s="663">
        <v>45931</v>
      </c>
      <c r="L24" s="663">
        <f t="shared" ref="L24:L39" si="8">K24-P24</f>
      </c>
      <c r="M24" s="663">
        <f t="shared" ref="M24:M39" si="10">L24-Q24</f>
      </c>
      <c r="N24" s="666"/>
      <c r="O24" s="666"/>
      <c r="P24" s="660">
        <v>65</v>
      </c>
      <c r="Q24" s="660">
        <v>30</v>
      </c>
    </row>
    <row customHeight="true" ht="18.51851851851852" r="25">
      <c r="A25" s="658">
        <v>45931</v>
      </c>
      <c r="B25" s="659">
        <f t="shared" si="2"/>
      </c>
      <c r="C25" s="660">
        <v>0</v>
      </c>
      <c r="D25" s="660">
        <v>0</v>
      </c>
      <c r="E25" s="664">
        <f t="shared" si="1"/>
      </c>
      <c r="F25" s="660">
        <v>150</v>
      </c>
      <c r="G25" s="661">
        <v>136</v>
      </c>
      <c r="H25" s="661">
        <v>107</v>
      </c>
      <c r="I25" s="660">
        <f t="shared" si="6"/>
      </c>
      <c r="J25" s="666"/>
      <c r="K25" s="663"/>
      <c r="L25" s="663">
        <f t="shared" si="8"/>
      </c>
      <c r="M25" s="663">
        <f t="shared" si="10"/>
      </c>
      <c r="N25" s="666"/>
      <c r="O25" s="666"/>
      <c r="P25" s="660">
        <v>65</v>
      </c>
      <c r="Q25" s="660">
        <v>30</v>
      </c>
    </row>
    <row customHeight="true" ht="18.51851851851852" r="26">
      <c r="A26" s="658">
        <v>45962</v>
      </c>
      <c r="B26" s="659">
        <f t="shared" si="2"/>
      </c>
      <c r="C26" s="660">
        <v>0</v>
      </c>
      <c r="D26" s="660">
        <v>0</v>
      </c>
      <c r="E26" s="664">
        <f t="shared" si="1"/>
      </c>
      <c r="F26" s="660">
        <v>136</v>
      </c>
      <c r="G26" s="661">
        <v>128</v>
      </c>
      <c r="H26" s="660">
        <v>87</v>
      </c>
      <c r="I26" s="660">
        <f t="shared" si="6"/>
      </c>
      <c r="J26" s="666"/>
      <c r="K26" s="663"/>
      <c r="L26" s="663">
        <f t="shared" si="8"/>
      </c>
      <c r="M26" s="663">
        <f t="shared" si="10"/>
      </c>
      <c r="N26" s="666"/>
      <c r="O26" s="666"/>
      <c r="P26" s="660">
        <v>65</v>
      </c>
      <c r="Q26" s="660">
        <v>30</v>
      </c>
    </row>
    <row customHeight="true" ht="18.51851851851852" r="27">
      <c r="A27" s="658">
        <v>45992</v>
      </c>
      <c r="B27" s="659">
        <f t="shared" si="2"/>
      </c>
      <c r="C27" s="660">
        <v>500</v>
      </c>
      <c r="D27" s="660">
        <v>0</v>
      </c>
      <c r="E27" s="664">
        <f t="shared" si="1"/>
      </c>
      <c r="F27" s="660">
        <v>180</v>
      </c>
      <c r="G27" s="666"/>
      <c r="H27" s="660">
        <v>240</v>
      </c>
      <c r="I27" s="666"/>
      <c r="J27" s="666" t="s">
        <v>1396</v>
      </c>
      <c r="K27" s="663">
        <v>45992</v>
      </c>
      <c r="L27" s="663">
        <f t="shared" si="8"/>
      </c>
      <c r="M27" s="663">
        <f t="shared" si="10"/>
      </c>
      <c r="N27" s="666"/>
      <c r="O27" s="666"/>
      <c r="P27" s="660">
        <v>65</v>
      </c>
      <c r="Q27" s="660">
        <v>30</v>
      </c>
    </row>
    <row customHeight="true" ht="18.51851851851852" r="28">
      <c r="A28" s="658">
        <v>46023</v>
      </c>
      <c r="B28" s="659">
        <f t="shared" ref="B28:B39" si="4">B27-F27+C27</f>
      </c>
      <c r="C28" s="660">
        <v>0</v>
      </c>
      <c r="D28" s="660">
        <v>0</v>
      </c>
      <c r="E28" s="664">
        <f t="shared" si="1"/>
      </c>
      <c r="F28" s="660">
        <v>180</v>
      </c>
      <c r="G28" s="666"/>
      <c r="H28" s="660">
        <v>180</v>
      </c>
      <c r="I28" s="666"/>
      <c r="J28" s="666"/>
      <c r="K28" s="663"/>
      <c r="L28" s="663">
        <f t="shared" si="8"/>
      </c>
      <c r="M28" s="663">
        <f t="shared" si="10"/>
      </c>
      <c r="N28" s="666"/>
      <c r="O28" s="666"/>
      <c r="P28" s="660">
        <v>65</v>
      </c>
      <c r="Q28" s="660">
        <v>30</v>
      </c>
    </row>
    <row customHeight="true" ht="18.51851851851852" r="29">
      <c r="A29" s="658">
        <v>46054</v>
      </c>
      <c r="B29" s="659">
        <f t="shared" si="4"/>
      </c>
      <c r="C29" s="667">
        <v>700</v>
      </c>
      <c r="D29" s="660">
        <v>0</v>
      </c>
      <c r="E29" s="664">
        <f t="shared" si="1"/>
      </c>
      <c r="F29" s="660">
        <v>210</v>
      </c>
      <c r="G29" s="666"/>
      <c r="H29" s="660">
        <v>180</v>
      </c>
      <c r="I29" s="666"/>
      <c r="J29" s="666" t="s">
        <v>1395</v>
      </c>
      <c r="K29" s="663">
        <v>46073</v>
      </c>
      <c r="L29" s="663">
        <f t="shared" si="8"/>
      </c>
      <c r="M29" s="663">
        <f t="shared" si="10"/>
      </c>
      <c r="N29" s="666"/>
      <c r="O29" s="666"/>
      <c r="P29" s="660">
        <v>65</v>
      </c>
      <c r="Q29" s="660">
        <v>30</v>
      </c>
    </row>
    <row customHeight="true" ht="18.51851851851852" r="30">
      <c r="A30" s="658">
        <v>46082</v>
      </c>
      <c r="B30" s="659">
        <f t="shared" si="4"/>
      </c>
      <c r="C30" s="660">
        <v>0</v>
      </c>
      <c r="D30" s="660">
        <v>0</v>
      </c>
      <c r="E30" s="664">
        <f t="shared" si="1"/>
      </c>
      <c r="F30" s="660">
        <v>225</v>
      </c>
      <c r="G30" s="666"/>
      <c r="H30" s="660">
        <v>210</v>
      </c>
      <c r="I30" s="666"/>
      <c r="J30" s="666"/>
      <c r="K30" s="663"/>
      <c r="L30" s="663">
        <f t="shared" si="8"/>
      </c>
      <c r="M30" s="663">
        <f t="shared" si="10"/>
      </c>
      <c r="N30" s="666"/>
      <c r="O30" s="666"/>
      <c r="P30" s="660">
        <v>65</v>
      </c>
      <c r="Q30" s="660">
        <v>30</v>
      </c>
    </row>
    <row customHeight="true" ht="18.51851851851852" r="31">
      <c r="A31" s="658">
        <v>46113</v>
      </c>
      <c r="B31" s="659">
        <f t="shared" si="4"/>
      </c>
      <c r="C31" s="660">
        <v>0</v>
      </c>
      <c r="D31" s="660">
        <v>0</v>
      </c>
      <c r="E31" s="664">
        <f t="shared" si="1"/>
      </c>
      <c r="F31" s="660">
        <v>225</v>
      </c>
      <c r="G31" s="666"/>
      <c r="H31" s="660">
        <v>225</v>
      </c>
      <c r="I31" s="666"/>
      <c r="J31" s="666"/>
      <c r="K31" s="663"/>
      <c r="L31" s="663">
        <f t="shared" si="8"/>
      </c>
      <c r="M31" s="663">
        <f t="shared" si="10"/>
      </c>
      <c r="N31" s="666"/>
      <c r="O31" s="666"/>
      <c r="P31" s="660">
        <v>65</v>
      </c>
      <c r="Q31" s="660">
        <v>30</v>
      </c>
    </row>
    <row customHeight="true" ht="18.51851851851852" r="32">
      <c r="A32" s="658">
        <v>46143</v>
      </c>
      <c r="B32" s="659">
        <f t="shared" si="4"/>
      </c>
      <c r="C32" s="667">
        <v>500</v>
      </c>
      <c r="D32" s="660">
        <v>0</v>
      </c>
      <c r="E32" s="664">
        <f t="shared" si="1"/>
      </c>
      <c r="F32" s="660">
        <v>240</v>
      </c>
      <c r="G32" s="666"/>
      <c r="H32" s="660">
        <v>225</v>
      </c>
      <c r="I32" s="666"/>
      <c r="J32" s="666" t="s">
        <v>1395</v>
      </c>
      <c r="K32" s="663">
        <v>46143</v>
      </c>
      <c r="L32" s="663">
        <f t="shared" si="8"/>
      </c>
      <c r="M32" s="663">
        <f t="shared" si="10"/>
      </c>
      <c r="N32" s="666"/>
      <c r="O32" s="666"/>
      <c r="P32" s="660">
        <v>65</v>
      </c>
      <c r="Q32" s="660">
        <v>30</v>
      </c>
    </row>
    <row customHeight="true" ht="18.51851851851852" r="33">
      <c r="A33" s="658">
        <v>46174</v>
      </c>
      <c r="B33" s="659">
        <f t="shared" si="4"/>
      </c>
      <c r="C33" s="660">
        <v>0</v>
      </c>
      <c r="D33" s="660">
        <v>0</v>
      </c>
      <c r="E33" s="664">
        <f t="shared" si="1"/>
      </c>
      <c r="F33" s="660">
        <v>300</v>
      </c>
      <c r="G33" s="666"/>
      <c r="H33" s="660">
        <v>240</v>
      </c>
      <c r="I33" s="666"/>
      <c r="J33" s="666"/>
      <c r="K33" s="663">
        <v>46174</v>
      </c>
      <c r="L33" s="663">
        <f t="shared" si="8"/>
      </c>
      <c r="M33" s="663">
        <f t="shared" si="10"/>
      </c>
      <c r="N33" s="666"/>
      <c r="O33" s="666"/>
      <c r="P33" s="660">
        <v>65</v>
      </c>
      <c r="Q33" s="660">
        <v>30</v>
      </c>
    </row>
    <row customHeight="true" ht="18.51851851851852" r="34">
      <c r="A34" s="658">
        <v>46204</v>
      </c>
      <c r="B34" s="659">
        <f t="shared" si="4"/>
      </c>
      <c r="C34" s="660">
        <v>500</v>
      </c>
      <c r="D34" s="660">
        <v>0</v>
      </c>
      <c r="E34" s="664">
        <f t="shared" si="1"/>
      </c>
      <c r="F34" s="660">
        <v>240</v>
      </c>
      <c r="G34" s="666"/>
      <c r="H34" s="660">
        <v>300</v>
      </c>
      <c r="I34" s="666"/>
      <c r="J34" s="666"/>
      <c r="K34" s="663">
        <v>46204</v>
      </c>
      <c r="L34" s="663">
        <f t="shared" si="8"/>
      </c>
      <c r="M34" s="663">
        <f t="shared" si="10"/>
      </c>
      <c r="N34" s="666"/>
      <c r="O34" s="666"/>
      <c r="P34" s="660">
        <v>65</v>
      </c>
      <c r="Q34" s="660">
        <v>30</v>
      </c>
    </row>
    <row customHeight="true" ht="18.51851851851852" r="35">
      <c r="A35" s="658">
        <v>46235</v>
      </c>
      <c r="B35" s="659">
        <f t="shared" si="4"/>
      </c>
      <c r="C35" s="660">
        <v>0</v>
      </c>
      <c r="D35" s="660">
        <v>0</v>
      </c>
      <c r="E35" s="664">
        <f t="shared" si="1"/>
      </c>
      <c r="F35" s="660">
        <v>275</v>
      </c>
      <c r="G35" s="666"/>
      <c r="H35" s="660">
        <v>240</v>
      </c>
      <c r="I35" s="666"/>
      <c r="J35" s="666"/>
      <c r="K35" s="663"/>
      <c r="L35" s="663">
        <f t="shared" si="8"/>
      </c>
      <c r="M35" s="663">
        <f t="shared" si="10"/>
      </c>
      <c r="N35" s="666"/>
      <c r="O35" s="666"/>
      <c r="P35" s="660">
        <v>65</v>
      </c>
      <c r="Q35" s="660">
        <v>30</v>
      </c>
    </row>
    <row customHeight="true" ht="18.51851851851852" r="36">
      <c r="A36" s="658">
        <v>46266</v>
      </c>
      <c r="B36" s="659">
        <f t="shared" si="4"/>
      </c>
      <c r="C36" s="660">
        <v>500</v>
      </c>
      <c r="D36" s="660">
        <v>0</v>
      </c>
      <c r="E36" s="664">
        <f t="shared" si="1"/>
      </c>
      <c r="F36" s="660">
        <v>330</v>
      </c>
      <c r="G36" s="666"/>
      <c r="H36" s="660">
        <v>275</v>
      </c>
      <c r="I36" s="666"/>
      <c r="J36" s="666"/>
      <c r="K36" s="663">
        <v>46266</v>
      </c>
      <c r="L36" s="663">
        <f t="shared" si="8"/>
      </c>
      <c r="M36" s="663">
        <f t="shared" si="10"/>
      </c>
      <c r="N36" s="666"/>
      <c r="O36" s="666"/>
      <c r="P36" s="660">
        <v>65</v>
      </c>
      <c r="Q36" s="660">
        <v>30</v>
      </c>
    </row>
    <row customHeight="true" ht="18.51851851851852" r="37">
      <c r="A37" s="658">
        <v>46296</v>
      </c>
      <c r="B37" s="659">
        <f t="shared" si="4"/>
      </c>
      <c r="C37" s="660">
        <v>500</v>
      </c>
      <c r="D37" s="660">
        <v>0</v>
      </c>
      <c r="E37" s="664">
        <f t="shared" si="1"/>
      </c>
      <c r="F37" s="660">
        <v>400</v>
      </c>
      <c r="G37" s="666"/>
      <c r="H37" s="660">
        <v>330</v>
      </c>
      <c r="I37" s="666"/>
      <c r="J37" s="666"/>
      <c r="K37" s="663">
        <v>46296</v>
      </c>
      <c r="L37" s="663">
        <f t="shared" si="8"/>
      </c>
      <c r="M37" s="663">
        <f t="shared" si="10"/>
      </c>
      <c r="N37" s="666"/>
      <c r="O37" s="666"/>
      <c r="P37" s="660">
        <v>65</v>
      </c>
      <c r="Q37" s="660">
        <v>30</v>
      </c>
    </row>
    <row customHeight="true" ht="18.51851851851852" r="38">
      <c r="A38" s="658">
        <v>46327</v>
      </c>
      <c r="B38" s="659">
        <f t="shared" si="4"/>
      </c>
      <c r="C38" s="660">
        <v>500</v>
      </c>
      <c r="D38" s="660">
        <v>0</v>
      </c>
      <c r="E38" s="664">
        <f t="shared" si="1"/>
      </c>
      <c r="F38" s="660">
        <v>400</v>
      </c>
      <c r="G38" s="666"/>
      <c r="H38" s="660">
        <v>400</v>
      </c>
      <c r="I38" s="666"/>
      <c r="J38" s="666"/>
      <c r="K38" s="663">
        <v>46327</v>
      </c>
      <c r="L38" s="663">
        <f t="shared" si="8"/>
      </c>
      <c r="M38" s="663">
        <f t="shared" si="10"/>
      </c>
      <c r="N38" s="666"/>
      <c r="O38" s="666"/>
      <c r="P38" s="660">
        <v>65</v>
      </c>
      <c r="Q38" s="660">
        <v>30</v>
      </c>
    </row>
    <row customHeight="true" ht="18.51851851851852" r="39">
      <c r="A39" s="658">
        <v>46357</v>
      </c>
      <c r="B39" s="659">
        <f t="shared" si="4"/>
      </c>
      <c r="C39" s="660">
        <v>0</v>
      </c>
      <c r="D39" s="660">
        <v>0</v>
      </c>
      <c r="E39" s="664">
        <f t="shared" si="1"/>
      </c>
      <c r="F39" s="660">
        <v>300</v>
      </c>
      <c r="G39" s="666"/>
      <c r="H39" s="660">
        <v>400</v>
      </c>
      <c r="I39" s="666"/>
      <c r="J39" s="666"/>
      <c r="K39" s="663"/>
      <c r="L39" s="663">
        <f t="shared" si="8"/>
      </c>
      <c r="M39" s="663">
        <f t="shared" si="10"/>
      </c>
      <c r="N39" s="666"/>
      <c r="O39" s="666"/>
      <c r="P39" s="660">
        <v>65</v>
      </c>
      <c r="Q39" s="660">
        <v>30</v>
      </c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7.4"/>
    <col collapsed="false" customWidth="true" hidden="false" max="23" min="23" style="0" width="17.4"/>
    <col collapsed="false" customWidth="true" hidden="false" max="27" min="27" style="0" width="17.4"/>
    <col collapsed="false" customWidth="true" hidden="false" max="3" min="3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2" min="22" style="0" width="17.4"/>
    <col collapsed="false" customWidth="true" hidden="false" max="25" min="25" style="0" width="17.4"/>
    <col collapsed="false" customWidth="true" hidden="false" max="26" min="26" style="0" width="17.4"/>
    <col collapsed="false" customWidth="true" hidden="false" max="2" min="2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21" min="21" style="0" width="17.4"/>
    <col collapsed="false" customWidth="true" hidden="false" max="1" min="1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20" min="20" style="0" width="17.4"/>
    <col collapsed="false" customWidth="true" hidden="false" max="24" min="24" style="0" width="17.4"/>
    <col collapsed="false" customWidth="true" hidden="false" max="4" min="4" style="0" width="17.4"/>
  </cols>
  <sheetData>
    <row customHeight="true" ht="18.51851851851852" r="1">
      <c r="A1" s="671" t="s">
        <v>1397</v>
      </c>
      <c r="B1" s="671" t="s">
        <v>1398</v>
      </c>
      <c r="C1" s="671" t="s">
        <v>1399</v>
      </c>
      <c r="D1" s="671" t="s">
        <v>1400</v>
      </c>
      <c r="E1" s="671" t="s">
        <v>1401</v>
      </c>
      <c r="F1" s="671" t="s">
        <v>1402</v>
      </c>
      <c r="G1" s="671" t="s">
        <v>1403</v>
      </c>
      <c r="H1" s="671" t="s">
        <v>1404</v>
      </c>
      <c r="I1" s="671" t="s">
        <v>1405</v>
      </c>
      <c r="J1" s="671" t="s">
        <v>1406</v>
      </c>
      <c r="K1" s="671" t="s">
        <v>1407</v>
      </c>
      <c r="L1" s="671" t="s">
        <v>1408</v>
      </c>
      <c r="M1" s="671" t="s">
        <v>1409</v>
      </c>
      <c r="N1" s="671" t="s">
        <v>1410</v>
      </c>
      <c r="O1" s="671" t="s">
        <v>1411</v>
      </c>
      <c r="P1" s="671" t="s">
        <v>1412</v>
      </c>
      <c r="Q1" s="671" t="s">
        <v>1413</v>
      </c>
      <c r="R1" s="671" t="s">
        <v>1414</v>
      </c>
      <c r="S1" s="671" t="s">
        <v>1415</v>
      </c>
      <c r="T1" s="671" t="s">
        <v>1416</v>
      </c>
      <c r="U1" s="671" t="s">
        <v>1417</v>
      </c>
      <c r="V1" s="671" t="s">
        <v>1418</v>
      </c>
      <c r="W1" s="671" t="s">
        <v>1419</v>
      </c>
      <c r="X1" s="671" t="s">
        <v>1420</v>
      </c>
      <c r="Y1" s="671" t="s">
        <v>1421</v>
      </c>
      <c r="Z1" s="671" t="s">
        <v>1422</v>
      </c>
      <c r="AA1" s="671" t="s">
        <v>1423</v>
      </c>
    </row>
    <row customHeight="true" ht="18.51851851851852" r="2">
      <c r="A2" s="671" t="s">
        <v>1424</v>
      </c>
      <c r="B2" s="671">
        <v>7.4</v>
      </c>
      <c r="C2" s="671" t="s">
        <v>1425</v>
      </c>
      <c r="D2" s="671" t="s">
        <v>1425</v>
      </c>
      <c r="E2" s="671" t="s">
        <v>1426</v>
      </c>
      <c r="F2" s="671">
        <v>17.483067924</v>
      </c>
      <c r="G2" s="671">
        <v>30.816347908</v>
      </c>
      <c r="H2" s="671">
        <v>29.99</v>
      </c>
      <c r="I2" s="671">
        <v>40.707964601</v>
      </c>
      <c r="J2" s="671">
        <v>2.78</v>
      </c>
      <c r="K2" s="671">
        <v>0.15</v>
      </c>
      <c r="L2" s="671">
        <v>0.16</v>
      </c>
      <c r="M2" s="671">
        <v>0.03</v>
      </c>
      <c r="N2" s="671">
        <v>0.15</v>
      </c>
      <c r="O2" s="671">
        <v>0.000666888</v>
      </c>
      <c r="P2" s="671">
        <v>0.02</v>
      </c>
      <c r="Q2" s="671">
        <v>20.2</v>
      </c>
      <c r="R2" s="671">
        <v>10.7</v>
      </c>
      <c r="S2" s="671">
        <v>3.6</v>
      </c>
      <c r="T2" s="671">
        <v>0.32</v>
      </c>
      <c r="U2" s="671">
        <v>0.129684</v>
      </c>
      <c r="V2" s="671">
        <v>0.32</v>
      </c>
      <c r="W2" s="671" t="s">
        <v>1427</v>
      </c>
      <c r="X2" s="671">
        <v>14.687</v>
      </c>
      <c r="Y2" s="671">
        <v>4.69984</v>
      </c>
      <c r="Z2" s="671">
        <v>5.758910188</v>
      </c>
      <c r="AA2" s="671">
        <v>0.192027682</v>
      </c>
    </row>
    <row customHeight="true" ht="18.51851851851852" r="3">
      <c r="A3" s="671"/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  <c r="N3" s="671"/>
      <c r="O3" s="671"/>
      <c r="P3" s="671"/>
      <c r="Q3" s="671"/>
      <c r="R3" s="671"/>
      <c r="S3" s="671"/>
      <c r="T3" s="671"/>
      <c r="U3" s="671"/>
      <c r="V3" s="671"/>
      <c r="W3" s="671"/>
      <c r="X3" s="671"/>
      <c r="Y3" s="671"/>
      <c r="Z3" s="671"/>
      <c r="AA3" s="671"/>
    </row>
    <row customHeight="true" ht="18.51851851851852" r="4">
      <c r="A4" s="671"/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</row>
    <row customHeight="true" ht="18.51851851851852" r="5">
      <c r="A5" s="671" t="s">
        <v>1428</v>
      </c>
      <c r="B5" s="671" t="s">
        <v>1429</v>
      </c>
      <c r="C5" s="671" t="s">
        <v>1430</v>
      </c>
      <c r="D5" s="671" t="s">
        <v>1431</v>
      </c>
      <c r="E5" s="671" t="s">
        <v>1432</v>
      </c>
      <c r="F5" s="671" t="s">
        <v>1433</v>
      </c>
      <c r="G5" s="671" t="s">
        <v>1434</v>
      </c>
      <c r="H5" s="671" t="s">
        <v>1435</v>
      </c>
      <c r="I5" s="671" t="s">
        <v>1436</v>
      </c>
      <c r="J5" s="671" t="s">
        <v>1437</v>
      </c>
      <c r="K5" s="671"/>
      <c r="L5" s="671"/>
      <c r="M5" s="671"/>
      <c r="N5" s="671"/>
      <c r="O5" s="671"/>
      <c r="P5" s="671"/>
      <c r="Q5" s="671"/>
      <c r="R5" s="671"/>
      <c r="S5" s="671"/>
      <c r="T5" s="671"/>
      <c r="U5" s="671"/>
      <c r="V5" s="671"/>
      <c r="W5" s="671"/>
      <c r="X5" s="671"/>
      <c r="Y5" s="671"/>
      <c r="Z5" s="671"/>
      <c r="AA5" s="671"/>
    </row>
    <row customHeight="true" ht="18.51851851851852" r="6">
      <c r="A6" s="671"/>
      <c r="B6" s="671"/>
      <c r="C6" s="671"/>
      <c r="D6" s="671"/>
      <c r="E6" s="671"/>
      <c r="F6" s="671"/>
      <c r="G6" s="671"/>
      <c r="H6" s="671">
        <f>E6*F6*D6</f>
      </c>
      <c r="I6" s="671"/>
      <c r="J6" s="671"/>
      <c r="K6" s="671"/>
      <c r="L6" s="671"/>
      <c r="M6" s="671"/>
      <c r="N6" s="671"/>
      <c r="O6" s="671"/>
      <c r="P6" s="671"/>
      <c r="Q6" s="671"/>
      <c r="R6" s="671"/>
      <c r="S6" s="671"/>
      <c r="T6" s="671"/>
      <c r="U6" s="671"/>
      <c r="V6" s="671"/>
      <c r="W6" s="671"/>
      <c r="X6" s="671"/>
      <c r="Y6" s="671"/>
      <c r="Z6" s="671"/>
      <c r="AA6" s="671"/>
    </row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  <legacyDrawing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3" min="13" style="0" width="17.4"/>
    <col collapsed="false" customWidth="true" hidden="false" max="17" min="17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5" min="15" style="0" width="17.4"/>
    <col collapsed="false" customWidth="true" hidden="false" max="19" min="19" style="0" width="17.93333333333333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</cols>
  <sheetData>
    <row customHeight="true" ht="18.51851851851852" r="1">
      <c r="A1" s="672" t="s">
        <v>1438</v>
      </c>
      <c r="B1" s="672" t="s">
        <v>1439</v>
      </c>
      <c r="C1" s="672" t="s">
        <v>1440</v>
      </c>
      <c r="D1" s="672" t="s">
        <v>1441</v>
      </c>
      <c r="E1" s="672" t="s">
        <v>1442</v>
      </c>
      <c r="F1" s="672" t="s">
        <v>1443</v>
      </c>
      <c r="G1" s="672" t="s">
        <v>1444</v>
      </c>
      <c r="H1" s="672" t="s">
        <v>1445</v>
      </c>
    </row>
    <row customHeight="true" ht="18.51851851851852" r="2"/>
    <row customHeight="true" ht="18.51851851851852" r="3"/>
    <row customHeight="true" ht="18.51851851851852" r="4"/>
    <row customHeight="true" ht="18.51851851851852" r="5"/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0" min="20" style="0" width="17.933333333333334"/>
    <col collapsed="false" customWidth="true" hidden="false" max="4" min="4" style="0" width="24.2"/>
    <col collapsed="false" customWidth="true" hidden="false" max="8" min="8" style="0" width="24.2"/>
    <col collapsed="false" customWidth="true" hidden="false" max="12" min="12" style="0" width="24.2"/>
    <col collapsed="false" customWidth="true" hidden="false" max="16" min="16" style="0" width="24.2"/>
    <col collapsed="false" customWidth="true" hidden="false" max="17" min="17" style="0" width="24.2"/>
    <col collapsed="false" customWidth="true" hidden="false" max="1" min="1" style="0" width="24.2"/>
    <col collapsed="false" customWidth="true" hidden="false" max="5" min="5" style="0" width="24.2"/>
    <col collapsed="false" customWidth="true" hidden="false" max="9" min="9" style="0" width="24.2"/>
    <col collapsed="false" customWidth="true" hidden="false" max="13" min="13" style="0" width="24.2"/>
    <col collapsed="false" customWidth="true" hidden="false" max="18" min="18" style="0" width="24.2"/>
    <col collapsed="false" customWidth="true" hidden="false" max="2" min="2" style="0" width="24.2"/>
    <col collapsed="false" customWidth="true" hidden="false" max="6" min="6" style="0" width="24.2"/>
    <col collapsed="false" customWidth="true" hidden="false" max="10" min="10" style="0" width="24.2"/>
    <col collapsed="false" customWidth="true" hidden="false" max="14" min="14" style="0" width="24.2"/>
    <col collapsed="false" customWidth="true" hidden="false" max="19" min="19" style="0" width="17.933333333333334"/>
    <col collapsed="false" customWidth="true" hidden="false" max="3" min="3" style="0" width="24.2"/>
    <col collapsed="false" customWidth="true" hidden="false" max="7" min="7" style="0" width="24.2"/>
    <col collapsed="false" customWidth="true" hidden="false" max="11" min="11" style="0" width="24.2"/>
    <col collapsed="false" customWidth="true" hidden="false" max="15" min="15" style="0" width="24.2"/>
  </cols>
  <sheetData>
    <row customHeight="true" ht="18.51851851851852" r="1">
      <c r="P1" s="673"/>
      <c r="Q1" s="673"/>
      <c r="R1" s="673"/>
    </row>
    <row customHeight="true" ht="18.51851851851852" r="2">
      <c r="A2" s="674"/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3"/>
      <c r="Q2" s="673"/>
      <c r="R2" s="673"/>
    </row>
    <row customHeight="true" ht="18.51851851851852" r="3">
      <c r="A3" s="675" t="s">
        <v>1446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3"/>
      <c r="Q3" s="673"/>
      <c r="R3" s="673"/>
    </row>
    <row customHeight="true" ht="18.51851851851852" r="4">
      <c r="A4" s="677" t="s">
        <v>1447</v>
      </c>
      <c r="B4" s="678">
        <v>45414</v>
      </c>
      <c r="C4" s="678">
        <v>45415</v>
      </c>
      <c r="D4" s="678">
        <v>45416</v>
      </c>
      <c r="E4" s="678">
        <v>45417</v>
      </c>
      <c r="F4" s="678">
        <v>45418</v>
      </c>
      <c r="G4" s="678">
        <v>45419</v>
      </c>
      <c r="H4" s="678">
        <v>45420</v>
      </c>
      <c r="I4" s="678">
        <v>45421</v>
      </c>
      <c r="J4" s="678">
        <v>45422</v>
      </c>
      <c r="K4" s="678">
        <v>45423</v>
      </c>
      <c r="L4" s="678">
        <v>45424</v>
      </c>
      <c r="M4" s="678">
        <v>45425</v>
      </c>
      <c r="N4" s="678">
        <v>45426</v>
      </c>
      <c r="O4" s="678">
        <v>45427</v>
      </c>
      <c r="P4" s="673"/>
      <c r="Q4" s="673"/>
      <c r="R4" s="673"/>
    </row>
    <row customHeight="true" ht="18.51851851851852" r="5">
      <c r="A5" s="677" t="s">
        <v>1448</v>
      </c>
      <c r="B5" s="677" t="s">
        <v>1449</v>
      </c>
      <c r="C5" s="677" t="s">
        <v>1450</v>
      </c>
      <c r="D5" s="677" t="s">
        <v>1451</v>
      </c>
      <c r="E5" s="677" t="s">
        <v>1452</v>
      </c>
      <c r="F5" s="677" t="s">
        <v>1453</v>
      </c>
      <c r="G5" s="677" t="s">
        <v>1454</v>
      </c>
      <c r="H5" s="677" t="s">
        <v>1455</v>
      </c>
      <c r="I5" s="677" t="s">
        <v>1449</v>
      </c>
      <c r="J5" s="677" t="s">
        <v>1450</v>
      </c>
      <c r="K5" s="677" t="s">
        <v>1451</v>
      </c>
      <c r="L5" s="677" t="s">
        <v>1452</v>
      </c>
      <c r="M5" s="677" t="s">
        <v>1453</v>
      </c>
      <c r="N5" s="677" t="s">
        <v>1454</v>
      </c>
      <c r="O5" s="677" t="s">
        <v>1455</v>
      </c>
      <c r="P5" s="673"/>
      <c r="Q5" s="673"/>
      <c r="R5" s="673"/>
    </row>
    <row customHeight="true" ht="18.51851851851852" r="6">
      <c r="A6" s="677" t="s">
        <v>1456</v>
      </c>
      <c r="B6" s="677">
        <v>1</v>
      </c>
      <c r="C6" s="677">
        <v>2</v>
      </c>
      <c r="D6" s="677">
        <v>2</v>
      </c>
      <c r="E6" s="677">
        <v>3</v>
      </c>
      <c r="F6" s="677">
        <v>3</v>
      </c>
      <c r="G6" s="677">
        <v>4</v>
      </c>
      <c r="H6" s="677">
        <v>6</v>
      </c>
      <c r="I6" s="677"/>
      <c r="J6" s="677"/>
      <c r="K6" s="677"/>
      <c r="L6" s="677"/>
      <c r="M6" s="677"/>
      <c r="N6" s="677"/>
      <c r="O6" s="677"/>
      <c r="P6" s="673"/>
      <c r="Q6" s="673"/>
      <c r="R6" s="673"/>
    </row>
    <row customHeight="true" ht="18.51851851851852" r="7">
      <c r="A7" s="677" t="s">
        <v>1457</v>
      </c>
      <c r="B7" s="679"/>
      <c r="C7" s="679"/>
      <c r="D7" s="679"/>
      <c r="E7" s="679"/>
      <c r="F7" s="679"/>
      <c r="G7" s="679"/>
      <c r="H7" s="679"/>
      <c r="I7" s="679"/>
      <c r="J7" s="679"/>
      <c r="K7" s="679"/>
      <c r="L7" s="679"/>
      <c r="M7" s="679"/>
      <c r="N7" s="679"/>
      <c r="O7" s="679"/>
      <c r="P7" s="673"/>
      <c r="Q7" s="673"/>
      <c r="R7" s="673"/>
    </row>
    <row customHeight="true" ht="18.51851851851852" r="8">
      <c r="A8" s="677" t="s">
        <v>1458</v>
      </c>
      <c r="B8" s="680">
        <v>0.15</v>
      </c>
      <c r="C8" s="680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680"/>
      <c r="O8" s="680"/>
      <c r="P8" s="673"/>
      <c r="Q8" s="673"/>
      <c r="R8" s="673"/>
    </row>
    <row customHeight="true" ht="18.51851851851852" r="9">
      <c r="A9" s="677" t="s">
        <v>1459</v>
      </c>
      <c r="B9" s="681">
        <v>0.12</v>
      </c>
      <c r="C9" s="681"/>
      <c r="D9" s="681"/>
      <c r="E9" s="681"/>
      <c r="F9" s="681"/>
      <c r="G9" s="681"/>
      <c r="H9" s="681"/>
      <c r="I9" s="681"/>
      <c r="J9" s="681"/>
      <c r="K9" s="681"/>
      <c r="L9" s="681"/>
      <c r="M9" s="681"/>
      <c r="N9" s="681"/>
      <c r="O9" s="681"/>
      <c r="P9" s="673"/>
      <c r="Q9" s="673"/>
      <c r="R9" s="673"/>
    </row>
    <row customHeight="true" ht="18.51851851851852" r="10">
      <c r="A10" s="677" t="s">
        <v>1460</v>
      </c>
      <c r="B10" s="682">
        <v>0.12</v>
      </c>
      <c r="C10" s="682">
        <v>0.13</v>
      </c>
      <c r="D10" s="682">
        <v>0.15</v>
      </c>
      <c r="E10" s="682">
        <v>0.15</v>
      </c>
      <c r="F10" s="682">
        <v>0.16</v>
      </c>
      <c r="G10" s="682">
        <v>0.16</v>
      </c>
      <c r="H10" s="682">
        <v>0.18</v>
      </c>
      <c r="I10" s="682"/>
      <c r="J10" s="682"/>
      <c r="K10" s="682"/>
      <c r="L10" s="682"/>
      <c r="M10" s="682"/>
      <c r="N10" s="682"/>
      <c r="O10" s="682"/>
      <c r="P10" s="673"/>
      <c r="Q10" s="673"/>
      <c r="R10" s="673"/>
    </row>
    <row customHeight="true" ht="18.51851851851852" r="11">
      <c r="A11" s="677" t="s">
        <v>1461</v>
      </c>
      <c r="B11" s="677"/>
      <c r="C11" s="677"/>
      <c r="D11" s="677"/>
      <c r="E11" s="677"/>
      <c r="F11" s="677"/>
      <c r="G11" s="677"/>
      <c r="H11" s="677"/>
      <c r="I11" s="677"/>
      <c r="J11" s="677"/>
      <c r="K11" s="677"/>
      <c r="L11" s="677"/>
      <c r="M11" s="677"/>
      <c r="N11" s="677"/>
      <c r="O11" s="677"/>
      <c r="P11" s="673"/>
      <c r="Q11" s="673"/>
      <c r="R11" s="673"/>
    </row>
    <row customHeight="true" ht="18.51851851851852" r="12">
      <c r="A12" s="677" t="s">
        <v>1462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677"/>
      <c r="O12" s="677"/>
      <c r="P12" s="673"/>
      <c r="Q12" s="673"/>
      <c r="R12" s="673"/>
    </row>
    <row customHeight="true" ht="18.51851851851852" r="13">
      <c r="A13" s="683"/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683"/>
      <c r="O13" s="683"/>
      <c r="P13" s="673"/>
      <c r="Q13" s="673"/>
      <c r="R13" s="673"/>
    </row>
    <row customHeight="true" ht="18.51851851851852" r="14">
      <c r="A14" s="674"/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4"/>
      <c r="N14" s="674"/>
      <c r="O14" s="674"/>
      <c r="P14" s="673"/>
      <c r="Q14" s="673"/>
      <c r="R14" s="673"/>
    </row>
    <row customHeight="true" ht="18.51851851851852" r="15">
      <c r="P15" s="674"/>
      <c r="Q15" s="674"/>
      <c r="R15" s="674"/>
    </row>
    <row customHeight="true" ht="18.51851851851852" r="16">
      <c r="P16" s="674"/>
      <c r="Q16" s="674"/>
      <c r="R16" s="674"/>
    </row>
    <row customHeight="true" ht="18.51851851851852" r="17">
      <c r="P17" s="674"/>
      <c r="Q17" s="674"/>
      <c r="R17" s="674"/>
    </row>
    <row customHeight="true" ht="18.51851851851852" r="18">
      <c r="P18" s="674"/>
      <c r="Q18" s="674"/>
      <c r="R18" s="674"/>
    </row>
    <row customHeight="true" ht="18.51851851851852" r="19">
      <c r="P19" s="674"/>
      <c r="Q19" s="674"/>
      <c r="R19" s="674"/>
    </row>
    <row customHeight="true" ht="18.51851851851852" r="20">
      <c r="A20" s="676" t="s">
        <v>1463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3"/>
      <c r="Q20" s="673"/>
      <c r="R20" s="673"/>
    </row>
    <row customHeight="true" ht="18.51851851851852" r="21">
      <c r="A21" s="677" t="s">
        <v>1447</v>
      </c>
      <c r="B21" s="678">
        <v>45414</v>
      </c>
      <c r="C21" s="678">
        <v>45415</v>
      </c>
      <c r="D21" s="678">
        <v>45416</v>
      </c>
      <c r="E21" s="678">
        <v>45417</v>
      </c>
      <c r="F21" s="678">
        <v>45418</v>
      </c>
      <c r="G21" s="678">
        <v>45419</v>
      </c>
      <c r="H21" s="678">
        <v>45420</v>
      </c>
      <c r="I21" s="678">
        <v>45421</v>
      </c>
      <c r="J21" s="678">
        <v>45422</v>
      </c>
      <c r="K21" s="678">
        <v>45423</v>
      </c>
      <c r="L21" s="678">
        <v>45424</v>
      </c>
      <c r="M21" s="678">
        <v>45425</v>
      </c>
      <c r="N21" s="678">
        <v>45426</v>
      </c>
      <c r="O21" s="678">
        <v>45427</v>
      </c>
      <c r="P21" s="673"/>
      <c r="Q21" s="673"/>
      <c r="R21" s="673"/>
    </row>
    <row customHeight="true" ht="18.51851851851852" r="22">
      <c r="A22" s="677" t="s">
        <v>1448</v>
      </c>
      <c r="B22" s="677" t="s">
        <v>1449</v>
      </c>
      <c r="C22" s="677" t="s">
        <v>1450</v>
      </c>
      <c r="D22" s="677" t="s">
        <v>1451</v>
      </c>
      <c r="E22" s="677" t="s">
        <v>1452</v>
      </c>
      <c r="F22" s="677" t="s">
        <v>1453</v>
      </c>
      <c r="G22" s="677" t="s">
        <v>1454</v>
      </c>
      <c r="H22" s="677" t="s">
        <v>1455</v>
      </c>
      <c r="I22" s="677" t="s">
        <v>1449</v>
      </c>
      <c r="J22" s="677" t="s">
        <v>1450</v>
      </c>
      <c r="K22" s="677" t="s">
        <v>1451</v>
      </c>
      <c r="L22" s="677" t="s">
        <v>1452</v>
      </c>
      <c r="M22" s="677" t="s">
        <v>1453</v>
      </c>
      <c r="N22" s="677" t="s">
        <v>1454</v>
      </c>
      <c r="O22" s="677" t="s">
        <v>1455</v>
      </c>
      <c r="P22" s="673"/>
      <c r="Q22" s="673"/>
      <c r="R22" s="673"/>
    </row>
    <row customHeight="true" ht="18.51851851851852" r="23">
      <c r="A23" s="677" t="s">
        <v>1456</v>
      </c>
      <c r="B23" s="677">
        <v>1</v>
      </c>
      <c r="C23" s="677">
        <v>2</v>
      </c>
      <c r="D23" s="677">
        <v>2</v>
      </c>
      <c r="E23" s="677">
        <v>3</v>
      </c>
      <c r="F23" s="677">
        <v>3</v>
      </c>
      <c r="G23" s="677">
        <v>4</v>
      </c>
      <c r="H23" s="677">
        <v>6</v>
      </c>
      <c r="I23" s="677"/>
      <c r="J23" s="677"/>
      <c r="K23" s="677"/>
      <c r="L23" s="677"/>
      <c r="M23" s="677"/>
      <c r="N23" s="677"/>
      <c r="O23" s="677"/>
      <c r="P23" s="673"/>
      <c r="Q23" s="673"/>
      <c r="R23" s="673"/>
    </row>
    <row customHeight="true" ht="18.51851851851852" r="24">
      <c r="A24" s="677" t="s">
        <v>1457</v>
      </c>
      <c r="B24" s="679"/>
      <c r="C24" s="679"/>
      <c r="D24" s="679"/>
      <c r="E24" s="679"/>
      <c r="F24" s="679"/>
      <c r="G24" s="679"/>
      <c r="H24" s="679"/>
      <c r="I24" s="679"/>
      <c r="J24" s="679"/>
      <c r="K24" s="679"/>
      <c r="L24" s="679"/>
      <c r="M24" s="679"/>
      <c r="N24" s="679"/>
      <c r="O24" s="679"/>
      <c r="P24" s="673"/>
      <c r="Q24" s="673"/>
      <c r="R24" s="673"/>
    </row>
    <row customHeight="true" ht="18.51851851851852" r="25">
      <c r="A25" s="677" t="s">
        <v>1458</v>
      </c>
      <c r="B25" s="680">
        <v>0.15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73"/>
      <c r="Q25" s="673"/>
      <c r="R25" s="673"/>
    </row>
    <row customHeight="true" ht="18.51851851851852" r="26">
      <c r="A26" s="677" t="s">
        <v>1459</v>
      </c>
      <c r="B26" s="681">
        <v>0.12</v>
      </c>
      <c r="C26" s="681"/>
      <c r="D26" s="681"/>
      <c r="E26" s="681"/>
      <c r="F26" s="681"/>
      <c r="G26" s="681"/>
      <c r="H26" s="681"/>
      <c r="I26" s="681"/>
      <c r="J26" s="681"/>
      <c r="K26" s="681"/>
      <c r="L26" s="681"/>
      <c r="M26" s="681"/>
      <c r="N26" s="681"/>
      <c r="O26" s="681"/>
      <c r="P26" s="673"/>
      <c r="Q26" s="673"/>
      <c r="R26" s="673"/>
    </row>
    <row customHeight="true" ht="18.51851851851852" r="27">
      <c r="A27" s="677" t="s">
        <v>1460</v>
      </c>
      <c r="B27" s="682">
        <v>0.12</v>
      </c>
      <c r="C27" s="682">
        <v>0.13</v>
      </c>
      <c r="D27" s="682">
        <v>0.15</v>
      </c>
      <c r="E27" s="682">
        <v>0.15</v>
      </c>
      <c r="F27" s="682">
        <v>0.16</v>
      </c>
      <c r="G27" s="682">
        <v>0.16</v>
      </c>
      <c r="H27" s="682">
        <v>0.18</v>
      </c>
      <c r="I27" s="682"/>
      <c r="J27" s="682"/>
      <c r="K27" s="682"/>
      <c r="L27" s="682"/>
      <c r="M27" s="682"/>
      <c r="N27" s="682"/>
      <c r="O27" s="682"/>
      <c r="P27" s="673"/>
      <c r="Q27" s="673"/>
      <c r="R27" s="673"/>
    </row>
    <row customHeight="true" ht="18.51851851851852" r="28">
      <c r="A28" s="677" t="s">
        <v>1461</v>
      </c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77"/>
      <c r="P28" s="673"/>
      <c r="Q28" s="673"/>
      <c r="R28" s="673"/>
    </row>
    <row customHeight="true" ht="18.51851851851852" r="29">
      <c r="A29" s="677" t="s">
        <v>1462</v>
      </c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77"/>
      <c r="P29" s="673"/>
      <c r="Q29" s="673"/>
      <c r="R29" s="673"/>
    </row>
  </sheetData>
  <mergeCells>
    <mergeCell ref="A3:O3"/>
    <mergeCell ref="B8:O8"/>
    <mergeCell ref="B9:O9"/>
    <mergeCell ref="A20:O20"/>
    <mergeCell ref="B25:O25"/>
    <mergeCell ref="B26:O26"/>
  </mergeCell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7.4"/>
    <col collapsed="false" customWidth="true" hidden="false" max="7" min="7" style="0" width="17.4"/>
    <col collapsed="false" customWidth="true" hidden="false" max="10" min="10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7.4"/>
    <col collapsed="false" customWidth="true" hidden="false" max="22" min="22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9" min="9" style="0" width="17.4"/>
    <col collapsed="false" customWidth="true" hidden="false" max="14" min="14" style="0" width="17.4"/>
    <col collapsed="false" customWidth="true" hidden="false" max="17" min="17" style="0" width="17.4"/>
    <col collapsed="false" customWidth="true" hidden="false" max="21" min="21" style="0" width="17.4"/>
    <col collapsed="false" customWidth="true" hidden="false" max="25" min="25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13" min="13" style="0" width="17.4"/>
    <col collapsed="false" customWidth="true" hidden="false" max="20" min="20" style="0" width="17.4"/>
    <col collapsed="false" customWidth="true" hidden="false" max="24" min="24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19" min="19" style="0" width="17.4"/>
    <col collapsed="false" customWidth="true" hidden="false" max="23" min="23" style="0" width="17.4"/>
  </cols>
  <sheetData>
    <row customHeight="true" ht="14.814814814814813" r="1">
      <c r="A1" s="684" t="s">
        <v>1464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5"/>
      <c r="X1" s="685"/>
      <c r="Y1" s="685"/>
    </row>
    <row customHeight="true" ht="14.814814814814813" r="2">
      <c r="A2" s="686" t="s">
        <v>1465</v>
      </c>
      <c r="B2" s="686" t="s">
        <v>1466</v>
      </c>
      <c r="C2" s="686" t="s">
        <v>1467</v>
      </c>
      <c r="D2" s="686" t="s">
        <v>1468</v>
      </c>
      <c r="E2" s="686" t="s">
        <v>1469</v>
      </c>
      <c r="F2" s="686" t="s">
        <v>1470</v>
      </c>
      <c r="G2" s="687" t="s">
        <v>1471</v>
      </c>
      <c r="H2" s="687"/>
      <c r="I2" s="687">
        <v>45779</v>
      </c>
      <c r="J2" s="687">
        <v>45780</v>
      </c>
      <c r="K2" s="687">
        <v>45781</v>
      </c>
      <c r="L2" s="687">
        <v>45782</v>
      </c>
      <c r="M2" s="687">
        <v>45783</v>
      </c>
      <c r="N2" s="687">
        <v>45784</v>
      </c>
      <c r="O2" s="687">
        <v>45785</v>
      </c>
      <c r="P2" s="687">
        <v>45786</v>
      </c>
      <c r="Q2" s="687">
        <v>45787</v>
      </c>
      <c r="R2" s="687">
        <v>45788</v>
      </c>
      <c r="S2" s="687">
        <v>45789</v>
      </c>
      <c r="T2" s="687">
        <v>45790</v>
      </c>
      <c r="U2" s="687">
        <v>45791</v>
      </c>
      <c r="V2" s="687">
        <v>45792</v>
      </c>
      <c r="W2" s="687">
        <v>45793</v>
      </c>
      <c r="X2" s="687">
        <v>45794</v>
      </c>
      <c r="Y2" s="687">
        <v>45795</v>
      </c>
    </row>
    <row customHeight="true" ht="14.814814814814813" r="3">
      <c r="A3" s="686" t="s">
        <v>1472</v>
      </c>
      <c r="B3" s="686"/>
      <c r="C3" s="686" t="s">
        <v>1473</v>
      </c>
      <c r="D3" s="686" t="s">
        <v>1474</v>
      </c>
      <c r="E3" s="686" t="s">
        <v>1475</v>
      </c>
      <c r="F3" s="686" t="s">
        <v>1476</v>
      </c>
      <c r="G3" s="686" t="s">
        <v>1477</v>
      </c>
      <c r="H3" s="686"/>
      <c r="I3" s="686" t="s">
        <v>1478</v>
      </c>
      <c r="J3" s="686" t="s">
        <v>1479</v>
      </c>
      <c r="K3" s="686" t="s">
        <v>1480</v>
      </c>
      <c r="L3" s="686" t="s">
        <v>1481</v>
      </c>
      <c r="M3" s="686" t="s">
        <v>1482</v>
      </c>
      <c r="N3" s="686" t="s">
        <v>1483</v>
      </c>
      <c r="O3" s="686" t="s">
        <v>1484</v>
      </c>
      <c r="P3" s="686" t="s">
        <v>1478</v>
      </c>
      <c r="Q3" s="686" t="s">
        <v>1479</v>
      </c>
      <c r="R3" s="686" t="s">
        <v>1480</v>
      </c>
      <c r="S3" s="686" t="s">
        <v>1481</v>
      </c>
      <c r="T3" s="686" t="s">
        <v>1482</v>
      </c>
      <c r="U3" s="686" t="s">
        <v>1483</v>
      </c>
      <c r="V3" s="686" t="s">
        <v>1484</v>
      </c>
      <c r="W3" s="686" t="s">
        <v>1484</v>
      </c>
      <c r="X3" s="686" t="s">
        <v>1484</v>
      </c>
      <c r="Y3" s="686" t="s">
        <v>1484</v>
      </c>
    </row>
    <row customHeight="true" ht="20" r="4">
      <c r="A4" s="686" t="s">
        <v>1485</v>
      </c>
      <c r="B4" s="686"/>
      <c r="C4" s="686"/>
      <c r="D4" s="686"/>
      <c r="E4" s="686"/>
      <c r="F4" s="686"/>
      <c r="G4" s="686"/>
      <c r="H4" s="688"/>
      <c r="I4" s="688" t="s">
        <v>1486</v>
      </c>
      <c r="J4" s="686"/>
      <c r="K4" s="686"/>
      <c r="L4" s="686"/>
      <c r="M4" s="686"/>
      <c r="N4" s="686"/>
      <c r="O4" s="686"/>
      <c r="P4" s="686"/>
      <c r="Q4" s="686"/>
      <c r="R4" s="686"/>
      <c r="S4" s="686"/>
      <c r="T4" s="686"/>
      <c r="U4" s="686"/>
      <c r="V4" s="686"/>
      <c r="W4" s="685"/>
      <c r="X4" s="685"/>
      <c r="Y4" s="685"/>
    </row>
    <row customHeight="true" ht="14.814814814814813" r="5">
      <c r="A5" s="686" t="s">
        <v>1487</v>
      </c>
      <c r="B5" s="686"/>
      <c r="C5" s="686"/>
      <c r="D5" s="686"/>
      <c r="E5" s="686"/>
      <c r="F5" s="686"/>
      <c r="G5" s="689"/>
      <c r="H5" s="689"/>
      <c r="I5" s="689"/>
      <c r="J5" s="689"/>
      <c r="K5" s="689"/>
      <c r="L5" s="689"/>
      <c r="M5" s="689"/>
      <c r="N5" s="689"/>
      <c r="O5" s="689"/>
      <c r="P5" s="689"/>
      <c r="Q5" s="689"/>
      <c r="R5" s="689"/>
      <c r="S5" s="689"/>
      <c r="T5" s="689"/>
      <c r="U5" s="689"/>
      <c r="V5" s="689"/>
      <c r="W5" s="685"/>
      <c r="X5" s="685"/>
      <c r="Y5" s="685"/>
    </row>
    <row customHeight="true" ht="14.814814814814813" r="6">
      <c r="A6" s="686"/>
      <c r="B6" s="686"/>
      <c r="C6" s="686"/>
      <c r="D6" s="686"/>
      <c r="E6" s="686"/>
      <c r="F6" s="686"/>
      <c r="G6" s="690"/>
      <c r="H6" s="690"/>
      <c r="I6" s="690"/>
      <c r="J6" s="690"/>
      <c r="K6" s="690"/>
      <c r="L6" s="690"/>
      <c r="M6" s="690"/>
      <c r="N6" s="690"/>
      <c r="O6" s="690"/>
      <c r="P6" s="690"/>
      <c r="Q6" s="690"/>
      <c r="R6" s="690"/>
      <c r="S6" s="690"/>
      <c r="T6" s="690"/>
      <c r="U6" s="690"/>
      <c r="V6" s="690"/>
      <c r="W6" s="685"/>
      <c r="X6" s="685"/>
      <c r="Y6" s="685"/>
    </row>
    <row customHeight="true" ht="14.814814814814813" r="7">
      <c r="A7" s="686"/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686"/>
      <c r="N7" s="686"/>
      <c r="O7" s="686"/>
      <c r="P7" s="686"/>
      <c r="Q7" s="686"/>
      <c r="R7" s="686"/>
      <c r="S7" s="686"/>
      <c r="T7" s="686"/>
      <c r="U7" s="686"/>
      <c r="V7" s="686"/>
      <c r="W7" s="685"/>
      <c r="X7" s="685"/>
      <c r="Y7" s="685"/>
    </row>
    <row customHeight="true" ht="14.814814814814813" r="8">
      <c r="A8" s="691" t="s">
        <v>1488</v>
      </c>
      <c r="B8" s="686"/>
      <c r="C8" s="686"/>
      <c r="D8" s="686"/>
      <c r="E8" s="686"/>
      <c r="F8" s="686"/>
      <c r="G8" s="686"/>
      <c r="H8" s="686"/>
      <c r="I8" s="686"/>
      <c r="J8" s="686"/>
      <c r="K8" s="686"/>
      <c r="L8" s="686"/>
      <c r="M8" s="686"/>
      <c r="N8" s="686"/>
      <c r="O8" s="686"/>
      <c r="P8" s="686"/>
      <c r="Q8" s="686"/>
      <c r="R8" s="686"/>
      <c r="S8" s="686"/>
      <c r="T8" s="686"/>
      <c r="U8" s="686"/>
      <c r="V8" s="686"/>
      <c r="W8" s="685"/>
      <c r="X8" s="685"/>
      <c r="Y8" s="685"/>
    </row>
    <row customHeight="true" ht="14.814814814814813" r="9">
      <c r="A9" s="686" t="s">
        <v>1473</v>
      </c>
      <c r="B9" s="692"/>
      <c r="C9" s="692">
        <v>10</v>
      </c>
      <c r="D9" s="692"/>
      <c r="E9" s="692"/>
      <c r="F9" s="692"/>
      <c r="G9" s="692">
        <v>0</v>
      </c>
      <c r="H9" s="692"/>
      <c r="I9" s="692"/>
      <c r="J9" s="692"/>
      <c r="K9" s="692"/>
      <c r="L9" s="692"/>
      <c r="M9" s="692"/>
      <c r="N9" s="692"/>
      <c r="O9" s="692"/>
      <c r="P9" s="692"/>
      <c r="Q9" s="692"/>
      <c r="R9" s="692"/>
      <c r="S9" s="692"/>
      <c r="T9" s="692"/>
      <c r="U9" s="692"/>
      <c r="V9" s="692"/>
      <c r="W9" s="685"/>
      <c r="X9" s="685"/>
      <c r="Y9" s="685"/>
    </row>
    <row customHeight="true" ht="14.814814814814813" r="10">
      <c r="A10" s="686" t="s">
        <v>1474</v>
      </c>
      <c r="B10" s="692"/>
      <c r="C10" s="692"/>
      <c r="D10" s="692">
        <v>2</v>
      </c>
      <c r="E10" s="692"/>
      <c r="F10" s="692"/>
      <c r="G10" s="692"/>
      <c r="H10" s="692"/>
      <c r="I10" s="692"/>
      <c r="J10" s="692"/>
      <c r="K10" s="692"/>
      <c r="L10" s="692"/>
      <c r="M10" s="692"/>
      <c r="N10" s="692"/>
      <c r="O10" s="692"/>
      <c r="P10" s="692"/>
      <c r="Q10" s="692"/>
      <c r="R10" s="692"/>
      <c r="S10" s="692"/>
      <c r="T10" s="692"/>
      <c r="U10" s="692"/>
      <c r="V10" s="692"/>
      <c r="W10" s="685"/>
      <c r="X10" s="685"/>
      <c r="Y10" s="685"/>
    </row>
    <row customHeight="true" ht="14.814814814814813" r="11">
      <c r="A11" s="686" t="s">
        <v>1475</v>
      </c>
      <c r="B11" s="692"/>
      <c r="C11" s="692"/>
      <c r="D11" s="692"/>
      <c r="E11" s="692">
        <v>10</v>
      </c>
      <c r="F11" s="692"/>
      <c r="G11" s="692"/>
      <c r="H11" s="692"/>
      <c r="I11" s="692"/>
      <c r="J11" s="692"/>
      <c r="K11" s="692"/>
      <c r="L11" s="692"/>
      <c r="M11" s="692"/>
      <c r="N11" s="692"/>
      <c r="O11" s="692"/>
      <c r="P11" s="692"/>
      <c r="Q11" s="692"/>
      <c r="R11" s="692"/>
      <c r="S11" s="692"/>
      <c r="T11" s="692"/>
      <c r="U11" s="692"/>
      <c r="V11" s="692"/>
      <c r="W11" s="685"/>
      <c r="X11" s="685"/>
      <c r="Y11" s="685"/>
    </row>
    <row customHeight="true" ht="14.814814814814813" r="12">
      <c r="A12" s="686" t="s">
        <v>1476</v>
      </c>
      <c r="B12" s="692"/>
      <c r="C12" s="692"/>
      <c r="D12" s="692"/>
      <c r="E12" s="692"/>
      <c r="F12" s="692">
        <v>10</v>
      </c>
      <c r="G12" s="692"/>
      <c r="H12" s="692"/>
      <c r="I12" s="692"/>
      <c r="J12" s="692"/>
      <c r="K12" s="692"/>
      <c r="L12" s="692"/>
      <c r="M12" s="692"/>
      <c r="N12" s="692"/>
      <c r="O12" s="692"/>
      <c r="P12" s="692"/>
      <c r="Q12" s="692"/>
      <c r="R12" s="692"/>
      <c r="S12" s="692"/>
      <c r="T12" s="692"/>
      <c r="U12" s="692"/>
      <c r="V12" s="692"/>
      <c r="W12" s="685"/>
      <c r="X12" s="685"/>
      <c r="Y12" s="685"/>
    </row>
    <row customHeight="true" ht="14.814814814814813" r="13">
      <c r="A13" s="686" t="s">
        <v>1489</v>
      </c>
      <c r="B13" s="692"/>
      <c r="C13" s="692"/>
      <c r="D13" s="692"/>
      <c r="E13" s="692"/>
      <c r="F13" s="692"/>
      <c r="G13" s="692"/>
      <c r="H13" s="692"/>
      <c r="I13" s="692"/>
      <c r="J13" s="692"/>
      <c r="K13" s="692"/>
      <c r="L13" s="692"/>
      <c r="M13" s="692"/>
      <c r="N13" s="692"/>
      <c r="O13" s="692"/>
      <c r="P13" s="692"/>
      <c r="Q13" s="692"/>
      <c r="R13" s="692"/>
      <c r="S13" s="692"/>
      <c r="T13" s="692"/>
      <c r="U13" s="692"/>
      <c r="V13" s="692"/>
      <c r="W13" s="685"/>
      <c r="X13" s="685"/>
      <c r="Y13" s="685"/>
    </row>
    <row customHeight="true" ht="14.814814814814813" r="14">
      <c r="A14" s="686"/>
      <c r="B14" s="685"/>
      <c r="C14" s="685"/>
      <c r="D14" s="685"/>
      <c r="E14" s="685"/>
      <c r="F14" s="685"/>
      <c r="G14" s="685"/>
      <c r="H14" s="685"/>
      <c r="I14" s="685"/>
      <c r="J14" s="685"/>
      <c r="K14" s="685"/>
      <c r="L14" s="685"/>
      <c r="M14" s="685"/>
      <c r="N14" s="685"/>
      <c r="O14" s="685"/>
      <c r="P14" s="685"/>
      <c r="Q14" s="685"/>
      <c r="R14" s="685"/>
      <c r="S14" s="685"/>
      <c r="T14" s="685"/>
      <c r="U14" s="685"/>
      <c r="V14" s="685"/>
      <c r="W14" s="685"/>
      <c r="X14" s="685"/>
      <c r="Y14" s="685"/>
    </row>
    <row customHeight="true" ht="14.814814814814813" r="15">
      <c r="A15" s="691" t="s">
        <v>1490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686"/>
      <c r="O15" s="686"/>
      <c r="P15" s="686"/>
      <c r="Q15" s="686"/>
      <c r="R15" s="686"/>
      <c r="S15" s="686"/>
      <c r="T15" s="686"/>
      <c r="U15" s="686"/>
      <c r="V15" s="686"/>
      <c r="W15" s="685"/>
      <c r="X15" s="685"/>
      <c r="Y15" s="685"/>
    </row>
    <row customHeight="true" ht="14.814814814814813" r="16">
      <c r="A16" s="686" t="s">
        <v>1491</v>
      </c>
      <c r="B16" s="692"/>
      <c r="C16" s="692">
        <v>0</v>
      </c>
      <c r="D16" s="692">
        <v>0</v>
      </c>
      <c r="E16" s="692">
        <v>0</v>
      </c>
      <c r="F16" s="692">
        <v>0</v>
      </c>
      <c r="G16" s="692">
        <v>0</v>
      </c>
      <c r="H16" s="692"/>
      <c r="I16" s="692"/>
      <c r="J16" s="692"/>
      <c r="K16" s="692"/>
      <c r="L16" s="692"/>
      <c r="M16" s="692"/>
      <c r="N16" s="692"/>
      <c r="O16" s="692"/>
      <c r="P16" s="692"/>
      <c r="Q16" s="692"/>
      <c r="R16" s="692"/>
      <c r="S16" s="692"/>
      <c r="T16" s="692"/>
      <c r="U16" s="692"/>
      <c r="V16" s="692"/>
      <c r="W16" s="685"/>
      <c r="X16" s="685"/>
      <c r="Y16" s="685"/>
    </row>
    <row customHeight="true" ht="14.814814814814813" r="17">
      <c r="A17" s="686" t="s">
        <v>1473</v>
      </c>
      <c r="B17" s="692"/>
      <c r="C17" s="692"/>
      <c r="D17" s="692"/>
      <c r="E17" s="692"/>
      <c r="F17" s="692"/>
      <c r="G17" s="692"/>
      <c r="H17" s="692"/>
      <c r="I17" s="692"/>
      <c r="J17" s="692"/>
      <c r="K17" s="692"/>
      <c r="L17" s="692"/>
      <c r="M17" s="692"/>
      <c r="N17" s="692"/>
      <c r="O17" s="692"/>
      <c r="P17" s="692"/>
      <c r="Q17" s="692"/>
      <c r="R17" s="692"/>
      <c r="S17" s="692"/>
      <c r="T17" s="692"/>
      <c r="U17" s="692"/>
      <c r="V17" s="692"/>
      <c r="W17" s="685"/>
      <c r="X17" s="685"/>
      <c r="Y17" s="685"/>
    </row>
    <row customHeight="true" ht="14.814814814814813" r="18">
      <c r="A18" s="686" t="s">
        <v>1474</v>
      </c>
      <c r="B18" s="692"/>
      <c r="C18" s="692"/>
      <c r="D18" s="692"/>
      <c r="E18" s="692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2"/>
      <c r="Q18" s="692"/>
      <c r="R18" s="692"/>
      <c r="S18" s="692"/>
      <c r="T18" s="692"/>
      <c r="U18" s="692"/>
      <c r="V18" s="692"/>
      <c r="W18" s="685"/>
      <c r="X18" s="685"/>
      <c r="Y18" s="685"/>
    </row>
    <row customHeight="true" ht="14.814814814814813" r="19">
      <c r="A19" s="686" t="s">
        <v>1475</v>
      </c>
      <c r="B19" s="692"/>
      <c r="C19" s="692"/>
      <c r="D19" s="692"/>
      <c r="E19" s="692"/>
      <c r="F19" s="692"/>
      <c r="G19" s="692"/>
      <c r="H19" s="692"/>
      <c r="I19" s="692"/>
      <c r="J19" s="692"/>
      <c r="K19" s="692"/>
      <c r="L19" s="692"/>
      <c r="M19" s="692"/>
      <c r="N19" s="692"/>
      <c r="O19" s="692"/>
      <c r="P19" s="692"/>
      <c r="Q19" s="692"/>
      <c r="R19" s="692"/>
      <c r="S19" s="692"/>
      <c r="T19" s="692"/>
      <c r="U19" s="692"/>
      <c r="V19" s="692"/>
      <c r="W19" s="685"/>
      <c r="X19" s="685"/>
      <c r="Y19" s="685"/>
    </row>
    <row customHeight="true" ht="14.814814814814813" r="20">
      <c r="A20" s="686" t="s">
        <v>1476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  <c r="U20" s="692"/>
      <c r="V20" s="692"/>
      <c r="W20" s="685"/>
      <c r="X20" s="685"/>
      <c r="Y20" s="685"/>
    </row>
    <row customHeight="true" ht="14.814814814814813" r="21">
      <c r="A21" s="686" t="s">
        <v>1489</v>
      </c>
      <c r="B21" s="692"/>
      <c r="C21" s="692"/>
      <c r="D21" s="692"/>
      <c r="E21" s="692"/>
      <c r="F21" s="692"/>
      <c r="G21" s="692"/>
      <c r="H21" s="692"/>
      <c r="I21" s="692"/>
      <c r="J21" s="692"/>
      <c r="K21" s="692"/>
      <c r="L21" s="692"/>
      <c r="M21" s="692"/>
      <c r="N21" s="692"/>
      <c r="O21" s="692"/>
      <c r="P21" s="692"/>
      <c r="Q21" s="692"/>
      <c r="R21" s="692"/>
      <c r="S21" s="692"/>
      <c r="T21" s="692"/>
      <c r="U21" s="692"/>
      <c r="V21" s="692"/>
      <c r="W21" s="685"/>
      <c r="X21" s="685"/>
      <c r="Y21" s="685"/>
    </row>
  </sheetData>
  <mergeCells>
    <mergeCell ref="A1:V1"/>
  </mergeCell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24.2"/>
    <col collapsed="false" customWidth="true" hidden="false" max="7" min="7" style="0" width="24.2"/>
    <col collapsed="false" customWidth="true" hidden="false" max="11" min="11" style="0" width="24.2"/>
    <col collapsed="false" customWidth="true" hidden="false" max="15" min="15" style="0" width="24.2"/>
    <col collapsed="false" customWidth="true" hidden="false" max="19" min="19" style="0" width="17.933333333333334"/>
    <col collapsed="false" customWidth="true" hidden="false" max="2" min="2" style="0" width="24.2"/>
    <col collapsed="false" customWidth="true" hidden="false" max="6" min="6" style="0" width="24.2"/>
    <col collapsed="false" customWidth="true" hidden="false" max="10" min="10" style="0" width="24.2"/>
    <col collapsed="false" customWidth="true" hidden="false" max="14" min="14" style="0" width="24.2"/>
    <col collapsed="false" customWidth="true" hidden="false" max="18" min="18" style="0" width="24.2"/>
    <col collapsed="false" customWidth="true" hidden="false" max="1" min="1" style="0" width="24.2"/>
    <col collapsed="false" customWidth="true" hidden="false" max="5" min="5" style="0" width="24.2"/>
    <col collapsed="false" customWidth="true" hidden="false" max="9" min="9" style="0" width="24.2"/>
    <col collapsed="false" customWidth="true" hidden="false" max="13" min="13" style="0" width="24.2"/>
    <col collapsed="false" customWidth="true" hidden="false" max="17" min="17" style="0" width="24.2"/>
    <col collapsed="false" customWidth="true" hidden="false" max="4" min="4" style="0" width="24.2"/>
    <col collapsed="false" customWidth="true" hidden="false" max="8" min="8" style="0" width="24.2"/>
    <col collapsed="false" customWidth="true" hidden="false" max="12" min="12" style="0" width="24.2"/>
    <col collapsed="false" customWidth="true" hidden="false" max="16" min="16" style="0" width="24.2"/>
    <col collapsed="false" customWidth="true" hidden="false" max="20" min="20" style="0" width="17.933333333333334"/>
  </cols>
  <sheetData>
    <row customHeight="true" ht="18.51851851851852" r="1">
      <c r="P1" s="693"/>
      <c r="Q1" s="693"/>
      <c r="R1" s="693"/>
    </row>
    <row customHeight="true" ht="18.51851851851852" r="2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3"/>
      <c r="Q2" s="693"/>
      <c r="R2" s="693"/>
    </row>
    <row customHeight="true" ht="18.51851851851852" r="3">
      <c r="A3" s="695" t="s">
        <v>1492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3"/>
      <c r="Q3" s="693"/>
      <c r="R3" s="693"/>
    </row>
    <row customHeight="true" ht="18.51851851851852" r="4">
      <c r="A4" s="697" t="s">
        <v>1493</v>
      </c>
      <c r="B4" s="698">
        <v>45414</v>
      </c>
      <c r="C4" s="698">
        <v>45415</v>
      </c>
      <c r="D4" s="698">
        <v>45416</v>
      </c>
      <c r="E4" s="698">
        <v>45417</v>
      </c>
      <c r="F4" s="698">
        <v>45418</v>
      </c>
      <c r="G4" s="698">
        <v>45419</v>
      </c>
      <c r="H4" s="698">
        <v>45420</v>
      </c>
      <c r="I4" s="698">
        <v>45421</v>
      </c>
      <c r="J4" s="698">
        <v>45422</v>
      </c>
      <c r="K4" s="698">
        <v>45423</v>
      </c>
      <c r="L4" s="698">
        <v>45424</v>
      </c>
      <c r="M4" s="698">
        <v>45425</v>
      </c>
      <c r="N4" s="698">
        <v>45426</v>
      </c>
      <c r="O4" s="698">
        <v>45427</v>
      </c>
      <c r="P4" s="693"/>
      <c r="Q4" s="693"/>
      <c r="R4" s="693"/>
    </row>
    <row customHeight="true" ht="18.51851851851852" r="5">
      <c r="A5" s="697" t="s">
        <v>1494</v>
      </c>
      <c r="B5" s="697" t="s">
        <v>1495</v>
      </c>
      <c r="C5" s="697" t="s">
        <v>1496</v>
      </c>
      <c r="D5" s="697" t="s">
        <v>1497</v>
      </c>
      <c r="E5" s="697" t="s">
        <v>1498</v>
      </c>
      <c r="F5" s="697" t="s">
        <v>1499</v>
      </c>
      <c r="G5" s="697" t="s">
        <v>1500</v>
      </c>
      <c r="H5" s="697" t="s">
        <v>1501</v>
      </c>
      <c r="I5" s="697" t="s">
        <v>1495</v>
      </c>
      <c r="J5" s="697" t="s">
        <v>1496</v>
      </c>
      <c r="K5" s="697" t="s">
        <v>1497</v>
      </c>
      <c r="L5" s="697" t="s">
        <v>1498</v>
      </c>
      <c r="M5" s="697" t="s">
        <v>1499</v>
      </c>
      <c r="N5" s="697" t="s">
        <v>1500</v>
      </c>
      <c r="O5" s="697" t="s">
        <v>1501</v>
      </c>
      <c r="P5" s="693"/>
      <c r="Q5" s="693"/>
      <c r="R5" s="693"/>
    </row>
    <row customHeight="true" ht="18.51851851851852" r="6">
      <c r="A6" s="697" t="s">
        <v>1502</v>
      </c>
      <c r="B6" s="697">
        <v>1</v>
      </c>
      <c r="C6" s="697">
        <v>2</v>
      </c>
      <c r="D6" s="697">
        <v>2</v>
      </c>
      <c r="E6" s="697">
        <v>3</v>
      </c>
      <c r="F6" s="697">
        <v>3</v>
      </c>
      <c r="G6" s="697">
        <v>4</v>
      </c>
      <c r="H6" s="697">
        <v>6</v>
      </c>
      <c r="I6" s="697"/>
      <c r="J6" s="697"/>
      <c r="K6" s="697"/>
      <c r="L6" s="697"/>
      <c r="M6" s="697"/>
      <c r="N6" s="697"/>
      <c r="O6" s="697"/>
      <c r="P6" s="693"/>
      <c r="Q6" s="693"/>
      <c r="R6" s="693"/>
    </row>
    <row customHeight="true" ht="18.51851851851852" r="7">
      <c r="A7" s="697" t="s">
        <v>1503</v>
      </c>
      <c r="B7" s="699"/>
      <c r="C7" s="699"/>
      <c r="D7" s="699"/>
      <c r="E7" s="699"/>
      <c r="F7" s="699"/>
      <c r="G7" s="699"/>
      <c r="H7" s="699"/>
      <c r="I7" s="699"/>
      <c r="J7" s="699"/>
      <c r="K7" s="699"/>
      <c r="L7" s="699"/>
      <c r="M7" s="699"/>
      <c r="N7" s="699"/>
      <c r="O7" s="699"/>
      <c r="P7" s="693"/>
      <c r="Q7" s="693"/>
      <c r="R7" s="693"/>
    </row>
    <row customHeight="true" ht="18.51851851851852" r="8">
      <c r="A8" s="697" t="s">
        <v>1504</v>
      </c>
      <c r="B8" s="700">
        <v>0.15</v>
      </c>
      <c r="C8" s="700"/>
      <c r="D8" s="700"/>
      <c r="E8" s="700"/>
      <c r="F8" s="700"/>
      <c r="G8" s="700"/>
      <c r="H8" s="700"/>
      <c r="I8" s="700"/>
      <c r="J8" s="700"/>
      <c r="K8" s="700"/>
      <c r="L8" s="700"/>
      <c r="M8" s="700"/>
      <c r="N8" s="700"/>
      <c r="O8" s="700"/>
      <c r="P8" s="693"/>
      <c r="Q8" s="693"/>
      <c r="R8" s="693"/>
    </row>
    <row customHeight="true" ht="18.51851851851852" r="9">
      <c r="A9" s="697" t="s">
        <v>1505</v>
      </c>
      <c r="B9" s="701">
        <v>0.12</v>
      </c>
      <c r="C9" s="701"/>
      <c r="D9" s="701"/>
      <c r="E9" s="701"/>
      <c r="F9" s="701"/>
      <c r="G9" s="701"/>
      <c r="H9" s="701"/>
      <c r="I9" s="701"/>
      <c r="J9" s="701"/>
      <c r="K9" s="701"/>
      <c r="L9" s="701"/>
      <c r="M9" s="701"/>
      <c r="N9" s="701"/>
      <c r="O9" s="701"/>
      <c r="P9" s="693"/>
      <c r="Q9" s="693"/>
      <c r="R9" s="693"/>
    </row>
    <row customHeight="true" ht="18.51851851851852" r="10">
      <c r="A10" s="697" t="s">
        <v>1506</v>
      </c>
      <c r="B10" s="702">
        <v>0.12</v>
      </c>
      <c r="C10" s="702">
        <v>0.13</v>
      </c>
      <c r="D10" s="702">
        <v>0.15</v>
      </c>
      <c r="E10" s="702">
        <v>0.15</v>
      </c>
      <c r="F10" s="702">
        <v>0.16</v>
      </c>
      <c r="G10" s="702">
        <v>0.16</v>
      </c>
      <c r="H10" s="702">
        <v>0.18</v>
      </c>
      <c r="I10" s="702"/>
      <c r="J10" s="702"/>
      <c r="K10" s="702"/>
      <c r="L10" s="702"/>
      <c r="M10" s="702"/>
      <c r="N10" s="702"/>
      <c r="O10" s="702"/>
      <c r="P10" s="693"/>
      <c r="Q10" s="693"/>
      <c r="R10" s="693"/>
    </row>
    <row customHeight="true" ht="18.51851851851852" r="11">
      <c r="A11" s="697" t="s">
        <v>1507</v>
      </c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697"/>
      <c r="P11" s="693"/>
      <c r="Q11" s="693"/>
      <c r="R11" s="693"/>
    </row>
    <row customHeight="true" ht="18.51851851851852" r="12">
      <c r="A12" s="697" t="s">
        <v>1508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7"/>
      <c r="N12" s="697"/>
      <c r="O12" s="697"/>
      <c r="P12" s="693"/>
      <c r="Q12" s="693"/>
      <c r="R12" s="693"/>
    </row>
    <row customHeight="true" ht="18.51851851851852" r="13">
      <c r="A13" s="703"/>
      <c r="B13" s="703"/>
      <c r="C13" s="703"/>
      <c r="D13" s="703"/>
      <c r="E13" s="703"/>
      <c r="F13" s="703"/>
      <c r="G13" s="703"/>
      <c r="H13" s="703"/>
      <c r="I13" s="703"/>
      <c r="J13" s="703"/>
      <c r="K13" s="703"/>
      <c r="L13" s="703"/>
      <c r="M13" s="703"/>
      <c r="N13" s="703"/>
      <c r="O13" s="703"/>
      <c r="P13" s="693"/>
      <c r="Q13" s="693"/>
      <c r="R13" s="693"/>
    </row>
    <row customHeight="true" ht="18.51851851851852" r="14">
      <c r="A14" s="694"/>
      <c r="B14" s="694"/>
      <c r="C14" s="694"/>
      <c r="D14" s="694"/>
      <c r="E14" s="694"/>
      <c r="F14" s="694"/>
      <c r="G14" s="694"/>
      <c r="H14" s="694"/>
      <c r="I14" s="694"/>
      <c r="J14" s="694"/>
      <c r="K14" s="694"/>
      <c r="L14" s="694"/>
      <c r="M14" s="694"/>
      <c r="N14" s="694"/>
      <c r="O14" s="694"/>
      <c r="P14" s="693"/>
      <c r="Q14" s="693"/>
      <c r="R14" s="693"/>
    </row>
    <row customHeight="true" ht="18.51851851851852" r="15">
      <c r="P15" s="694"/>
      <c r="Q15" s="694"/>
      <c r="R15" s="694"/>
    </row>
    <row customHeight="true" ht="18.51851851851852" r="16">
      <c r="P16" s="694"/>
      <c r="Q16" s="694"/>
      <c r="R16" s="694"/>
    </row>
    <row customHeight="true" ht="18.51851851851852" r="17">
      <c r="P17" s="694"/>
      <c r="Q17" s="694"/>
      <c r="R17" s="694"/>
    </row>
    <row customHeight="true" ht="18.51851851851852" r="18">
      <c r="P18" s="694"/>
      <c r="Q18" s="694"/>
      <c r="R18" s="694"/>
    </row>
    <row customHeight="true" ht="18.51851851851852" r="19">
      <c r="P19" s="694"/>
      <c r="Q19" s="694"/>
      <c r="R19" s="694"/>
    </row>
    <row customHeight="true" ht="18.51851851851852" r="20">
      <c r="A20" s="695" t="s">
        <v>1492</v>
      </c>
      <c r="B20" s="696"/>
      <c r="C20" s="696"/>
      <c r="D20" s="696"/>
      <c r="E20" s="696"/>
      <c r="F20" s="696"/>
      <c r="G20" s="696"/>
      <c r="H20" s="696"/>
      <c r="I20" s="696"/>
      <c r="J20" s="696"/>
      <c r="K20" s="696"/>
      <c r="L20" s="696"/>
      <c r="M20" s="696"/>
      <c r="N20" s="696"/>
      <c r="O20" s="696"/>
      <c r="P20" s="693"/>
      <c r="Q20" s="693"/>
      <c r="R20" s="693"/>
    </row>
    <row customHeight="true" ht="18.51851851851852" r="21">
      <c r="A21" s="697" t="s">
        <v>1493</v>
      </c>
      <c r="B21" s="698">
        <v>45414</v>
      </c>
      <c r="C21" s="698">
        <v>45415</v>
      </c>
      <c r="D21" s="698">
        <v>45416</v>
      </c>
      <c r="E21" s="698">
        <v>45417</v>
      </c>
      <c r="F21" s="698">
        <v>45418</v>
      </c>
      <c r="G21" s="698">
        <v>45419</v>
      </c>
      <c r="H21" s="698">
        <v>45420</v>
      </c>
      <c r="I21" s="698">
        <v>45421</v>
      </c>
      <c r="J21" s="698">
        <v>45422</v>
      </c>
      <c r="K21" s="698">
        <v>45423</v>
      </c>
      <c r="L21" s="698">
        <v>45424</v>
      </c>
      <c r="M21" s="698">
        <v>45425</v>
      </c>
      <c r="N21" s="698">
        <v>45426</v>
      </c>
      <c r="O21" s="698">
        <v>45427</v>
      </c>
      <c r="P21" s="693"/>
      <c r="Q21" s="693"/>
      <c r="R21" s="693"/>
    </row>
    <row customHeight="true" ht="18.51851851851852" r="22">
      <c r="A22" s="697" t="s">
        <v>1494</v>
      </c>
      <c r="B22" s="697" t="s">
        <v>1495</v>
      </c>
      <c r="C22" s="697" t="s">
        <v>1496</v>
      </c>
      <c r="D22" s="697" t="s">
        <v>1497</v>
      </c>
      <c r="E22" s="697" t="s">
        <v>1498</v>
      </c>
      <c r="F22" s="697" t="s">
        <v>1499</v>
      </c>
      <c r="G22" s="697" t="s">
        <v>1500</v>
      </c>
      <c r="H22" s="697" t="s">
        <v>1501</v>
      </c>
      <c r="I22" s="697" t="s">
        <v>1495</v>
      </c>
      <c r="J22" s="697" t="s">
        <v>1496</v>
      </c>
      <c r="K22" s="697" t="s">
        <v>1497</v>
      </c>
      <c r="L22" s="697" t="s">
        <v>1498</v>
      </c>
      <c r="M22" s="697" t="s">
        <v>1499</v>
      </c>
      <c r="N22" s="697" t="s">
        <v>1500</v>
      </c>
      <c r="O22" s="697" t="s">
        <v>1501</v>
      </c>
      <c r="P22" s="693"/>
      <c r="Q22" s="693"/>
      <c r="R22" s="693"/>
    </row>
    <row customHeight="true" ht="18.51851851851852" r="23">
      <c r="A23" s="697" t="s">
        <v>1502</v>
      </c>
      <c r="B23" s="697">
        <v>1</v>
      </c>
      <c r="C23" s="697">
        <v>2</v>
      </c>
      <c r="D23" s="697">
        <v>2</v>
      </c>
      <c r="E23" s="697">
        <v>3</v>
      </c>
      <c r="F23" s="697">
        <v>3</v>
      </c>
      <c r="G23" s="697">
        <v>4</v>
      </c>
      <c r="H23" s="697">
        <v>6</v>
      </c>
      <c r="I23" s="697"/>
      <c r="J23" s="697"/>
      <c r="K23" s="697"/>
      <c r="L23" s="697"/>
      <c r="M23" s="697"/>
      <c r="N23" s="697"/>
      <c r="O23" s="697"/>
      <c r="P23" s="693"/>
      <c r="Q23" s="693"/>
      <c r="R23" s="693"/>
    </row>
    <row customHeight="true" ht="18.51851851851852" r="24">
      <c r="A24" s="697" t="s">
        <v>1503</v>
      </c>
      <c r="B24" s="699"/>
      <c r="C24" s="699"/>
      <c r="D24" s="699"/>
      <c r="E24" s="699"/>
      <c r="F24" s="699"/>
      <c r="G24" s="699"/>
      <c r="H24" s="699"/>
      <c r="I24" s="699"/>
      <c r="J24" s="699"/>
      <c r="K24" s="699"/>
      <c r="L24" s="699"/>
      <c r="M24" s="699"/>
      <c r="N24" s="699"/>
      <c r="O24" s="699"/>
      <c r="P24" s="693"/>
      <c r="Q24" s="693"/>
      <c r="R24" s="693"/>
    </row>
    <row customHeight="true" ht="18.51851851851852" r="25">
      <c r="A25" s="697" t="s">
        <v>1504</v>
      </c>
      <c r="B25" s="700">
        <v>0.15</v>
      </c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0"/>
      <c r="P25" s="693"/>
      <c r="Q25" s="693"/>
      <c r="R25" s="693"/>
    </row>
    <row customHeight="true" ht="18.51851851851852" r="26">
      <c r="A26" s="697" t="s">
        <v>1505</v>
      </c>
      <c r="B26" s="701">
        <v>0.12</v>
      </c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693"/>
      <c r="Q26" s="693"/>
      <c r="R26" s="693"/>
    </row>
    <row customHeight="true" ht="18.51851851851852" r="27">
      <c r="A27" s="697" t="s">
        <v>1506</v>
      </c>
      <c r="B27" s="702">
        <v>0.12</v>
      </c>
      <c r="C27" s="702">
        <v>0.13</v>
      </c>
      <c r="D27" s="702">
        <v>0.15</v>
      </c>
      <c r="E27" s="702">
        <v>0.15</v>
      </c>
      <c r="F27" s="702">
        <v>0.16</v>
      </c>
      <c r="G27" s="702">
        <v>0.16</v>
      </c>
      <c r="H27" s="702">
        <v>0.18</v>
      </c>
      <c r="I27" s="702"/>
      <c r="J27" s="702"/>
      <c r="K27" s="702"/>
      <c r="L27" s="702"/>
      <c r="M27" s="702"/>
      <c r="N27" s="702"/>
      <c r="O27" s="702"/>
      <c r="P27" s="693"/>
      <c r="Q27" s="693"/>
      <c r="R27" s="693"/>
    </row>
    <row customHeight="true" ht="18.51851851851852" r="28">
      <c r="A28" s="697" t="s">
        <v>1507</v>
      </c>
      <c r="B28" s="697"/>
      <c r="C28" s="697"/>
      <c r="D28" s="697"/>
      <c r="E28" s="697"/>
      <c r="F28" s="697"/>
      <c r="G28" s="697"/>
      <c r="H28" s="697"/>
      <c r="I28" s="697"/>
      <c r="J28" s="697"/>
      <c r="K28" s="697"/>
      <c r="L28" s="697"/>
      <c r="M28" s="697"/>
      <c r="N28" s="697"/>
      <c r="O28" s="697"/>
      <c r="P28" s="693"/>
      <c r="Q28" s="693"/>
      <c r="R28" s="693"/>
    </row>
    <row customHeight="true" ht="18.51851851851852" r="29">
      <c r="A29" s="697" t="s">
        <v>1508</v>
      </c>
      <c r="B29" s="697"/>
      <c r="C29" s="697"/>
      <c r="D29" s="697"/>
      <c r="E29" s="697"/>
      <c r="F29" s="697"/>
      <c r="G29" s="697"/>
      <c r="H29" s="697"/>
      <c r="I29" s="697"/>
      <c r="J29" s="697"/>
      <c r="K29" s="697"/>
      <c r="L29" s="697"/>
      <c r="M29" s="697"/>
      <c r="N29" s="697"/>
      <c r="O29" s="697"/>
      <c r="P29" s="693"/>
      <c r="Q29" s="693"/>
      <c r="R29" s="693"/>
    </row>
  </sheetData>
  <mergeCells>
    <mergeCell ref="A3:O3"/>
    <mergeCell ref="B8:O8"/>
    <mergeCell ref="B9:O9"/>
    <mergeCell ref="A20:O20"/>
    <mergeCell ref="B25:O25"/>
    <mergeCell ref="B26:O26"/>
  </mergeCells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7.933333333333334"/>
  </cols>
  <sheetData>
    <row customHeight="true" ht="18.51851851851852" r="1">
      <c r="A1" s="704" t="s">
        <v>1509</v>
      </c>
      <c r="B1" s="704" t="s">
        <v>1510</v>
      </c>
      <c r="C1" s="704" t="s">
        <v>1511</v>
      </c>
      <c r="D1" s="705" t="s">
        <v>1512</v>
      </c>
      <c r="E1" s="705" t="s">
        <v>1513</v>
      </c>
      <c r="F1" s="705" t="s">
        <v>1514</v>
      </c>
      <c r="G1" s="705" t="s">
        <v>1515</v>
      </c>
      <c r="H1" s="705" t="s">
        <v>1516</v>
      </c>
      <c r="I1" s="705" t="s">
        <v>1517</v>
      </c>
    </row>
    <row customHeight="true" ht="18.51851851851852" r="2"/>
    <row customHeight="true" ht="18.51851851851852" r="3"/>
    <row customHeight="true" ht="18.51851851851852" r="4"/>
    <row customHeight="true" ht="18.51851851851852" r="5"/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8" min="18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7" min="17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19" min="19" style="0" width="17.93333333333333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5" min="15" style="0" width="17.4"/>
  </cols>
  <sheetData>
    <row customHeight="true" ht="18.51851851851852" r="1">
      <c r="A1" s="706" t="s">
        <v>1518</v>
      </c>
      <c r="B1" s="706" t="s">
        <v>1519</v>
      </c>
      <c r="C1" s="706" t="s">
        <v>1520</v>
      </c>
      <c r="D1" s="706" t="s">
        <v>1521</v>
      </c>
      <c r="E1" s="707" t="s">
        <v>1522</v>
      </c>
      <c r="F1" s="707" t="s">
        <v>1523</v>
      </c>
      <c r="G1" s="708"/>
    </row>
    <row customHeight="true" ht="18.51851851851852" r="2"/>
    <row customHeight="true" ht="18.51851851851852" r="3"/>
    <row customHeight="true" ht="18.51851851851852" r="4"/>
    <row customHeight="true" ht="18.51851851851852" r="5"/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7.4"/>
    <col collapsed="false" customWidth="true" hidden="false" max="10" min="10" style="0" width="10.733333333333333"/>
    <col collapsed="false" customWidth="true" hidden="false" max="18" min="18" style="0" width="10.733333333333333"/>
    <col collapsed="false" customWidth="true" hidden="false" max="26" min="26" style="0" width="12.333333333333334"/>
    <col collapsed="false" customWidth="true" hidden="false" max="35" min="35" style="0" width="12.333333333333334"/>
    <col collapsed="false" customWidth="true" hidden="false" max="4" min="4" style="0" width="10.733333333333333"/>
    <col collapsed="false" customWidth="true" hidden="false" max="11" min="11" style="0" width="10.733333333333333"/>
    <col collapsed="false" customWidth="true" hidden="false" max="19" min="19" style="0" width="12.333333333333334"/>
    <col collapsed="false" customWidth="true" hidden="false" max="27" min="27" style="0" width="12.333333333333334"/>
    <col collapsed="false" customWidth="true" hidden="false" max="36" min="36" style="0" width="12.333333333333334"/>
    <col collapsed="false" customWidth="true" hidden="false" max="5" min="5" style="0" width="10.733333333333333"/>
    <col collapsed="false" customWidth="true" hidden="false" max="12" min="12" style="0" width="10.733333333333333"/>
    <col collapsed="false" customWidth="true" hidden="false" max="20" min="20" style="0" width="12.333333333333334"/>
    <col collapsed="false" customWidth="true" hidden="false" max="28" min="28" style="0" width="12.333333333333334"/>
    <col collapsed="false" customWidth="true" hidden="false" max="37" min="37" style="0" width="12.333333333333334"/>
    <col collapsed="false" customWidth="true" hidden="false" max="6" min="6" style="0" width="10.733333333333333"/>
    <col collapsed="false" customWidth="true" hidden="false" max="13" min="13" style="0" width="10.733333333333333"/>
    <col collapsed="false" customWidth="true" hidden="false" max="21" min="21" style="0" width="12.333333333333334"/>
    <col collapsed="false" customWidth="true" hidden="false" max="29" min="29" style="0" width="12.333333333333334"/>
    <col collapsed="false" customWidth="true" hidden="false" max="38" min="38" style="0" width="12.333333333333334"/>
    <col collapsed="false" customWidth="true" hidden="false" max="7" min="7" style="0" width="10.733333333333333"/>
    <col collapsed="false" customWidth="true" hidden="false" max="14" min="14" style="0" width="10.733333333333333"/>
    <col collapsed="false" customWidth="true" hidden="false" max="15" min="15" style="0" width="10.733333333333333"/>
    <col collapsed="false" customWidth="true" hidden="false" max="22" min="22" style="0" width="12.333333333333334"/>
    <col collapsed="false" customWidth="true" hidden="false" max="30" min="30" style="0" width="12.333333333333334"/>
    <col collapsed="false" customWidth="true" hidden="false" max="39" min="39" style="0" width="12.333333333333334"/>
    <col collapsed="false" customWidth="true" hidden="false" max="8" min="8" style="0" width="10.733333333333333"/>
    <col collapsed="false" customWidth="true" hidden="false" max="16" min="16" style="0" width="10.733333333333333"/>
    <col collapsed="false" customWidth="true" hidden="false" max="23" min="23" style="0" width="12.333333333333334"/>
    <col collapsed="false" customWidth="true" hidden="false" max="31" min="31" style="0" width="12.333333333333334"/>
    <col collapsed="false" customWidth="true" hidden="false" max="40" min="40" style="0" width="145.8"/>
    <col collapsed="false" customWidth="true" hidden="false" max="1" min="1" style="0" width="20.866666666666667"/>
    <col collapsed="false" customWidth="true" hidden="false" max="24" min="24" style="0" width="12.333333333333334"/>
    <col collapsed="false" customWidth="true" hidden="false" max="32" min="32" style="0" width="12.333333333333334"/>
    <col collapsed="false" customWidth="true" hidden="false" max="33" min="33" style="0" width="12.333333333333334"/>
    <col collapsed="false" customWidth="true" hidden="false" max="2" min="2" style="0" width="17.4"/>
    <col collapsed="false" customWidth="true" hidden="false" max="9" min="9" style="0" width="11.4"/>
    <col collapsed="false" customWidth="true" hidden="false" max="17" min="17" style="0" width="10.733333333333333"/>
    <col collapsed="false" customWidth="true" hidden="false" max="25" min="25" style="0" width="12.333333333333334"/>
    <col collapsed="false" customWidth="true" hidden="false" max="34" min="34" style="0" width="12.333333333333334"/>
  </cols>
  <sheetData>
    <row customHeight="true" ht="22.22222222222222" r="1">
      <c r="A1" s="709" t="s">
        <v>1524</v>
      </c>
      <c r="B1" s="710"/>
      <c r="C1" s="710"/>
      <c r="D1" s="711"/>
      <c r="E1" s="711"/>
      <c r="F1" s="712"/>
      <c r="G1" s="710"/>
      <c r="H1" s="713"/>
      <c r="I1" s="714" t="s">
        <v>1525</v>
      </c>
      <c r="J1" s="715"/>
      <c r="K1" s="715"/>
      <c r="L1" s="715"/>
      <c r="M1" s="715"/>
      <c r="N1" s="715"/>
      <c r="O1" s="715"/>
      <c r="P1" s="715"/>
      <c r="Q1" s="715"/>
      <c r="R1" s="716"/>
      <c r="S1" s="717" t="s">
        <v>1526</v>
      </c>
      <c r="T1" s="717"/>
      <c r="U1" s="718"/>
      <c r="V1" s="718"/>
      <c r="W1" s="717"/>
      <c r="X1" s="719"/>
      <c r="Y1" s="717"/>
      <c r="Z1" s="717"/>
      <c r="AA1" s="717"/>
      <c r="AB1" s="717"/>
      <c r="AC1" s="717"/>
      <c r="AD1" s="717"/>
      <c r="AE1" s="717"/>
      <c r="AF1" s="717"/>
      <c r="AG1" s="717"/>
      <c r="AH1" s="717"/>
      <c r="AI1" s="717"/>
      <c r="AJ1" s="717"/>
      <c r="AK1" s="717"/>
      <c r="AL1" s="717"/>
      <c r="AM1" s="717"/>
      <c r="AN1" s="720" t="s">
        <v>1527</v>
      </c>
    </row>
    <row customHeight="true" ht="78.51851851851852" r="2">
      <c r="A2" s="721" t="s">
        <v>1528</v>
      </c>
      <c r="B2" s="721" t="s">
        <v>1529</v>
      </c>
      <c r="C2" s="722" t="s">
        <v>1530</v>
      </c>
      <c r="D2" s="721" t="s">
        <v>1531</v>
      </c>
      <c r="E2" s="721" t="s">
        <v>1532</v>
      </c>
      <c r="F2" s="721" t="s">
        <v>1533</v>
      </c>
      <c r="G2" s="721" t="s">
        <v>1534</v>
      </c>
      <c r="H2" s="721" t="s">
        <v>1535</v>
      </c>
      <c r="I2" s="723" t="s">
        <v>1536</v>
      </c>
      <c r="J2" s="721" t="s">
        <v>1537</v>
      </c>
      <c r="K2" s="721" t="s">
        <v>1538</v>
      </c>
      <c r="L2" s="721" t="s">
        <v>1539</v>
      </c>
      <c r="M2" s="724" t="s">
        <v>1540</v>
      </c>
      <c r="N2" s="725" t="s">
        <v>1541</v>
      </c>
      <c r="O2" s="725" t="s">
        <v>1542</v>
      </c>
      <c r="P2" s="725" t="s">
        <v>1543</v>
      </c>
      <c r="Q2" s="725" t="s">
        <v>1544</v>
      </c>
      <c r="R2" s="726" t="s">
        <v>1545</v>
      </c>
      <c r="S2" s="727" t="s">
        <v>1546</v>
      </c>
      <c r="T2" s="728" t="s">
        <v>1547</v>
      </c>
      <c r="U2" s="727" t="s">
        <v>1548</v>
      </c>
      <c r="V2" s="728" t="s">
        <v>1549</v>
      </c>
      <c r="W2" s="728" t="s">
        <v>1550</v>
      </c>
      <c r="X2" s="729" t="s">
        <v>1551</v>
      </c>
      <c r="Y2" s="727" t="s">
        <v>1552</v>
      </c>
      <c r="Z2" s="728" t="s">
        <v>1553</v>
      </c>
      <c r="AA2" s="728" t="s">
        <v>1554</v>
      </c>
      <c r="AB2" s="727" t="s">
        <v>1555</v>
      </c>
      <c r="AC2" s="727" t="s">
        <v>1556</v>
      </c>
      <c r="AD2" s="730" t="s">
        <v>1557</v>
      </c>
      <c r="AE2" s="727" t="s">
        <v>1558</v>
      </c>
      <c r="AF2" s="727" t="s">
        <v>1559</v>
      </c>
      <c r="AG2" s="728" t="s">
        <v>1560</v>
      </c>
      <c r="AH2" s="727" t="s">
        <v>1561</v>
      </c>
      <c r="AI2" s="728" t="s">
        <v>1562</v>
      </c>
      <c r="AJ2" s="728" t="s">
        <v>1563</v>
      </c>
      <c r="AK2" s="728" t="s">
        <v>1564</v>
      </c>
      <c r="AL2" s="727" t="s">
        <v>1565</v>
      </c>
      <c r="AM2" s="728" t="s">
        <v>1566</v>
      </c>
      <c r="AN2" s="731" t="s">
        <v>1567</v>
      </c>
    </row>
    <row customHeight="true" ht="59.99999999999999" r="3">
      <c r="A3" s="732" t="s">
        <v>1568</v>
      </c>
      <c r="B3" s="733" t="s">
        <v>1569</v>
      </c>
      <c r="C3" s="734" t="s">
        <v>1570</v>
      </c>
      <c r="D3" s="735"/>
      <c r="E3" s="735"/>
      <c r="F3" s="736"/>
      <c r="G3" s="736"/>
      <c r="H3" s="734"/>
      <c r="I3" s="734"/>
      <c r="J3" s="734"/>
      <c r="K3" s="734"/>
      <c r="L3" s="734"/>
      <c r="M3" s="734"/>
      <c r="N3" s="734"/>
      <c r="O3" s="734"/>
      <c r="P3" s="734"/>
      <c r="Q3" s="737"/>
      <c r="R3" s="737"/>
      <c r="S3" s="738"/>
      <c r="T3" s="734"/>
      <c r="U3" s="739"/>
      <c r="V3" s="739"/>
      <c r="W3" s="740"/>
      <c r="X3" s="741"/>
      <c r="Y3" s="734"/>
      <c r="Z3" s="734"/>
      <c r="AA3" s="734"/>
      <c r="AB3" s="742"/>
      <c r="AC3" s="742"/>
      <c r="AD3" s="743"/>
      <c r="AE3" s="743"/>
      <c r="AF3" s="743"/>
      <c r="AG3" s="743"/>
      <c r="AH3" s="743"/>
      <c r="AI3" s="743"/>
      <c r="AJ3" s="743"/>
      <c r="AK3" s="743"/>
      <c r="AL3" s="743"/>
      <c r="AM3" s="743"/>
      <c r="AN3" s="744"/>
    </row>
    <row customHeight="true" ht="60.74074074074073" r="4">
      <c r="A4" s="732">
        <v>45730</v>
      </c>
      <c r="B4" s="745" t="s">
        <v>1569</v>
      </c>
      <c r="C4" s="734" t="s">
        <v>1570</v>
      </c>
      <c r="D4" s="735"/>
      <c r="E4" s="735"/>
      <c r="F4" s="736" t="s">
        <v>1571</v>
      </c>
      <c r="G4" s="736" t="s">
        <v>1572</v>
      </c>
      <c r="H4" s="734">
        <f>138.5/1.13</f>
      </c>
      <c r="I4" s="734">
        <v>1140</v>
      </c>
      <c r="J4" s="734">
        <v>0</v>
      </c>
      <c r="K4" s="734">
        <v>0</v>
      </c>
      <c r="L4" s="734">
        <v>0</v>
      </c>
      <c r="M4" s="734">
        <f>I4+J4+K4+L4</f>
      </c>
      <c r="N4" s="734">
        <v>0</v>
      </c>
      <c r="O4" s="734">
        <v>0</v>
      </c>
      <c r="P4" s="734">
        <v>0</v>
      </c>
      <c r="Q4" s="737">
        <v>0.1</v>
      </c>
      <c r="R4" s="737">
        <v>0.07</v>
      </c>
      <c r="S4" s="738">
        <f>N4/7*0.5+O4/14*0.3+P4/30*0.2</f>
      </c>
      <c r="T4" s="734">
        <v>30</v>
      </c>
      <c r="U4" s="739" t="s">
        <v>1573</v>
      </c>
      <c r="V4" s="739" t="s">
        <v>1574</v>
      </c>
      <c r="W4" s="740">
        <v>45590</v>
      </c>
      <c r="X4" s="741">
        <f>W4+Y4</f>
      </c>
      <c r="Y4" s="734">
        <v>50</v>
      </c>
      <c r="Z4" s="734">
        <v>15</v>
      </c>
      <c r="AA4" s="734">
        <v>0</v>
      </c>
      <c r="AB4" s="742">
        <f>Y4+Z4</f>
      </c>
      <c r="AC4" s="742">
        <f>(K4+J4)/S4</f>
      </c>
      <c r="AD4" s="743">
        <f>AG4/S4</f>
      </c>
      <c r="AE4" s="743">
        <f>IF((AD4-AB4+AC4)&gt;(35),"备货过多",IF((AD4-AB4+AC4)&gt;=(25),"合理","备货太少"))</f>
      </c>
      <c r="AF4" s="743">
        <f>(AB4-AC4+30)*S4</f>
      </c>
      <c r="AG4" s="743">
        <v>1100</v>
      </c>
      <c r="AH4" s="743">
        <f>AG4*H4</f>
      </c>
      <c r="AI4" s="743" t="s">
        <v>1575</v>
      </c>
      <c r="AJ4" s="743" t="s">
        <v>1576</v>
      </c>
      <c r="AK4" s="743">
        <v>1100</v>
      </c>
      <c r="AL4" s="743">
        <f>AK4*H4</f>
      </c>
      <c r="AM4" s="743"/>
      <c r="AN4" s="744" t="s">
        <v>1577</v>
      </c>
    </row>
    <row customHeight="true" ht="20.74074074074074" r="5"/>
    <row customHeight="true" ht="20.74074074074074" r="6"/>
    <row customHeight="true" ht="78.51851851851852" r="7">
      <c r="A7" s="721" t="s">
        <v>1528</v>
      </c>
      <c r="B7" s="721" t="s">
        <v>1529</v>
      </c>
      <c r="C7" s="722" t="s">
        <v>1530</v>
      </c>
      <c r="D7" s="721" t="s">
        <v>1531</v>
      </c>
      <c r="E7" s="721" t="s">
        <v>1532</v>
      </c>
      <c r="F7" s="721" t="s">
        <v>1533</v>
      </c>
      <c r="G7" s="721" t="s">
        <v>1534</v>
      </c>
      <c r="H7" s="721" t="s">
        <v>1535</v>
      </c>
      <c r="I7" s="723" t="s">
        <v>1536</v>
      </c>
      <c r="J7" s="721" t="s">
        <v>1578</v>
      </c>
      <c r="K7" s="721" t="s">
        <v>1579</v>
      </c>
      <c r="L7" s="721" t="s">
        <v>1580</v>
      </c>
      <c r="M7" s="724" t="s">
        <v>1540</v>
      </c>
      <c r="N7" s="725" t="s">
        <v>1541</v>
      </c>
      <c r="O7" s="725" t="s">
        <v>1542</v>
      </c>
      <c r="P7" s="725" t="s">
        <v>1543</v>
      </c>
      <c r="Q7" s="725" t="s">
        <v>1544</v>
      </c>
      <c r="R7" s="726" t="s">
        <v>1545</v>
      </c>
      <c r="S7" s="727" t="s">
        <v>1546</v>
      </c>
      <c r="T7" s="728" t="s">
        <v>1547</v>
      </c>
      <c r="U7" s="727" t="s">
        <v>1548</v>
      </c>
      <c r="V7" s="728" t="s">
        <v>1549</v>
      </c>
      <c r="W7" s="728" t="s">
        <v>1550</v>
      </c>
      <c r="X7" s="729" t="s">
        <v>1551</v>
      </c>
      <c r="Y7" s="727" t="s">
        <v>1552</v>
      </c>
      <c r="Z7" s="728" t="s">
        <v>1553</v>
      </c>
      <c r="AA7" s="728" t="s">
        <v>1554</v>
      </c>
      <c r="AB7" s="727" t="s">
        <v>1555</v>
      </c>
      <c r="AC7" s="727" t="s">
        <v>1556</v>
      </c>
      <c r="AD7" s="730" t="s">
        <v>1557</v>
      </c>
      <c r="AE7" s="727" t="s">
        <v>1558</v>
      </c>
      <c r="AF7" s="727" t="s">
        <v>1559</v>
      </c>
      <c r="AG7" s="728" t="s">
        <v>1560</v>
      </c>
      <c r="AH7" s="727" t="s">
        <v>1561</v>
      </c>
      <c r="AI7" s="728" t="s">
        <v>1562</v>
      </c>
      <c r="AJ7" s="728" t="s">
        <v>1563</v>
      </c>
      <c r="AK7" s="728" t="s">
        <v>1564</v>
      </c>
      <c r="AL7" s="727" t="s">
        <v>1565</v>
      </c>
      <c r="AM7" s="728" t="s">
        <v>1566</v>
      </c>
      <c r="AN7" s="731" t="s">
        <v>1581</v>
      </c>
    </row>
    <row customHeight="true" ht="102.96296296296296" r="8">
      <c r="A8" s="732" t="s">
        <v>1582</v>
      </c>
      <c r="B8" s="733" t="s">
        <v>1583</v>
      </c>
      <c r="C8" s="734" t="s">
        <v>1570</v>
      </c>
      <c r="D8" s="735"/>
      <c r="E8" s="735"/>
      <c r="F8" s="736"/>
      <c r="G8" s="736"/>
      <c r="H8" s="734"/>
      <c r="I8" s="734"/>
      <c r="J8" s="734"/>
      <c r="K8" s="734"/>
      <c r="L8" s="734"/>
      <c r="M8" s="734"/>
      <c r="N8" s="734"/>
      <c r="O8" s="734"/>
      <c r="P8" s="734"/>
      <c r="Q8" s="737"/>
      <c r="R8" s="737"/>
      <c r="S8" s="738"/>
      <c r="T8" s="734"/>
      <c r="U8" s="739"/>
      <c r="V8" s="739"/>
      <c r="W8" s="740"/>
      <c r="X8" s="741"/>
      <c r="Y8" s="734"/>
      <c r="Z8" s="734"/>
      <c r="AA8" s="734"/>
      <c r="AB8" s="742"/>
      <c r="AC8" s="742"/>
      <c r="AD8" s="743"/>
      <c r="AE8" s="743"/>
      <c r="AF8" s="743"/>
      <c r="AG8" s="743"/>
      <c r="AH8" s="743"/>
      <c r="AI8" s="743"/>
      <c r="AJ8" s="743"/>
      <c r="AK8" s="743"/>
      <c r="AL8" s="743"/>
      <c r="AM8" s="743"/>
      <c r="AN8" s="744"/>
    </row>
    <row customHeight="true" ht="103.7037037037037" r="9">
      <c r="A9" s="732">
        <v>45730</v>
      </c>
      <c r="B9" s="745" t="s">
        <v>1583</v>
      </c>
      <c r="C9" s="734" t="s">
        <v>1570</v>
      </c>
      <c r="D9" s="735"/>
      <c r="E9" s="735"/>
      <c r="F9" s="736" t="s">
        <v>1571</v>
      </c>
      <c r="G9" s="736" t="s">
        <v>1572</v>
      </c>
      <c r="H9" s="734">
        <f>138.5/1.13</f>
      </c>
      <c r="I9" s="734">
        <v>360</v>
      </c>
      <c r="J9" s="734">
        <v>0</v>
      </c>
      <c r="K9" s="734">
        <v>0</v>
      </c>
      <c r="L9" s="734">
        <v>0</v>
      </c>
      <c r="M9" s="734">
        <f>I9+J9+K9+L9</f>
      </c>
      <c r="N9" s="734">
        <v>0</v>
      </c>
      <c r="O9" s="734">
        <v>0</v>
      </c>
      <c r="P9" s="734">
        <v>0</v>
      </c>
      <c r="Q9" s="737">
        <v>0.1</v>
      </c>
      <c r="R9" s="737">
        <v>0.07</v>
      </c>
      <c r="S9" s="738">
        <f>N9/7*0.5+O9/14*0.3+P9/30*0.2</f>
      </c>
      <c r="T9" s="734">
        <v>6</v>
      </c>
      <c r="U9" s="739" t="s">
        <v>1584</v>
      </c>
      <c r="V9" s="739" t="s">
        <v>1585</v>
      </c>
      <c r="W9" s="740">
        <v>45590</v>
      </c>
      <c r="X9" s="741">
        <f>W9+Y9</f>
      </c>
      <c r="Y9" s="734">
        <v>30</v>
      </c>
      <c r="Z9" s="734">
        <v>15</v>
      </c>
      <c r="AA9" s="734">
        <v>0</v>
      </c>
      <c r="AB9" s="742">
        <f>Y9+Z9</f>
      </c>
      <c r="AC9" s="742">
        <f>(K9+J9)/S9</f>
      </c>
      <c r="AD9" s="743">
        <f>AG9/S9</f>
      </c>
      <c r="AE9" s="743">
        <f>IF((AD9-AB9+AC9)&gt;(35),"备货过多",IF((AD9-AB9+AC9)&gt;=(25),"合理","备货太少"))</f>
      </c>
      <c r="AF9" s="743">
        <f>(AB9-AC9+30)*S9</f>
      </c>
      <c r="AG9" s="743">
        <v>400</v>
      </c>
      <c r="AH9" s="743">
        <f>AG9*H9</f>
      </c>
      <c r="AI9" s="743" t="s">
        <v>1575</v>
      </c>
      <c r="AJ9" s="743" t="s">
        <v>1576</v>
      </c>
      <c r="AK9" s="743">
        <v>400</v>
      </c>
      <c r="AL9" s="743">
        <f>AK9*H9</f>
      </c>
      <c r="AM9" s="743"/>
      <c r="AN9" s="744" t="s">
        <v>1586</v>
      </c>
    </row>
    <row customHeight="true" ht="20.74074074074074" r="10"/>
    <row customHeight="true" ht="20.74074074074074" r="11"/>
    <row customHeight="true" ht="20.74074074074074" r="12"/>
    <row customHeight="true" ht="20.74074074074074" r="13"/>
    <row customHeight="true" ht="20.74074074074074" r="14"/>
    <row customHeight="true" ht="20.74074074074074" r="15"/>
    <row customHeight="true" ht="20.74074074074074" r="16"/>
    <row customHeight="true" ht="20.74074074074074" r="17"/>
    <row customHeight="true" ht="20.74074074074074" r="18"/>
    <row customHeight="true" ht="20.74074074074074" r="19"/>
    <row customHeight="true" ht="20.74074074074074" r="20"/>
    <row customHeight="true" ht="20.74074074074074" r="21"/>
    <row customHeight="true" ht="20.74074074074074" r="22"/>
    <row customHeight="true" ht="13.333333333333332" r="23"/>
    <row customHeight="true" ht="13.333333333333332" r="24"/>
    <row customHeight="true" ht="13.333333333333332" r="25"/>
    <row customHeight="true" ht="13.333333333333332" r="26"/>
    <row customHeight="true" ht="13.333333333333332" r="27"/>
    <row customHeight="true" ht="13.333333333333332" r="28"/>
    <row customHeight="true" ht="13.333333333333332" r="29"/>
    <row customHeight="true" ht="13.333333333333332" r="30"/>
    <row customHeight="true" ht="13.333333333333332" r="31"/>
    <row customHeight="true" ht="13.333333333333332" r="32"/>
    <row customHeight="true" ht="13.333333333333332" r="33"/>
    <row customHeight="true" ht="13.333333333333332" r="34"/>
    <row customHeight="true" ht="13.333333333333332" r="35"/>
    <row customHeight="true" ht="13.333333333333332" r="36"/>
    <row customHeight="true" ht="13.333333333333332" r="37"/>
    <row customHeight="true" ht="13.333333333333332" r="38"/>
    <row customHeight="true" ht="13.333333333333332" r="39"/>
    <row customHeight="true" ht="13.333333333333332" r="40"/>
    <row customHeight="true" ht="13.333333333333332" r="41"/>
    <row customHeight="true" ht="13.333333333333332" r="42"/>
    <row customHeight="true" ht="13.333333333333332" r="43"/>
    <row customHeight="true" ht="13.333333333333332" r="44"/>
    <row customHeight="true" ht="13.333333333333332" r="45"/>
    <row customHeight="true" ht="13.333333333333332" r="46"/>
    <row customHeight="true" ht="13.333333333333332" r="47"/>
    <row customHeight="true" ht="13.333333333333332" r="48"/>
    <row customHeight="true" ht="13.333333333333332" r="49"/>
  </sheetData>
  <mergeCells>
    <mergeCell ref="A1:H1"/>
    <mergeCell ref="I1:R1"/>
    <mergeCell ref="S1:AM1"/>
  </mergeCells>
  <drawing r:id="rId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1" min="1" style="0" width="20.866666666666667"/>
    <col collapsed="false" customWidth="true" hidden="false" max="5" min="5" style="0" width="20.866666666666667"/>
    <col collapsed="false" customWidth="true" hidden="false" max="9" min="9" style="0" width="20.866666666666667"/>
    <col collapsed="false" customWidth="true" hidden="false" max="13" min="13" style="0" width="29.266666666666666"/>
    <col collapsed="false" customWidth="true" hidden="false" max="17" min="17" style="0" width="29.266666666666666"/>
    <col collapsed="false" customWidth="true" hidden="false" max="21" min="21" style="0" width="29.266666666666666"/>
    <col collapsed="false" customWidth="true" hidden="false" max="25" min="25" style="0" width="32.6"/>
    <col collapsed="false" customWidth="true" hidden="false" max="2" min="2" style="0" width="44.46666666666667"/>
    <col collapsed="false" customWidth="true" hidden="false" max="6" min="6" style="0" width="20.866666666666667"/>
    <col collapsed="false" customWidth="true" hidden="false" max="10" min="10" style="0" width="20.866666666666667"/>
    <col collapsed="false" customWidth="true" hidden="false" max="14" min="14" style="0" width="29.266666666666666"/>
    <col collapsed="false" customWidth="true" hidden="false" max="18" min="18" style="0" width="29.266666666666666"/>
    <col collapsed="false" customWidth="true" hidden="false" max="22" min="22" style="0" width="29.266666666666666"/>
    <col collapsed="false" customWidth="true" hidden="false" max="26" min="26" style="0" width="34.333333333333336"/>
    <col collapsed="false" customWidth="true" hidden="false" max="3" min="3" style="0" width="41.13333333333333"/>
    <col collapsed="false" customWidth="true" hidden="false" max="7" min="7" style="0" width="20.866666666666667"/>
    <col collapsed="false" customWidth="true" hidden="false" max="11" min="11" style="0" width="20.866666666666667"/>
    <col collapsed="false" customWidth="true" hidden="false" max="15" min="15" style="0" width="29.266666666666666"/>
    <col collapsed="false" customWidth="true" hidden="false" max="19" min="19" style="0" width="29.266666666666666"/>
    <col collapsed="false" customWidth="true" hidden="false" max="23" min="23" style="0" width="29.266666666666666"/>
    <col collapsed="false" customWidth="true" hidden="false" max="27" min="27" style="0" width="29.266666666666666"/>
    <col collapsed="false" customWidth="true" hidden="false" max="4" min="4" style="0" width="20.866666666666667"/>
    <col collapsed="false" customWidth="true" hidden="false" max="8" min="8" style="0" width="20.866666666666667"/>
    <col collapsed="false" customWidth="true" hidden="false" max="12" min="12" style="0" width="29.266666666666666"/>
    <col collapsed="false" customWidth="true" hidden="false" max="16" min="16" style="0" width="29.266666666666666"/>
    <col collapsed="false" customWidth="true" hidden="false" max="20" min="20" style="0" width="29.266666666666666"/>
    <col collapsed="false" customWidth="true" hidden="false" max="24" min="24" style="0" width="29.266666666666666"/>
    <col collapsed="false" customWidth="true" hidden="false" max="28" min="28" style="0" width="29.266666666666666"/>
  </cols>
  <sheetData>
    <row customHeight="true" ht="30.370370370370367" r="1">
      <c r="A1" s="746" t="s">
        <v>1587</v>
      </c>
      <c r="B1" s="746" t="s">
        <v>1588</v>
      </c>
      <c r="C1" s="746" t="s">
        <v>1589</v>
      </c>
      <c r="D1" s="746" t="s">
        <v>1590</v>
      </c>
      <c r="E1" s="746" t="s">
        <v>1591</v>
      </c>
      <c r="F1" s="746" t="s">
        <v>1592</v>
      </c>
      <c r="G1" s="746" t="s">
        <v>1593</v>
      </c>
      <c r="H1" s="746" t="s">
        <v>1594</v>
      </c>
      <c r="I1" s="746" t="s">
        <v>1595</v>
      </c>
      <c r="J1" s="746" t="s">
        <v>1596</v>
      </c>
      <c r="K1" s="747" t="s">
        <v>1597</v>
      </c>
      <c r="L1" s="746" t="s">
        <v>1598</v>
      </c>
      <c r="M1" s="746"/>
      <c r="N1" s="746"/>
      <c r="O1" s="746"/>
      <c r="P1" s="746"/>
      <c r="Q1" s="746" t="s">
        <v>1599</v>
      </c>
      <c r="R1" s="746"/>
      <c r="S1" s="746"/>
      <c r="T1" s="746"/>
      <c r="U1" s="746"/>
      <c r="V1" s="748" t="s">
        <v>1600</v>
      </c>
      <c r="W1" s="749"/>
      <c r="X1" s="750" t="s">
        <v>1601</v>
      </c>
      <c r="Y1" s="751" t="s">
        <v>1602</v>
      </c>
      <c r="Z1" s="751"/>
      <c r="AA1" s="751"/>
      <c r="AB1" s="750" t="s">
        <v>1603</v>
      </c>
    </row>
    <row customHeight="true" ht="30.370370370370367" r="2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7"/>
      <c r="L2" s="746" t="s">
        <v>1604</v>
      </c>
      <c r="M2" s="746" t="s">
        <v>1605</v>
      </c>
      <c r="N2" s="746" t="s">
        <v>1606</v>
      </c>
      <c r="O2" s="746" t="s">
        <v>1607</v>
      </c>
      <c r="P2" s="752" t="s">
        <v>1608</v>
      </c>
      <c r="Q2" s="746" t="s">
        <v>1604</v>
      </c>
      <c r="R2" s="746" t="s">
        <v>1605</v>
      </c>
      <c r="S2" s="746" t="s">
        <v>1606</v>
      </c>
      <c r="T2" s="746" t="s">
        <v>1609</v>
      </c>
      <c r="U2" s="752" t="s">
        <v>1610</v>
      </c>
      <c r="V2" s="753" t="s">
        <v>1611</v>
      </c>
      <c r="W2" s="753" t="s">
        <v>1612</v>
      </c>
      <c r="X2" s="750"/>
      <c r="Y2" s="754" t="s">
        <v>1613</v>
      </c>
      <c r="Z2" s="754" t="s">
        <v>1614</v>
      </c>
      <c r="AA2" s="751" t="s">
        <v>1615</v>
      </c>
      <c r="AB2" s="750"/>
    </row>
    <row customHeight="true" ht="30.370370370370367" r="3">
      <c r="A3" s="755">
        <v>45590</v>
      </c>
      <c r="B3" s="751" t="s">
        <v>1616</v>
      </c>
      <c r="C3" s="751" t="s">
        <v>1617</v>
      </c>
      <c r="D3" s="751">
        <v>1500</v>
      </c>
      <c r="E3" s="751"/>
      <c r="F3" s="751">
        <v>0</v>
      </c>
      <c r="G3" s="751">
        <v>0</v>
      </c>
      <c r="H3" s="751">
        <v>0</v>
      </c>
      <c r="I3" s="751">
        <v>0</v>
      </c>
      <c r="J3" s="751">
        <v>0</v>
      </c>
      <c r="K3" s="751"/>
      <c r="L3" s="751">
        <v>0</v>
      </c>
      <c r="M3" s="751">
        <v>0</v>
      </c>
      <c r="N3" s="751">
        <v>0</v>
      </c>
      <c r="O3" s="751">
        <v>0</v>
      </c>
      <c r="P3" s="751">
        <v>0</v>
      </c>
      <c r="Q3" s="751">
        <v>0</v>
      </c>
      <c r="R3" s="751">
        <v>96</v>
      </c>
      <c r="S3" s="751">
        <v>608</v>
      </c>
      <c r="T3" s="751">
        <v>21.49</v>
      </c>
      <c r="U3" s="751">
        <v>16.38</v>
      </c>
      <c r="V3" s="751">
        <f>L3*8</f>
      </c>
      <c r="W3" s="751">
        <f>(L3*0.5+M3/2*0.3+N3/4*0.2)*8</f>
      </c>
      <c r="X3" s="751">
        <v>145</v>
      </c>
      <c r="Y3" s="751">
        <v>30</v>
      </c>
      <c r="Z3" s="751">
        <v>30</v>
      </c>
      <c r="AA3" s="751">
        <v>60</v>
      </c>
      <c r="AB3" s="756">
        <f>IF((X3)&gt;(100),"库存滞销",IF((X3)&gt;=(70),"合理","库存告急"))</f>
      </c>
    </row>
    <row customHeight="true" ht="29.629629629629626" r="4">
      <c r="A4" s="757"/>
      <c r="B4" s="757"/>
      <c r="C4" s="757"/>
      <c r="D4" s="757"/>
      <c r="E4" s="757"/>
      <c r="F4" s="757"/>
      <c r="G4" s="757"/>
      <c r="H4" s="757"/>
      <c r="I4" s="757"/>
      <c r="J4" s="757"/>
      <c r="K4" s="757"/>
      <c r="L4" s="757"/>
      <c r="M4" s="757"/>
      <c r="N4" s="757"/>
      <c r="O4" s="757"/>
      <c r="P4" s="757"/>
      <c r="Q4" s="757"/>
      <c r="R4" s="757"/>
      <c r="S4" s="757"/>
      <c r="T4" s="757"/>
      <c r="U4" s="757"/>
      <c r="V4" s="757"/>
      <c r="W4" s="757"/>
      <c r="X4" s="757"/>
      <c r="Y4" s="757"/>
      <c r="Z4" s="757"/>
      <c r="AA4" s="757"/>
      <c r="AB4" s="757"/>
    </row>
    <row customHeight="true" ht="29.629629629629626" r="5">
      <c r="A5" s="757"/>
      <c r="B5" s="757"/>
      <c r="C5" s="757"/>
      <c r="D5" s="757"/>
      <c r="E5" s="757"/>
      <c r="F5" s="757"/>
      <c r="G5" s="757"/>
      <c r="H5" s="757"/>
      <c r="I5" s="757"/>
      <c r="J5" s="757"/>
      <c r="K5" s="757"/>
      <c r="L5" s="757"/>
      <c r="M5" s="757"/>
      <c r="N5" s="757"/>
      <c r="O5" s="757"/>
      <c r="P5" s="757"/>
      <c r="Q5" s="757"/>
      <c r="R5" s="757"/>
      <c r="S5" s="757"/>
      <c r="T5" s="757"/>
      <c r="U5" s="757"/>
      <c r="V5" s="757"/>
      <c r="W5" s="757"/>
      <c r="X5" s="757"/>
      <c r="Y5" s="757"/>
      <c r="Z5" s="757"/>
      <c r="AA5" s="757"/>
      <c r="AB5" s="757"/>
    </row>
    <row customHeight="true" ht="30.370370370370367" r="6">
      <c r="A6" s="758"/>
      <c r="B6" s="758"/>
      <c r="C6" s="758"/>
      <c r="D6" s="758"/>
      <c r="E6" s="758"/>
      <c r="F6" s="758"/>
      <c r="G6" s="758"/>
      <c r="H6" s="758"/>
      <c r="I6" s="758"/>
      <c r="J6" s="758"/>
      <c r="K6" s="758"/>
      <c r="L6" s="758"/>
      <c r="M6" s="758"/>
      <c r="N6" s="758"/>
      <c r="O6" s="758"/>
      <c r="P6" s="758"/>
      <c r="Q6" s="758"/>
      <c r="R6" s="758"/>
      <c r="S6" s="758"/>
      <c r="T6" s="758"/>
      <c r="U6" s="758"/>
      <c r="V6" s="758"/>
      <c r="W6" s="758"/>
      <c r="X6" s="758"/>
      <c r="Y6" s="758"/>
      <c r="Z6" s="758"/>
      <c r="AA6" s="758"/>
      <c r="AB6" s="758"/>
    </row>
    <row customHeight="true" ht="30.370370370370367" r="7">
      <c r="A7" s="758"/>
      <c r="B7" s="758"/>
      <c r="C7" s="758"/>
      <c r="D7" s="758"/>
      <c r="E7" s="758"/>
      <c r="F7" s="758"/>
      <c r="G7" s="758"/>
      <c r="H7" s="758"/>
      <c r="I7" s="758"/>
      <c r="J7" s="758"/>
      <c r="K7" s="758"/>
      <c r="L7" s="758"/>
      <c r="M7" s="758"/>
      <c r="N7" s="758"/>
      <c r="O7" s="758"/>
      <c r="P7" s="758"/>
      <c r="Q7" s="758"/>
      <c r="R7" s="758"/>
      <c r="S7" s="758"/>
      <c r="T7" s="758"/>
      <c r="U7" s="758"/>
      <c r="V7" s="758"/>
      <c r="W7" s="758"/>
      <c r="X7" s="758"/>
      <c r="Y7" s="758"/>
      <c r="Z7" s="758"/>
      <c r="AA7" s="758"/>
      <c r="AB7" s="758"/>
    </row>
    <row customHeight="true" ht="30.370370370370367" r="8">
      <c r="A8" s="758"/>
      <c r="B8" s="758"/>
      <c r="C8" s="758"/>
      <c r="D8" s="758"/>
      <c r="E8" s="758"/>
      <c r="F8" s="758"/>
      <c r="G8" s="758"/>
      <c r="H8" s="758"/>
      <c r="I8" s="758"/>
      <c r="J8" s="758"/>
      <c r="K8" s="758"/>
      <c r="L8" s="758"/>
      <c r="M8" s="758"/>
      <c r="N8" s="758"/>
      <c r="O8" s="758"/>
      <c r="P8" s="758"/>
      <c r="Q8" s="758"/>
      <c r="R8" s="758"/>
      <c r="S8" s="758"/>
      <c r="T8" s="758"/>
      <c r="U8" s="758"/>
      <c r="V8" s="758"/>
      <c r="W8" s="758"/>
      <c r="X8" s="758"/>
      <c r="Y8" s="758"/>
      <c r="Z8" s="758"/>
      <c r="AA8" s="758"/>
      <c r="AB8" s="758"/>
    </row>
    <row customHeight="true" ht="30.370370370370367" r="9">
      <c r="A9" s="758"/>
      <c r="B9" s="758"/>
      <c r="C9" s="758"/>
      <c r="D9" s="758"/>
      <c r="E9" s="758"/>
      <c r="F9" s="758"/>
      <c r="G9" s="758"/>
      <c r="H9" s="758"/>
      <c r="I9" s="758"/>
      <c r="J9" s="758"/>
      <c r="K9" s="758"/>
      <c r="L9" s="758"/>
      <c r="M9" s="758"/>
      <c r="N9" s="758"/>
      <c r="O9" s="758"/>
      <c r="P9" s="758"/>
      <c r="Q9" s="758"/>
      <c r="R9" s="758"/>
      <c r="S9" s="758"/>
      <c r="T9" s="758"/>
      <c r="U9" s="758"/>
      <c r="V9" s="758"/>
      <c r="W9" s="758"/>
      <c r="X9" s="758"/>
      <c r="Y9" s="758"/>
      <c r="Z9" s="758"/>
      <c r="AA9" s="758"/>
      <c r="AB9" s="758"/>
    </row>
    <row customHeight="true" ht="30.370370370370367" r="10">
      <c r="A10" s="758"/>
      <c r="B10" s="758"/>
      <c r="C10" s="758"/>
      <c r="D10" s="758"/>
      <c r="E10" s="758"/>
      <c r="F10" s="758"/>
      <c r="G10" s="758"/>
      <c r="H10" s="758"/>
      <c r="I10" s="758"/>
      <c r="J10" s="758"/>
      <c r="K10" s="758"/>
      <c r="L10" s="758"/>
      <c r="M10" s="758"/>
      <c r="N10" s="758"/>
      <c r="O10" s="758"/>
      <c r="P10" s="758"/>
      <c r="Q10" s="758"/>
      <c r="R10" s="758"/>
      <c r="S10" s="758"/>
      <c r="T10" s="758"/>
      <c r="U10" s="758"/>
      <c r="V10" s="758"/>
      <c r="W10" s="758"/>
      <c r="X10" s="758"/>
      <c r="Y10" s="758"/>
      <c r="Z10" s="758"/>
      <c r="AA10" s="758"/>
      <c r="AB10" s="758"/>
    </row>
    <row customHeight="true" ht="30.370370370370367" r="11">
      <c r="A11" s="758"/>
      <c r="B11" s="758"/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8"/>
      <c r="N11" s="758"/>
      <c r="O11" s="758"/>
      <c r="P11" s="758"/>
      <c r="Q11" s="758"/>
      <c r="R11" s="758"/>
      <c r="S11" s="758"/>
      <c r="T11" s="758"/>
      <c r="U11" s="758"/>
      <c r="V11" s="758"/>
      <c r="W11" s="758"/>
      <c r="X11" s="758"/>
      <c r="Y11" s="758"/>
      <c r="Z11" s="758"/>
      <c r="AA11" s="758"/>
      <c r="AB11" s="758"/>
    </row>
    <row customHeight="true" ht="30.370370370370367" r="12">
      <c r="A12" s="758"/>
      <c r="B12" s="758"/>
      <c r="C12" s="758"/>
      <c r="D12" s="758"/>
      <c r="E12" s="758"/>
      <c r="F12" s="758"/>
      <c r="G12" s="758"/>
      <c r="H12" s="758"/>
      <c r="I12" s="758"/>
      <c r="J12" s="758"/>
      <c r="K12" s="758"/>
      <c r="L12" s="758"/>
      <c r="M12" s="758"/>
      <c r="N12" s="758"/>
      <c r="O12" s="758"/>
      <c r="P12" s="758"/>
      <c r="Q12" s="758"/>
      <c r="R12" s="758"/>
      <c r="S12" s="758"/>
      <c r="T12" s="758"/>
      <c r="U12" s="758"/>
      <c r="V12" s="758"/>
      <c r="W12" s="758"/>
      <c r="X12" s="758"/>
      <c r="Y12" s="758"/>
      <c r="Z12" s="758"/>
      <c r="AA12" s="758"/>
      <c r="AB12" s="758"/>
    </row>
    <row customHeight="true" ht="30.370370370370367" r="13">
      <c r="A13" s="758"/>
      <c r="B13" s="758"/>
      <c r="C13" s="758"/>
      <c r="D13" s="758"/>
      <c r="E13" s="758"/>
      <c r="F13" s="758"/>
      <c r="G13" s="758"/>
      <c r="H13" s="758"/>
      <c r="I13" s="758"/>
      <c r="J13" s="758"/>
      <c r="K13" s="758"/>
      <c r="L13" s="758"/>
      <c r="M13" s="758"/>
      <c r="N13" s="758"/>
      <c r="O13" s="758"/>
      <c r="P13" s="758"/>
      <c r="Q13" s="758"/>
      <c r="R13" s="758"/>
      <c r="S13" s="758"/>
      <c r="T13" s="758"/>
      <c r="U13" s="758"/>
      <c r="V13" s="758"/>
      <c r="W13" s="758"/>
      <c r="X13" s="758"/>
      <c r="Y13" s="758"/>
      <c r="Z13" s="758"/>
      <c r="AA13" s="758"/>
      <c r="AB13" s="758"/>
    </row>
    <row customHeight="true" ht="30.370370370370367" r="14">
      <c r="A14" s="758"/>
      <c r="B14" s="758"/>
      <c r="C14" s="758"/>
      <c r="D14" s="758"/>
      <c r="E14" s="758"/>
      <c r="F14" s="758"/>
      <c r="G14" s="758"/>
      <c r="H14" s="758"/>
      <c r="I14" s="758"/>
      <c r="J14" s="758"/>
      <c r="K14" s="758"/>
      <c r="L14" s="758"/>
      <c r="M14" s="758"/>
      <c r="N14" s="758"/>
      <c r="O14" s="758"/>
      <c r="P14" s="758"/>
      <c r="Q14" s="758"/>
      <c r="R14" s="758"/>
      <c r="S14" s="758"/>
      <c r="T14" s="758"/>
      <c r="U14" s="758"/>
      <c r="V14" s="758"/>
      <c r="W14" s="758"/>
      <c r="X14" s="758"/>
      <c r="Y14" s="758"/>
      <c r="Z14" s="758"/>
      <c r="AA14" s="758"/>
      <c r="AB14" s="758"/>
    </row>
    <row customHeight="true" ht="30.370370370370367" r="15">
      <c r="A15" s="758"/>
      <c r="B15" s="758"/>
      <c r="C15" s="758"/>
      <c r="D15" s="758"/>
      <c r="E15" s="758"/>
      <c r="F15" s="758"/>
      <c r="G15" s="758"/>
      <c r="H15" s="758"/>
      <c r="I15" s="758"/>
      <c r="J15" s="758"/>
      <c r="K15" s="758"/>
      <c r="L15" s="758"/>
      <c r="M15" s="758"/>
      <c r="N15" s="758"/>
      <c r="O15" s="758"/>
      <c r="P15" s="758"/>
      <c r="Q15" s="758"/>
      <c r="R15" s="758"/>
      <c r="S15" s="758"/>
      <c r="T15" s="758"/>
      <c r="U15" s="758"/>
      <c r="V15" s="758"/>
      <c r="W15" s="758"/>
      <c r="X15" s="758"/>
      <c r="Y15" s="758"/>
      <c r="Z15" s="758"/>
      <c r="AA15" s="758"/>
      <c r="AB15" s="758"/>
    </row>
    <row customHeight="true" ht="30.370370370370367" r="16">
      <c r="A16" s="758"/>
      <c r="B16" s="758"/>
      <c r="C16" s="758"/>
      <c r="D16" s="758"/>
      <c r="E16" s="758"/>
      <c r="F16" s="758"/>
      <c r="G16" s="758"/>
      <c r="H16" s="758"/>
      <c r="I16" s="758"/>
      <c r="J16" s="758"/>
      <c r="K16" s="758"/>
      <c r="L16" s="758"/>
      <c r="M16" s="758"/>
      <c r="N16" s="758"/>
      <c r="O16" s="758"/>
      <c r="P16" s="758"/>
      <c r="Q16" s="758"/>
      <c r="R16" s="758"/>
      <c r="S16" s="758"/>
      <c r="T16" s="758"/>
      <c r="U16" s="758"/>
      <c r="V16" s="758"/>
      <c r="W16" s="758"/>
      <c r="X16" s="758"/>
      <c r="Y16" s="758"/>
      <c r="Z16" s="758"/>
      <c r="AA16" s="758"/>
      <c r="AB16" s="758"/>
    </row>
    <row customHeight="true" ht="30.370370370370367" r="17"/>
    <row customHeight="true" ht="30.370370370370367" r="18"/>
    <row customHeight="true" ht="30.370370370370367" r="19"/>
    <row customHeight="true" ht="30.370370370370367" r="20"/>
  </sheetData>
  <mergeCells>
    <mergeCell ref="L1:P1"/>
    <mergeCell ref="Q1:U1"/>
    <mergeCell ref="V1:W1"/>
    <mergeCell ref="Y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X1:X2"/>
    <mergeCell ref="AB1:AB2"/>
  </mergeCells>
  <conditionalFormatting sqref="AB3:AB3">
    <cfRule dxfId="142" operator="containsText" priority="1" stopIfTrue="true" text="库存滞销" type="containsText">
      <formula>NOT(ISERROR(SEARCH("库存滞销",AB3)))</formula>
    </cfRule>
  </conditionalFormatting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7" min="17" style="0" width="17.4"/>
    <col collapsed="false" customWidth="true" hidden="false" max="21" min="21" style="0" width="17.4"/>
    <col collapsed="false" customWidth="true" hidden="false" max="25" min="25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20" min="20" style="0" width="17.4"/>
    <col collapsed="false" customWidth="true" hidden="false" max="24" min="24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19" min="19" style="0" width="17.4"/>
    <col collapsed="false" customWidth="true" hidden="false" max="23" min="23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7.4"/>
    <col collapsed="false" customWidth="true" hidden="false" max="22" min="22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</cols>
  <sheetData>
    <row customHeight="true" ht="18.51851851851852" r="1">
      <c r="A1" s="759" t="s">
        <v>1618</v>
      </c>
      <c r="B1" s="759" t="s">
        <v>1619</v>
      </c>
      <c r="C1" s="759" t="s">
        <v>1620</v>
      </c>
      <c r="D1" s="759" t="s">
        <v>1621</v>
      </c>
      <c r="E1" s="759" t="s">
        <v>1622</v>
      </c>
      <c r="F1" s="759" t="s">
        <v>1623</v>
      </c>
      <c r="G1" s="759" t="s">
        <v>1624</v>
      </c>
      <c r="H1" s="759" t="s">
        <v>1625</v>
      </c>
      <c r="I1" s="759" t="s">
        <v>1626</v>
      </c>
      <c r="J1" s="759" t="s">
        <v>1627</v>
      </c>
      <c r="K1" s="759" t="s">
        <v>1628</v>
      </c>
      <c r="L1" s="760" t="s">
        <v>1629</v>
      </c>
      <c r="M1" s="760" t="s">
        <v>1630</v>
      </c>
      <c r="N1" s="760" t="s">
        <v>1631</v>
      </c>
      <c r="O1" s="761" t="s">
        <v>1632</v>
      </c>
      <c r="P1" s="762" t="s">
        <v>1633</v>
      </c>
      <c r="Q1" s="762" t="s">
        <v>1634</v>
      </c>
      <c r="R1" s="762" t="s">
        <v>1635</v>
      </c>
      <c r="S1" s="762" t="s">
        <v>1636</v>
      </c>
      <c r="T1" s="762" t="s">
        <v>1637</v>
      </c>
      <c r="U1" s="762" t="s">
        <v>1638</v>
      </c>
      <c r="V1" s="762" t="s">
        <v>1639</v>
      </c>
      <c r="W1" s="762" t="s">
        <v>1640</v>
      </c>
      <c r="X1" s="762" t="s">
        <v>1641</v>
      </c>
      <c r="Y1" s="762" t="s">
        <v>1642</v>
      </c>
    </row>
    <row customHeight="true" ht="18.51851851851852" r="2">
      <c r="A2" s="762" t="s">
        <v>1643</v>
      </c>
      <c r="C2" s="763">
        <v>45812</v>
      </c>
      <c r="D2" s="764" t="s">
        <v>1644</v>
      </c>
      <c r="J2" s="763">
        <v>45812</v>
      </c>
      <c r="O2" s="762" t="s">
        <v>1645</v>
      </c>
      <c r="P2" s="762" t="s">
        <v>1646</v>
      </c>
      <c r="Q2" s="762" t="s">
        <v>1644</v>
      </c>
      <c r="R2" s="763">
        <v>45812</v>
      </c>
    </row>
    <row customHeight="true" ht="18.51851851851852" r="3">
      <c r="A3" s="762" t="s">
        <v>1643</v>
      </c>
      <c r="C3" s="763">
        <v>45831</v>
      </c>
      <c r="D3" s="764" t="s">
        <v>1647</v>
      </c>
      <c r="J3" s="763">
        <v>45831</v>
      </c>
      <c r="O3" s="762" t="s">
        <v>1645</v>
      </c>
      <c r="P3" s="762" t="s">
        <v>1646</v>
      </c>
      <c r="Q3" s="762" t="s">
        <v>1647</v>
      </c>
      <c r="R3" s="763">
        <v>45831</v>
      </c>
    </row>
    <row customHeight="true" ht="18.51851851851852" r="4">
      <c r="A4" s="762" t="s">
        <v>1643</v>
      </c>
      <c r="C4" s="763">
        <v>45834</v>
      </c>
      <c r="D4" s="764" t="s">
        <v>1648</v>
      </c>
      <c r="J4" s="763">
        <v>45834</v>
      </c>
      <c r="O4" s="762" t="s">
        <v>1645</v>
      </c>
      <c r="P4" s="762" t="s">
        <v>1646</v>
      </c>
      <c r="Q4" s="762" t="s">
        <v>1648</v>
      </c>
      <c r="R4" s="763">
        <v>45834</v>
      </c>
    </row>
    <row customHeight="true" ht="18.51851851851852" r="5"/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  <legacyDrawing r:id="rId1"/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7.4"/>
    <col collapsed="false" customWidth="true" hidden="false" max="23" min="23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2" min="22" style="0" width="17.4"/>
    <col collapsed="false" customWidth="true" hidden="false" max="25" min="25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21" min="21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20" min="20" style="0" width="17.4"/>
    <col collapsed="false" customWidth="true" hidden="false" max="24" min="24" style="0" width="17.4"/>
  </cols>
  <sheetData>
    <row customHeight="true" ht="18.51851851851852" r="1">
      <c r="A1" s="765" t="s">
        <v>1649</v>
      </c>
      <c r="B1" s="765" t="s">
        <v>1650</v>
      </c>
      <c r="C1" s="765" t="s">
        <v>1651</v>
      </c>
      <c r="D1" s="765" t="s">
        <v>1652</v>
      </c>
      <c r="E1" s="765" t="s">
        <v>1653</v>
      </c>
      <c r="F1" s="765" t="s">
        <v>1654</v>
      </c>
      <c r="G1" s="765" t="s">
        <v>1655</v>
      </c>
      <c r="H1" s="765" t="s">
        <v>1656</v>
      </c>
      <c r="I1" s="765" t="s">
        <v>1657</v>
      </c>
      <c r="J1" s="765" t="s">
        <v>1658</v>
      </c>
      <c r="K1" s="765" t="s">
        <v>1659</v>
      </c>
      <c r="L1" s="766" t="s">
        <v>1660</v>
      </c>
      <c r="M1" s="766" t="s">
        <v>1661</v>
      </c>
      <c r="N1" s="766" t="s">
        <v>1662</v>
      </c>
      <c r="O1" s="767" t="s">
        <v>1663</v>
      </c>
      <c r="P1" s="768" t="s">
        <v>1664</v>
      </c>
      <c r="Q1" s="768" t="s">
        <v>1665</v>
      </c>
      <c r="R1" s="768" t="s">
        <v>1666</v>
      </c>
      <c r="S1" s="768" t="s">
        <v>1667</v>
      </c>
      <c r="T1" s="768" t="s">
        <v>1668</v>
      </c>
      <c r="U1" s="768" t="s">
        <v>1669</v>
      </c>
      <c r="V1" s="768" t="s">
        <v>1670</v>
      </c>
      <c r="W1" s="768" t="s">
        <v>1671</v>
      </c>
      <c r="X1" s="768" t="s">
        <v>1672</v>
      </c>
      <c r="Y1" s="768" t="s">
        <v>1673</v>
      </c>
    </row>
    <row customHeight="true" ht="18.51851851851852" r="2">
      <c r="A2" s="768" t="s">
        <v>1674</v>
      </c>
      <c r="C2" s="769">
        <v>45813</v>
      </c>
      <c r="D2" s="768" t="s">
        <v>1675</v>
      </c>
      <c r="J2" s="769">
        <v>45813</v>
      </c>
      <c r="O2" s="768" t="s">
        <v>1676</v>
      </c>
      <c r="Q2" s="768" t="s">
        <v>1675</v>
      </c>
      <c r="R2" s="769">
        <v>45813</v>
      </c>
    </row>
    <row customHeight="true" ht="18.51851851851852" r="3"/>
    <row customHeight="true" ht="18.51851851851852" r="4"/>
    <row customHeight="true" ht="18.51851851851852" r="5">
      <c r="G5" s="768"/>
      <c r="H5" s="768"/>
      <c r="I5" s="768"/>
      <c r="J5" s="768"/>
      <c r="K5" s="768"/>
      <c r="L5" s="768"/>
      <c r="M5" s="768"/>
    </row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  <legacyDrawing r:id="rId1"/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17.4"/>
    <col collapsed="false" customWidth="true" hidden="false" max="20" min="20" style="0" width="17.4"/>
    <col collapsed="false" customWidth="true" hidden="false" max="24" min="24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21" min="21" style="0" width="17.4"/>
    <col collapsed="false" customWidth="true" hidden="false" max="25" min="25" style="0" width="17.4"/>
    <col collapsed="false" customWidth="true" hidden="false" max="1" min="1" style="0" width="17.4"/>
    <col collapsed="false" customWidth="true" hidden="false" max="5" min="5" style="0" width="17.4"/>
    <col collapsed="false" customWidth="true" hidden="false" max="9" min="9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2" min="22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5" min="15" style="0" width="17.4"/>
    <col collapsed="false" customWidth="true" hidden="false" max="19" min="19" style="0" width="17.4"/>
    <col collapsed="false" customWidth="true" hidden="false" max="23" min="23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</cols>
  <sheetData>
    <row customHeight="true" ht="18.51851851851852" r="1">
      <c r="A1" s="770" t="s">
        <v>1677</v>
      </c>
      <c r="B1" s="770" t="s">
        <v>1678</v>
      </c>
      <c r="C1" s="770" t="s">
        <v>1679</v>
      </c>
      <c r="D1" s="770" t="s">
        <v>1680</v>
      </c>
      <c r="E1" s="770" t="s">
        <v>1681</v>
      </c>
      <c r="F1" s="770" t="s">
        <v>1682</v>
      </c>
      <c r="G1" s="770" t="s">
        <v>1683</v>
      </c>
      <c r="H1" s="770" t="s">
        <v>1684</v>
      </c>
      <c r="I1" s="770" t="s">
        <v>1685</v>
      </c>
      <c r="J1" s="770" t="s">
        <v>1686</v>
      </c>
      <c r="K1" s="770" t="s">
        <v>1687</v>
      </c>
      <c r="L1" s="771" t="s">
        <v>1688</v>
      </c>
      <c r="M1" s="771" t="s">
        <v>1689</v>
      </c>
      <c r="N1" s="771" t="s">
        <v>1690</v>
      </c>
      <c r="O1" s="772" t="s">
        <v>1691</v>
      </c>
      <c r="P1" s="773" t="s">
        <v>1692</v>
      </c>
      <c r="Q1" s="773" t="s">
        <v>1693</v>
      </c>
      <c r="R1" s="773" t="s">
        <v>1694</v>
      </c>
      <c r="S1" s="773" t="s">
        <v>1695</v>
      </c>
      <c r="T1" s="773" t="s">
        <v>1696</v>
      </c>
      <c r="U1" s="773" t="s">
        <v>1697</v>
      </c>
      <c r="V1" s="773" t="s">
        <v>1698</v>
      </c>
      <c r="W1" s="773" t="s">
        <v>1699</v>
      </c>
      <c r="X1" s="773" t="s">
        <v>1700</v>
      </c>
      <c r="Y1" s="773" t="s">
        <v>1701</v>
      </c>
    </row>
    <row customHeight="true" ht="18.51851851851852" r="2">
      <c r="C2" s="774">
        <v>45813</v>
      </c>
      <c r="D2" s="773" t="s">
        <v>1702</v>
      </c>
      <c r="J2" s="774">
        <v>45813</v>
      </c>
      <c r="O2" s="773" t="s">
        <v>1703</v>
      </c>
      <c r="P2" s="773" t="s">
        <v>1704</v>
      </c>
      <c r="Q2" s="773" t="s">
        <v>1702</v>
      </c>
      <c r="R2" s="774">
        <v>45813</v>
      </c>
    </row>
    <row customHeight="true" ht="18.51851851851852" r="3">
      <c r="C3" s="774">
        <v>45820</v>
      </c>
      <c r="D3" s="773" t="s">
        <v>1705</v>
      </c>
      <c r="J3" s="774">
        <v>45820</v>
      </c>
      <c r="O3" s="773" t="s">
        <v>1703</v>
      </c>
      <c r="P3" s="773" t="s">
        <v>1704</v>
      </c>
      <c r="Q3" s="773" t="s">
        <v>1705</v>
      </c>
      <c r="R3" s="774">
        <v>45820</v>
      </c>
    </row>
    <row customHeight="true" ht="18.51851851851852" r="4">
      <c r="C4" s="774">
        <v>45817</v>
      </c>
      <c r="D4" s="773" t="s">
        <v>1706</v>
      </c>
      <c r="J4" s="774">
        <v>45817</v>
      </c>
      <c r="O4" s="773" t="s">
        <v>1703</v>
      </c>
      <c r="P4" s="773" t="s">
        <v>1704</v>
      </c>
      <c r="Q4" s="773" t="s">
        <v>1706</v>
      </c>
      <c r="R4" s="774">
        <v>45817</v>
      </c>
    </row>
    <row customHeight="true" ht="18.51851851851852" r="5">
      <c r="C5" s="774">
        <v>45823</v>
      </c>
      <c r="D5" s="773" t="s">
        <v>1707</v>
      </c>
      <c r="J5" s="774">
        <v>45823</v>
      </c>
      <c r="O5" s="773" t="s">
        <v>1703</v>
      </c>
      <c r="P5" s="773" t="s">
        <v>1704</v>
      </c>
      <c r="Q5" s="773" t="s">
        <v>1707</v>
      </c>
      <c r="R5" s="774">
        <v>45823</v>
      </c>
    </row>
    <row customHeight="true" ht="18.51851851851852" r="6">
      <c r="C6" s="774">
        <v>45824</v>
      </c>
      <c r="D6" s="773" t="s">
        <v>1708</v>
      </c>
      <c r="J6" s="774">
        <v>45824</v>
      </c>
      <c r="O6" s="773" t="s">
        <v>1703</v>
      </c>
      <c r="P6" s="773" t="s">
        <v>1704</v>
      </c>
      <c r="Q6" s="773" t="s">
        <v>1708</v>
      </c>
      <c r="R6" s="774">
        <v>45824</v>
      </c>
    </row>
    <row customHeight="true" ht="18.51851851851852" r="7">
      <c r="C7" s="774">
        <v>45833</v>
      </c>
      <c r="D7" s="773" t="s">
        <v>1709</v>
      </c>
      <c r="J7" s="774">
        <v>45833</v>
      </c>
      <c r="O7" s="773" t="s">
        <v>1703</v>
      </c>
      <c r="P7" s="773" t="s">
        <v>1704</v>
      </c>
      <c r="Q7" s="773" t="s">
        <v>1709</v>
      </c>
      <c r="R7" s="774">
        <v>45833</v>
      </c>
    </row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  <legacyDrawing r:id="rId1"/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7.4"/>
    <col collapsed="false" customWidth="true" hidden="false" max="5" min="5" style="0" width="17.4"/>
    <col collapsed="false" customWidth="true" hidden="false" max="12" min="12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21" min="21" style="0" width="17.4"/>
    <col collapsed="false" customWidth="true" hidden="false" max="25" min="25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6" min="16" style="0" width="17.4"/>
    <col collapsed="false" customWidth="true" hidden="false" max="20" min="20" style="0" width="17.4"/>
    <col collapsed="false" customWidth="true" hidden="false" max="24" min="24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0" min="10" style="0" width="17.4"/>
    <col collapsed="false" customWidth="true" hidden="false" max="19" min="19" style="0" width="17.4"/>
    <col collapsed="false" customWidth="true" hidden="false" max="23" min="23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9" min="9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2" min="22" style="0" width="17.4"/>
  </cols>
  <sheetData>
    <row customHeight="true" ht="18.51851851851852" r="1">
      <c r="A1" s="775" t="s">
        <v>1710</v>
      </c>
      <c r="B1" s="775" t="s">
        <v>1711</v>
      </c>
      <c r="C1" s="775" t="s">
        <v>1712</v>
      </c>
      <c r="D1" s="775" t="s">
        <v>1713</v>
      </c>
      <c r="E1" s="775" t="s">
        <v>1714</v>
      </c>
      <c r="F1" s="775" t="s">
        <v>1715</v>
      </c>
      <c r="G1" s="775" t="s">
        <v>1716</v>
      </c>
      <c r="H1" s="775" t="s">
        <v>1717</v>
      </c>
      <c r="I1" s="775" t="s">
        <v>1718</v>
      </c>
      <c r="J1" s="775" t="s">
        <v>1719</v>
      </c>
      <c r="K1" s="775" t="s">
        <v>1720</v>
      </c>
      <c r="L1" s="776" t="s">
        <v>1721</v>
      </c>
      <c r="M1" s="776" t="s">
        <v>1722</v>
      </c>
      <c r="N1" s="776" t="s">
        <v>1723</v>
      </c>
      <c r="O1" s="777" t="s">
        <v>1724</v>
      </c>
      <c r="P1" s="778" t="s">
        <v>1725</v>
      </c>
      <c r="Q1" s="778" t="s">
        <v>1726</v>
      </c>
      <c r="R1" s="778" t="s">
        <v>1727</v>
      </c>
      <c r="S1" s="778" t="s">
        <v>1728</v>
      </c>
      <c r="T1" s="778" t="s">
        <v>1729</v>
      </c>
      <c r="U1" s="778" t="s">
        <v>1730</v>
      </c>
      <c r="V1" s="778" t="s">
        <v>1731</v>
      </c>
      <c r="W1" s="778" t="s">
        <v>1732</v>
      </c>
      <c r="X1" s="778" t="s">
        <v>1733</v>
      </c>
      <c r="Y1" s="778" t="s">
        <v>1734</v>
      </c>
    </row>
    <row customHeight="true" ht="18.51851851851852" r="2">
      <c r="A2" s="778" t="s">
        <v>1735</v>
      </c>
      <c r="C2" s="779">
        <v>45811</v>
      </c>
      <c r="D2" s="778" t="s">
        <v>1736</v>
      </c>
      <c r="J2" s="779">
        <v>45811</v>
      </c>
      <c r="O2" s="778" t="s">
        <v>1737</v>
      </c>
      <c r="P2" s="778" t="s">
        <v>1738</v>
      </c>
      <c r="Q2" s="778" t="s">
        <v>1736</v>
      </c>
      <c r="R2" s="780">
        <v>45811</v>
      </c>
    </row>
    <row customHeight="true" ht="18.51851851851852" r="3">
      <c r="A3" s="778" t="s">
        <v>1735</v>
      </c>
      <c r="C3" s="779">
        <v>45812</v>
      </c>
      <c r="D3" s="778" t="s">
        <v>1739</v>
      </c>
      <c r="J3" s="779">
        <v>45812</v>
      </c>
      <c r="O3" s="778" t="s">
        <v>1737</v>
      </c>
      <c r="P3" s="778" t="s">
        <v>1738</v>
      </c>
      <c r="Q3" s="778" t="s">
        <v>1739</v>
      </c>
      <c r="R3" s="780">
        <v>45812</v>
      </c>
    </row>
    <row customHeight="true" ht="18.51851851851852" r="4">
      <c r="A4" s="778" t="s">
        <v>1735</v>
      </c>
      <c r="C4" s="779">
        <v>45821</v>
      </c>
      <c r="D4" s="778" t="s">
        <v>1740</v>
      </c>
      <c r="J4" s="779">
        <v>45821</v>
      </c>
      <c r="O4" s="778" t="s">
        <v>1737</v>
      </c>
      <c r="P4" s="778" t="s">
        <v>1738</v>
      </c>
      <c r="Q4" s="778" t="s">
        <v>1740</v>
      </c>
      <c r="R4" s="780">
        <v>45821</v>
      </c>
    </row>
    <row customHeight="true" ht="18.51851851851852" r="5">
      <c r="A5" s="778" t="s">
        <v>1735</v>
      </c>
      <c r="C5" s="779">
        <v>45820</v>
      </c>
      <c r="D5" s="778" t="s">
        <v>1741</v>
      </c>
      <c r="J5" s="779">
        <v>45820</v>
      </c>
      <c r="O5" s="778" t="s">
        <v>1737</v>
      </c>
      <c r="P5" s="778" t="s">
        <v>1738</v>
      </c>
      <c r="Q5" s="778" t="s">
        <v>1741</v>
      </c>
      <c r="R5" s="780">
        <v>45820</v>
      </c>
    </row>
    <row customHeight="true" ht="18.51851851851852" r="6">
      <c r="A6" s="778" t="s">
        <v>1735</v>
      </c>
      <c r="C6" s="779">
        <v>45819</v>
      </c>
      <c r="D6" s="778" t="s">
        <v>1742</v>
      </c>
      <c r="J6" s="779">
        <v>45819</v>
      </c>
      <c r="O6" s="778" t="s">
        <v>1737</v>
      </c>
      <c r="P6" s="778" t="s">
        <v>1738</v>
      </c>
      <c r="Q6" s="778" t="s">
        <v>1742</v>
      </c>
      <c r="R6" s="780">
        <v>45819</v>
      </c>
    </row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  <legacyDrawing r:id="rId1"/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7.4"/>
    <col collapsed="false" customWidth="true" hidden="false" max="9" min="9" style="0" width="17.4"/>
    <col collapsed="false" customWidth="true" hidden="false" max="24" min="24" style="0" width="17.4"/>
    <col collapsed="false" customWidth="true" hidden="false" max="41" min="41" style="0" width="17.4"/>
    <col collapsed="false" customWidth="true" hidden="false" max="57" min="57" style="0" width="17.4"/>
    <col collapsed="false" customWidth="true" hidden="false" max="7" min="7" style="0" width="17.4"/>
    <col collapsed="false" customWidth="true" hidden="false" max="23" min="23" style="0" width="17.4"/>
    <col collapsed="false" customWidth="true" hidden="false" max="40" min="40" style="0" width="17.4"/>
    <col collapsed="false" customWidth="true" hidden="false" max="56" min="56" style="0" width="17.4"/>
    <col collapsed="false" customWidth="true" hidden="false" max="6" min="6" style="0" width="17.4"/>
    <col collapsed="false" customWidth="true" hidden="false" max="22" min="22" style="0" width="17.4"/>
    <col collapsed="false" customWidth="true" hidden="false" max="39" min="39" style="0" width="17.4"/>
    <col collapsed="false" customWidth="true" hidden="false" max="55" min="55" style="0" width="17.4"/>
    <col collapsed="false" customWidth="true" hidden="false" max="71" min="71" style="0" width="17.4"/>
    <col collapsed="false" customWidth="true" hidden="false" max="5" min="5" style="0" width="17.4"/>
    <col collapsed="false" customWidth="true" hidden="false" max="21" min="21" style="0" width="17.4"/>
    <col collapsed="false" customWidth="true" hidden="false" max="38" min="38" style="0" width="17.4"/>
    <col collapsed="false" customWidth="true" hidden="false" max="54" min="54" style="0" width="17.4"/>
    <col collapsed="false" customWidth="true" hidden="false" max="70" min="70" style="0" width="17.4"/>
    <col collapsed="false" customWidth="true" hidden="false" max="4" min="4" style="0" width="17.4"/>
    <col collapsed="false" customWidth="true" hidden="false" max="20" min="20" style="0" width="17.4"/>
    <col collapsed="false" customWidth="true" hidden="false" max="37" min="37" style="0" width="17.4"/>
    <col collapsed="false" customWidth="true" hidden="false" max="53" min="53" style="0" width="17.4"/>
    <col collapsed="false" customWidth="true" hidden="false" max="69" min="69" style="0" width="17.4"/>
    <col collapsed="false" customWidth="true" hidden="false" max="3" min="3" style="0" width="17.4"/>
    <col collapsed="false" customWidth="true" hidden="false" max="19" min="19" style="0" width="17.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8" min="68" style="0" width="17.4"/>
    <col collapsed="false" customWidth="true" hidden="false" max="2" min="2" style="0" width="17.4"/>
    <col collapsed="false" customWidth="true" hidden="false" max="18" min="18" style="0" width="17.4"/>
    <col collapsed="false" customWidth="true" hidden="false" max="35" min="35" style="0" width="17.4"/>
    <col collapsed="false" customWidth="true" hidden="false" max="51" min="51" style="0" width="17.4"/>
    <col collapsed="false" customWidth="true" hidden="false" max="67" min="67" style="0" width="17.4"/>
    <col collapsed="false" customWidth="true" hidden="false" max="1" min="1" style="0" width="17.4"/>
    <col collapsed="false" customWidth="true" hidden="false" max="17" min="17" style="0" width="17.4"/>
    <col collapsed="false" customWidth="true" hidden="false" max="34" min="34" style="0" width="17.4"/>
    <col collapsed="false" customWidth="true" hidden="false" max="50" min="50" style="0" width="17.4"/>
    <col collapsed="false" customWidth="true" hidden="false" max="66" min="66" style="0" width="17.4"/>
    <col collapsed="false" customWidth="true" hidden="false" max="32" min="32" style="0" width="17.4"/>
    <col collapsed="false" customWidth="true" hidden="false" max="33" min="33" style="0" width="17.4"/>
    <col collapsed="false" customWidth="true" hidden="false" max="49" min="49" style="0" width="17.4"/>
    <col collapsed="false" customWidth="true" hidden="false" max="65" min="65" style="0" width="17.4"/>
    <col collapsed="false" customWidth="true" hidden="false" max="16" min="16" style="0" width="17.4"/>
    <col collapsed="false" customWidth="true" hidden="false" max="31" min="31" style="0" width="17.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5" min="15" style="0" width="17.4"/>
    <col collapsed="false" customWidth="true" hidden="false" max="30" min="30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14" min="14" style="0" width="17.4"/>
    <col collapsed="false" customWidth="true" hidden="false" max="29" min="29" style="0" width="17.4"/>
    <col collapsed="false" customWidth="true" hidden="false" max="46" min="46" style="0" width="17.4"/>
    <col collapsed="false" customWidth="true" hidden="false" max="62" min="62" style="0" width="17.4"/>
    <col collapsed="false" customWidth="true" hidden="false" max="13" min="13" style="0" width="17.4"/>
    <col collapsed="false" customWidth="true" hidden="false" max="28" min="28" style="0" width="17.4"/>
    <col collapsed="false" customWidth="true" hidden="false" max="45" min="45" style="0" width="17.4"/>
    <col collapsed="false" customWidth="true" hidden="false" max="61" min="61" style="0" width="17.4"/>
    <col collapsed="false" customWidth="true" hidden="false" max="12" min="12" style="0" width="17.4"/>
    <col collapsed="false" customWidth="true" hidden="false" max="27" min="27" style="0" width="17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11" min="11" style="0" width="17.4"/>
    <col collapsed="false" customWidth="true" hidden="false" max="26" min="26" style="0" width="17.4"/>
    <col collapsed="false" customWidth="true" hidden="false" max="43" min="43" style="0" width="17.4"/>
    <col collapsed="false" customWidth="true" hidden="false" max="59" min="59" style="0" width="17.4"/>
    <col collapsed="false" customWidth="true" hidden="false" max="10" min="10" style="0" width="17.4"/>
    <col collapsed="false" customWidth="true" hidden="false" max="25" min="25" style="0" width="17.4"/>
    <col collapsed="false" customWidth="true" hidden="false" max="42" min="42" style="0" width="17.4"/>
    <col collapsed="false" customWidth="true" hidden="false" max="58" min="58" style="0" width="17.4"/>
  </cols>
  <sheetData>
    <row customHeight="true" ht="52.59259259259259" r="1">
      <c r="A1" s="781" t="s">
        <v>1743</v>
      </c>
      <c r="B1" s="782" t="s">
        <v>1744</v>
      </c>
      <c r="C1" s="782" t="s">
        <v>1745</v>
      </c>
      <c r="D1" s="781" t="s">
        <v>1746</v>
      </c>
      <c r="E1" s="783" t="s">
        <v>1747</v>
      </c>
      <c r="F1" s="784" t="s">
        <v>1748</v>
      </c>
      <c r="G1" s="785" t="s">
        <v>1749</v>
      </c>
      <c r="H1" s="785" t="s">
        <v>1750</v>
      </c>
      <c r="I1" s="785" t="s">
        <v>1751</v>
      </c>
      <c r="J1" s="786" t="s">
        <v>1752</v>
      </c>
      <c r="K1" s="787" t="s">
        <v>1753</v>
      </c>
      <c r="L1" s="788" t="s">
        <v>1754</v>
      </c>
      <c r="M1" s="781" t="s">
        <v>1755</v>
      </c>
      <c r="N1" s="789" t="s">
        <v>1756</v>
      </c>
      <c r="O1" s="790" t="s">
        <v>1757</v>
      </c>
      <c r="P1" s="784" t="s">
        <v>1758</v>
      </c>
      <c r="Q1" s="791" t="s">
        <v>1759</v>
      </c>
      <c r="R1" s="792" t="s">
        <v>1760</v>
      </c>
      <c r="S1" s="792" t="s">
        <v>1761</v>
      </c>
      <c r="T1" s="792" t="s">
        <v>1762</v>
      </c>
      <c r="U1" s="793" t="s">
        <v>1763</v>
      </c>
      <c r="V1" s="794" t="s">
        <v>1764</v>
      </c>
      <c r="W1" s="794" t="s">
        <v>1765</v>
      </c>
      <c r="X1" s="793" t="s">
        <v>1766</v>
      </c>
      <c r="Y1" s="793" t="s">
        <v>1767</v>
      </c>
      <c r="Z1" s="793" t="s">
        <v>1768</v>
      </c>
      <c r="AA1" s="793" t="s">
        <v>1769</v>
      </c>
      <c r="AB1" s="793" t="s">
        <v>1770</v>
      </c>
      <c r="AC1" s="795" t="s">
        <v>1771</v>
      </c>
      <c r="AD1" s="796" t="s">
        <v>1772</v>
      </c>
      <c r="AE1" s="795" t="s">
        <v>1773</v>
      </c>
      <c r="AF1" s="794" t="s">
        <v>1774</v>
      </c>
      <c r="AG1" s="794" t="s">
        <v>1775</v>
      </c>
      <c r="AH1" s="787" t="s">
        <v>1776</v>
      </c>
      <c r="AI1" s="794" t="s">
        <v>1777</v>
      </c>
      <c r="AJ1" s="794" t="s">
        <v>1778</v>
      </c>
      <c r="AK1" s="794" t="s">
        <v>1779</v>
      </c>
      <c r="AL1" s="794" t="s">
        <v>1780</v>
      </c>
      <c r="AM1" s="794" t="s">
        <v>1781</v>
      </c>
      <c r="AN1" s="794" t="s">
        <v>1782</v>
      </c>
      <c r="AO1" s="794" t="s">
        <v>1783</v>
      </c>
      <c r="AP1" s="794" t="s">
        <v>1784</v>
      </c>
      <c r="AQ1" s="794" t="s">
        <v>1785</v>
      </c>
      <c r="AR1" s="794" t="s">
        <v>1786</v>
      </c>
      <c r="AS1" s="794" t="s">
        <v>1787</v>
      </c>
      <c r="AT1" s="797" t="s">
        <v>1788</v>
      </c>
      <c r="AU1" s="797" t="s">
        <v>1789</v>
      </c>
      <c r="AV1" s="797" t="s">
        <v>1790</v>
      </c>
      <c r="AW1" s="797" t="s">
        <v>1779</v>
      </c>
      <c r="AX1" s="797" t="s">
        <v>1780</v>
      </c>
      <c r="AY1" s="797" t="s">
        <v>1781</v>
      </c>
      <c r="AZ1" s="794" t="s">
        <v>1782</v>
      </c>
      <c r="BA1" s="794" t="s">
        <v>1783</v>
      </c>
      <c r="BB1" s="794" t="s">
        <v>1784</v>
      </c>
      <c r="BC1" s="794" t="s">
        <v>1785</v>
      </c>
      <c r="BD1" s="794" t="s">
        <v>1786</v>
      </c>
      <c r="BE1" s="794" t="s">
        <v>1787</v>
      </c>
      <c r="BF1" s="797" t="s">
        <v>1791</v>
      </c>
      <c r="BG1" s="797" t="s">
        <v>1789</v>
      </c>
      <c r="BH1" s="797" t="s">
        <v>1790</v>
      </c>
      <c r="BI1" s="797" t="s">
        <v>1779</v>
      </c>
      <c r="BJ1" s="797" t="s">
        <v>1780</v>
      </c>
      <c r="BK1" s="797" t="s">
        <v>1781</v>
      </c>
      <c r="BL1" s="794" t="s">
        <v>1782</v>
      </c>
      <c r="BM1" s="794" t="s">
        <v>1783</v>
      </c>
      <c r="BN1" s="794" t="s">
        <v>1784</v>
      </c>
      <c r="BO1" s="794" t="s">
        <v>1785</v>
      </c>
      <c r="BP1" s="794" t="s">
        <v>1786</v>
      </c>
      <c r="BQ1" s="794" t="s">
        <v>1787</v>
      </c>
      <c r="BR1" s="797" t="s">
        <v>1792</v>
      </c>
      <c r="BS1" s="798" t="s">
        <v>1793</v>
      </c>
    </row>
    <row customHeight="true" ht="50.37037037037037" r="2">
      <c r="A2" s="799" t="s">
        <v>1794</v>
      </c>
      <c r="B2" s="799" t="s">
        <v>1795</v>
      </c>
      <c r="C2" s="799" t="s">
        <v>1796</v>
      </c>
      <c r="D2" s="800" t="s">
        <v>1797</v>
      </c>
      <c r="E2" s="801">
        <v>59.5</v>
      </c>
      <c r="F2" s="801">
        <v>84.99</v>
      </c>
      <c r="G2" s="802">
        <f t="shared" ref="G2:G20" si="1">(F2-Z2)</f>
      </c>
      <c r="H2" s="802">
        <f t="shared" ref="H2:H19" si="19">(F2-Z2)/1.2</f>
      </c>
      <c r="I2" s="802">
        <f t="shared" ref="I2:I19" si="15">E2-N2/Q2-AB2-Y2-O2-Z2-AA2</f>
      </c>
      <c r="J2" s="803">
        <f t="shared" ref="J2:J19" si="8">I2/E2</f>
      </c>
      <c r="K2" s="804">
        <f t="shared" ref="K2:K19" si="2">F2/1.2</f>
      </c>
      <c r="L2" s="805">
        <f t="shared" ref="L2:L19" si="20">(K2-E2)/K2</f>
      </c>
      <c r="M2" s="802">
        <f t="shared" ref="M2:M19" si="16">F2/1.2-E2</f>
      </c>
      <c r="N2" s="804">
        <f t="shared" ref="N2:N19" si="9">AD2+AH2</f>
      </c>
      <c r="O2" s="804">
        <f t="shared" ref="O2:O19" si="3">IFERROR(IF(A2="UK",8.95/P2,IF(A2="DE",11.43/P2,IF(A2="FR",15.27/P2,IF(A2="IT",16.34/P2,IF(A2="ES",20.62/P2,IF(A2="NL",12/P2,IF(A2="PL",15.06/P2,IF(A2="SE",18.5/P2,IF(A2="BE",15.27/P2))))))))),0)</f>
      </c>
      <c r="P2" s="799">
        <v>4</v>
      </c>
      <c r="Q2" s="806">
        <v>9.5</v>
      </c>
      <c r="R2" s="807">
        <f t="shared" ref="R2:R19" si="21">Y2/E2</f>
      </c>
      <c r="S2" s="803">
        <f t="shared" ref="S2:S3" si="17">Y2/H2</f>
      </c>
      <c r="T2" s="807">
        <f t="shared" ref="T2:T19" si="10">Z2/E2</f>
      </c>
      <c r="U2" s="807">
        <v>0.01</v>
      </c>
      <c r="V2" s="807">
        <f t="shared" ref="V2:V19" si="4">N2/(E2*Q2)</f>
      </c>
      <c r="W2" s="807">
        <f t="shared" ref="W2:W19" si="22">O2/E2</f>
      </c>
      <c r="X2" s="808">
        <v>0.183</v>
      </c>
      <c r="Y2" s="809">
        <v>8</v>
      </c>
      <c r="Z2" s="809">
        <f>F2*0.1</f>
      </c>
      <c r="AA2" s="809">
        <f t="shared" ref="AA2:AA19" si="11">E2*U2</f>
      </c>
      <c r="AB2" s="804">
        <f t="shared" ref="AB2:AB19" si="5">E2*X2</f>
      </c>
      <c r="AC2" s="804">
        <v>138.5</v>
      </c>
      <c r="AD2" s="810">
        <f t="shared" ref="AD2:AD19" si="23">AC2/1.13</f>
      </c>
      <c r="AE2" s="806">
        <f t="shared" ref="AE2:AE19" si="18">AH2/Q2</f>
      </c>
      <c r="AF2" s="807">
        <f t="shared" ref="AF2:AF19" si="12">AD2/(E2*Q2)</f>
      </c>
      <c r="AG2" s="807">
        <f t="shared" ref="AG2:AG19" si="6">AE2/Q2/E2</f>
      </c>
      <c r="AH2" s="806">
        <v>35</v>
      </c>
      <c r="AI2" s="807">
        <f t="shared" ref="AI2:AI8" si="24">(H2-E2+AB2)/H2</f>
      </c>
      <c r="AJ2" s="807"/>
      <c r="AK2" s="807"/>
      <c r="AL2" s="807"/>
      <c r="AM2" s="807"/>
      <c r="AN2" s="807"/>
      <c r="AO2" s="807"/>
      <c r="AP2" s="807"/>
      <c r="AQ2" s="807"/>
      <c r="AR2" s="807"/>
      <c r="AS2" s="807"/>
      <c r="AT2" s="811" t="s">
        <v>1798</v>
      </c>
      <c r="AU2" s="811" t="s">
        <v>1798</v>
      </c>
      <c r="AV2" s="811" t="s">
        <v>1798</v>
      </c>
      <c r="AW2" s="811" t="s">
        <v>1798</v>
      </c>
      <c r="AX2" s="811" t="s">
        <v>1798</v>
      </c>
      <c r="AY2" s="811" t="s">
        <v>1798</v>
      </c>
      <c r="AZ2" s="811" t="s">
        <v>1798</v>
      </c>
      <c r="BA2" s="811" t="s">
        <v>1798</v>
      </c>
      <c r="BB2" s="811" t="s">
        <v>1798</v>
      </c>
      <c r="BC2" s="811" t="s">
        <v>1798</v>
      </c>
      <c r="BD2" s="811" t="s">
        <v>1798</v>
      </c>
      <c r="BE2" s="811" t="s">
        <v>1798</v>
      </c>
      <c r="BF2" s="811" t="s">
        <v>1798</v>
      </c>
      <c r="BG2" s="811" t="s">
        <v>1798</v>
      </c>
      <c r="BH2" s="811" t="s">
        <v>1798</v>
      </c>
      <c r="BI2" s="811" t="s">
        <v>1798</v>
      </c>
      <c r="BJ2" s="811" t="s">
        <v>1798</v>
      </c>
      <c r="BK2" s="811" t="s">
        <v>1798</v>
      </c>
      <c r="BL2" s="811" t="s">
        <v>1798</v>
      </c>
      <c r="BM2" s="811" t="s">
        <v>1798</v>
      </c>
      <c r="BN2" s="811" t="s">
        <v>1798</v>
      </c>
      <c r="BO2" s="811" t="s">
        <v>1798</v>
      </c>
      <c r="BP2" s="811" t="s">
        <v>1798</v>
      </c>
      <c r="BQ2" s="811" t="s">
        <v>1798</v>
      </c>
      <c r="BR2" s="812"/>
      <c r="BS2" s="799" t="str">
        <v>#VALUE!</v>
      </c>
    </row>
    <row customHeight="true" ht="50.37037037037037" r="3">
      <c r="A3" s="799" t="s">
        <v>1794</v>
      </c>
      <c r="B3" s="799" t="s">
        <v>1795</v>
      </c>
      <c r="C3" s="799" t="s">
        <v>1796</v>
      </c>
      <c r="D3" s="800" t="s">
        <v>1799</v>
      </c>
      <c r="E3" s="801">
        <v>59.5</v>
      </c>
      <c r="F3" s="801">
        <v>84.99</v>
      </c>
      <c r="G3" s="802">
        <f t="shared" si="1"/>
      </c>
      <c r="H3" s="802">
        <f t="shared" si="19"/>
      </c>
      <c r="I3" s="802">
        <f t="shared" si="15"/>
      </c>
      <c r="J3" s="803">
        <f t="shared" si="8"/>
      </c>
      <c r="K3" s="804">
        <f t="shared" si="2"/>
      </c>
      <c r="L3" s="805">
        <f t="shared" si="20"/>
      </c>
      <c r="M3" s="802">
        <f t="shared" si="16"/>
      </c>
      <c r="N3" s="804">
        <f t="shared" si="9"/>
      </c>
      <c r="O3" s="804">
        <f t="shared" si="3"/>
      </c>
      <c r="P3" s="799">
        <v>4</v>
      </c>
      <c r="Q3" s="806">
        <v>9.5</v>
      </c>
      <c r="R3" s="807">
        <f t="shared" si="21"/>
      </c>
      <c r="S3" s="803">
        <f t="shared" si="17"/>
      </c>
      <c r="T3" s="807">
        <f t="shared" si="10"/>
      </c>
      <c r="U3" s="807">
        <v>0.01</v>
      </c>
      <c r="V3" s="807">
        <f t="shared" si="4"/>
      </c>
      <c r="W3" s="807">
        <f t="shared" si="22"/>
      </c>
      <c r="X3" s="808">
        <v>0.183</v>
      </c>
      <c r="Y3" s="809">
        <v>8</v>
      </c>
      <c r="Z3" s="809">
        <f>F3*0.15</f>
      </c>
      <c r="AA3" s="809">
        <f t="shared" si="11"/>
      </c>
      <c r="AB3" s="804">
        <f t="shared" si="5"/>
      </c>
      <c r="AC3" s="804">
        <v>138.5</v>
      </c>
      <c r="AD3" s="810">
        <f t="shared" si="23"/>
      </c>
      <c r="AE3" s="806">
        <f t="shared" si="18"/>
      </c>
      <c r="AF3" s="807">
        <f t="shared" si="12"/>
      </c>
      <c r="AG3" s="807">
        <f t="shared" si="6"/>
      </c>
      <c r="AH3" s="806">
        <v>35</v>
      </c>
      <c r="AI3" s="807">
        <f t="shared" si="24"/>
      </c>
      <c r="AJ3" s="807"/>
      <c r="AK3" s="807"/>
      <c r="AL3" s="807"/>
      <c r="AM3" s="807"/>
      <c r="AN3" s="807"/>
      <c r="AO3" s="807"/>
      <c r="AP3" s="807"/>
      <c r="AQ3" s="807"/>
      <c r="AR3" s="807"/>
      <c r="AS3" s="807"/>
      <c r="AT3" s="811" t="s">
        <v>1798</v>
      </c>
      <c r="AU3" s="811" t="s">
        <v>1798</v>
      </c>
      <c r="AV3" s="811" t="s">
        <v>1798</v>
      </c>
      <c r="AW3" s="811" t="s">
        <v>1798</v>
      </c>
      <c r="AX3" s="811" t="s">
        <v>1798</v>
      </c>
      <c r="AY3" s="811" t="s">
        <v>1798</v>
      </c>
      <c r="AZ3" s="811" t="s">
        <v>1798</v>
      </c>
      <c r="BA3" s="811" t="s">
        <v>1798</v>
      </c>
      <c r="BB3" s="811" t="s">
        <v>1798</v>
      </c>
      <c r="BC3" s="811" t="s">
        <v>1798</v>
      </c>
      <c r="BD3" s="811" t="s">
        <v>1798</v>
      </c>
      <c r="BE3" s="811" t="s">
        <v>1798</v>
      </c>
      <c r="BF3" s="811" t="s">
        <v>1798</v>
      </c>
      <c r="BG3" s="811" t="s">
        <v>1798</v>
      </c>
      <c r="BH3" s="811" t="s">
        <v>1798</v>
      </c>
      <c r="BI3" s="811" t="s">
        <v>1798</v>
      </c>
      <c r="BJ3" s="811" t="s">
        <v>1798</v>
      </c>
      <c r="BK3" s="811" t="s">
        <v>1798</v>
      </c>
      <c r="BL3" s="811" t="s">
        <v>1798</v>
      </c>
      <c r="BM3" s="811" t="s">
        <v>1798</v>
      </c>
      <c r="BN3" s="811" t="s">
        <v>1798</v>
      </c>
      <c r="BO3" s="811" t="s">
        <v>1798</v>
      </c>
      <c r="BP3" s="811" t="s">
        <v>1798</v>
      </c>
      <c r="BQ3" s="811" t="s">
        <v>1798</v>
      </c>
      <c r="BR3" s="812"/>
      <c r="BS3" s="799" t="str">
        <v>#VALUE!</v>
      </c>
    </row>
    <row customHeight="true" ht="50.37037037037037" r="4">
      <c r="A4" s="799" t="s">
        <v>1800</v>
      </c>
      <c r="B4" s="799" t="s">
        <v>1801</v>
      </c>
      <c r="C4" s="799" t="s">
        <v>1802</v>
      </c>
      <c r="D4" s="813" t="s">
        <v>1797</v>
      </c>
      <c r="E4" s="814">
        <v>55.85</v>
      </c>
      <c r="F4" s="801">
        <v>79.99</v>
      </c>
      <c r="G4" s="802">
        <f t="shared" si="1"/>
      </c>
      <c r="H4" s="802">
        <f t="shared" si="19"/>
      </c>
      <c r="I4" s="802">
        <f t="shared" si="15"/>
      </c>
      <c r="J4" s="803">
        <f t="shared" si="8"/>
      </c>
      <c r="K4" s="804">
        <f t="shared" si="2"/>
      </c>
      <c r="L4" s="805">
        <f t="shared" si="20"/>
      </c>
      <c r="M4" s="802">
        <f t="shared" si="16"/>
      </c>
      <c r="N4" s="804">
        <f t="shared" si="9"/>
      </c>
      <c r="O4" s="804">
        <f t="shared" si="3"/>
      </c>
      <c r="P4" s="799">
        <v>4</v>
      </c>
      <c r="Q4" s="806">
        <v>8</v>
      </c>
      <c r="R4" s="807">
        <f t="shared" si="21"/>
      </c>
      <c r="S4" s="803">
        <f t="shared" ref="S4:S19" si="13">Y4/F4</f>
      </c>
      <c r="T4" s="807">
        <f t="shared" si="10"/>
      </c>
      <c r="U4" s="807">
        <v>0.01</v>
      </c>
      <c r="V4" s="807">
        <f t="shared" si="4"/>
      </c>
      <c r="W4" s="807">
        <f t="shared" si="22"/>
      </c>
      <c r="X4" s="808">
        <v>0.1945</v>
      </c>
      <c r="Y4" s="809">
        <v>8</v>
      </c>
      <c r="Z4" s="809">
        <v>0</v>
      </c>
      <c r="AA4" s="809">
        <f t="shared" si="11"/>
      </c>
      <c r="AB4" s="804">
        <f t="shared" si="5"/>
      </c>
      <c r="AC4" s="804">
        <v>138.5</v>
      </c>
      <c r="AD4" s="810">
        <f t="shared" si="23"/>
      </c>
      <c r="AE4" s="806">
        <f t="shared" si="18"/>
      </c>
      <c r="AF4" s="807">
        <f t="shared" si="12"/>
      </c>
      <c r="AG4" s="807">
        <f t="shared" si="6"/>
      </c>
      <c r="AH4" s="806">
        <v>30</v>
      </c>
      <c r="AI4" s="807">
        <f t="shared" si="24"/>
      </c>
      <c r="AJ4" s="807"/>
      <c r="AK4" s="807"/>
      <c r="AL4" s="807"/>
      <c r="AM4" s="807"/>
      <c r="AN4" s="811"/>
      <c r="AO4" s="811"/>
      <c r="AP4" s="811"/>
      <c r="AQ4" s="811"/>
      <c r="AR4" s="811"/>
      <c r="AS4" s="811"/>
      <c r="AT4" s="811" t="s">
        <v>1798</v>
      </c>
      <c r="AU4" s="811" t="s">
        <v>1798</v>
      </c>
      <c r="AV4" s="811" t="s">
        <v>1798</v>
      </c>
      <c r="AW4" s="811" t="s">
        <v>1798</v>
      </c>
      <c r="AX4" s="811" t="s">
        <v>1798</v>
      </c>
      <c r="AY4" s="811" t="s">
        <v>1798</v>
      </c>
      <c r="AZ4" s="811" t="s">
        <v>1798</v>
      </c>
      <c r="BA4" s="811" t="s">
        <v>1798</v>
      </c>
      <c r="BB4" s="811" t="s">
        <v>1798</v>
      </c>
      <c r="BC4" s="811" t="s">
        <v>1798</v>
      </c>
      <c r="BD4" s="811" t="s">
        <v>1798</v>
      </c>
      <c r="BE4" s="811" t="s">
        <v>1798</v>
      </c>
      <c r="BF4" s="811" t="s">
        <v>1798</v>
      </c>
      <c r="BG4" s="811" t="s">
        <v>1798</v>
      </c>
      <c r="BH4" s="811" t="s">
        <v>1798</v>
      </c>
      <c r="BI4" s="811" t="s">
        <v>1798</v>
      </c>
      <c r="BJ4" s="811" t="s">
        <v>1798</v>
      </c>
      <c r="BK4" s="811" t="s">
        <v>1798</v>
      </c>
      <c r="BL4" s="811" t="s">
        <v>1798</v>
      </c>
      <c r="BM4" s="811" t="s">
        <v>1798</v>
      </c>
      <c r="BN4" s="811" t="s">
        <v>1798</v>
      </c>
      <c r="BO4" s="811" t="s">
        <v>1798</v>
      </c>
      <c r="BP4" s="811" t="s">
        <v>1798</v>
      </c>
      <c r="BQ4" s="811" t="s">
        <v>1798</v>
      </c>
      <c r="BR4" s="812"/>
      <c r="BS4" s="799" t="str">
        <v>#VALUE!</v>
      </c>
    </row>
    <row customHeight="true" ht="50.37037037037037" r="5">
      <c r="A5" s="799" t="s">
        <v>1800</v>
      </c>
      <c r="B5" s="799" t="s">
        <v>1801</v>
      </c>
      <c r="C5" s="799" t="s">
        <v>1802</v>
      </c>
      <c r="D5" s="813" t="s">
        <v>1803</v>
      </c>
      <c r="E5" s="814">
        <v>55.85</v>
      </c>
      <c r="F5" s="801">
        <v>79.99</v>
      </c>
      <c r="G5" s="802">
        <f t="shared" si="1"/>
      </c>
      <c r="H5" s="802">
        <f t="shared" si="19"/>
      </c>
      <c r="I5" s="815">
        <f t="shared" si="15"/>
      </c>
      <c r="J5" s="803">
        <f t="shared" si="8"/>
      </c>
      <c r="K5" s="804">
        <f t="shared" si="2"/>
      </c>
      <c r="L5" s="805">
        <f t="shared" si="20"/>
      </c>
      <c r="M5" s="802">
        <f t="shared" si="16"/>
      </c>
      <c r="N5" s="804">
        <f t="shared" si="9"/>
      </c>
      <c r="O5" s="804">
        <f t="shared" si="3"/>
      </c>
      <c r="P5" s="799">
        <v>4</v>
      </c>
      <c r="Q5" s="806">
        <v>8</v>
      </c>
      <c r="R5" s="807">
        <f t="shared" si="21"/>
      </c>
      <c r="S5" s="803">
        <f t="shared" si="13"/>
      </c>
      <c r="T5" s="807">
        <f t="shared" si="10"/>
      </c>
      <c r="U5" s="807">
        <v>0.01</v>
      </c>
      <c r="V5" s="807">
        <f t="shared" si="4"/>
      </c>
      <c r="W5" s="807">
        <f t="shared" si="22"/>
      </c>
      <c r="X5" s="808">
        <v>0.1945</v>
      </c>
      <c r="Y5" s="809">
        <v>8</v>
      </c>
      <c r="Z5" s="809">
        <f>F5*0.1</f>
      </c>
      <c r="AA5" s="809">
        <f t="shared" si="11"/>
      </c>
      <c r="AB5" s="804">
        <f t="shared" si="5"/>
      </c>
      <c r="AC5" s="804">
        <v>138.5</v>
      </c>
      <c r="AD5" s="810">
        <f t="shared" si="23"/>
      </c>
      <c r="AE5" s="806">
        <f t="shared" si="18"/>
      </c>
      <c r="AF5" s="807">
        <f t="shared" si="12"/>
      </c>
      <c r="AG5" s="807">
        <f t="shared" si="6"/>
      </c>
      <c r="AH5" s="806">
        <v>30</v>
      </c>
      <c r="AI5" s="807">
        <f t="shared" si="24"/>
      </c>
      <c r="AJ5" s="807"/>
      <c r="AK5" s="807"/>
      <c r="AL5" s="807"/>
      <c r="AM5" s="807"/>
      <c r="AN5" s="811"/>
      <c r="AO5" s="811"/>
      <c r="AP5" s="811"/>
      <c r="AQ5" s="811"/>
      <c r="AR5" s="811"/>
      <c r="AS5" s="811"/>
      <c r="AT5" s="811" t="s">
        <v>1798</v>
      </c>
      <c r="AU5" s="811" t="s">
        <v>1798</v>
      </c>
      <c r="AV5" s="811" t="s">
        <v>1798</v>
      </c>
      <c r="AW5" s="811" t="s">
        <v>1798</v>
      </c>
      <c r="AX5" s="811" t="s">
        <v>1798</v>
      </c>
      <c r="AY5" s="811" t="s">
        <v>1798</v>
      </c>
      <c r="AZ5" s="811" t="s">
        <v>1798</v>
      </c>
      <c r="BA5" s="811" t="s">
        <v>1798</v>
      </c>
      <c r="BB5" s="811" t="s">
        <v>1798</v>
      </c>
      <c r="BC5" s="811" t="s">
        <v>1798</v>
      </c>
      <c r="BD5" s="811" t="s">
        <v>1798</v>
      </c>
      <c r="BE5" s="811" t="s">
        <v>1798</v>
      </c>
      <c r="BF5" s="811" t="s">
        <v>1798</v>
      </c>
      <c r="BG5" s="811" t="s">
        <v>1798</v>
      </c>
      <c r="BH5" s="811" t="s">
        <v>1798</v>
      </c>
      <c r="BI5" s="811" t="s">
        <v>1798</v>
      </c>
      <c r="BJ5" s="811" t="s">
        <v>1798</v>
      </c>
      <c r="BK5" s="811" t="s">
        <v>1798</v>
      </c>
      <c r="BL5" s="811" t="s">
        <v>1798</v>
      </c>
      <c r="BM5" s="811" t="s">
        <v>1798</v>
      </c>
      <c r="BN5" s="811" t="s">
        <v>1798</v>
      </c>
      <c r="BO5" s="811" t="s">
        <v>1798</v>
      </c>
      <c r="BP5" s="811" t="s">
        <v>1798</v>
      </c>
      <c r="BQ5" s="811" t="s">
        <v>1798</v>
      </c>
      <c r="BR5" s="812"/>
      <c r="BS5" s="799" t="str">
        <v>#VALUE!</v>
      </c>
    </row>
    <row customHeight="true" ht="50.37037037037037" r="6">
      <c r="A6" s="799" t="s">
        <v>1800</v>
      </c>
      <c r="B6" s="799" t="s">
        <v>1801</v>
      </c>
      <c r="C6" s="799" t="s">
        <v>1802</v>
      </c>
      <c r="D6" s="813" t="s">
        <v>1799</v>
      </c>
      <c r="E6" s="814">
        <v>55.85</v>
      </c>
      <c r="F6" s="801">
        <v>79.99</v>
      </c>
      <c r="G6" s="802">
        <f t="shared" si="1"/>
      </c>
      <c r="H6" s="802">
        <f t="shared" si="19"/>
      </c>
      <c r="I6" s="802">
        <f t="shared" si="15"/>
      </c>
      <c r="J6" s="803">
        <f t="shared" si="8"/>
      </c>
      <c r="K6" s="804">
        <f t="shared" si="2"/>
      </c>
      <c r="L6" s="805">
        <f t="shared" si="20"/>
      </c>
      <c r="M6" s="802">
        <f t="shared" si="16"/>
      </c>
      <c r="N6" s="804">
        <f t="shared" si="9"/>
      </c>
      <c r="O6" s="804">
        <f t="shared" si="3"/>
      </c>
      <c r="P6" s="799">
        <v>4</v>
      </c>
      <c r="Q6" s="806">
        <v>8</v>
      </c>
      <c r="R6" s="807">
        <f t="shared" si="21"/>
      </c>
      <c r="S6" s="803">
        <f t="shared" si="13"/>
      </c>
      <c r="T6" s="807">
        <f t="shared" si="10"/>
      </c>
      <c r="U6" s="807">
        <v>0.01</v>
      </c>
      <c r="V6" s="807">
        <f t="shared" si="4"/>
      </c>
      <c r="W6" s="807">
        <f t="shared" si="22"/>
      </c>
      <c r="X6" s="808">
        <v>0.1945</v>
      </c>
      <c r="Y6" s="809">
        <v>8</v>
      </c>
      <c r="Z6" s="809">
        <f>F6*0.15</f>
      </c>
      <c r="AA6" s="809">
        <f t="shared" si="11"/>
      </c>
      <c r="AB6" s="804">
        <f t="shared" si="5"/>
      </c>
      <c r="AC6" s="804">
        <v>138.5</v>
      </c>
      <c r="AD6" s="810">
        <f t="shared" si="23"/>
      </c>
      <c r="AE6" s="806">
        <f t="shared" si="18"/>
      </c>
      <c r="AF6" s="807">
        <f t="shared" si="12"/>
      </c>
      <c r="AG6" s="807">
        <f t="shared" si="6"/>
      </c>
      <c r="AH6" s="806">
        <v>30</v>
      </c>
      <c r="AI6" s="807">
        <f t="shared" si="24"/>
      </c>
      <c r="AJ6" s="807"/>
      <c r="AK6" s="807"/>
      <c r="AL6" s="807"/>
      <c r="AM6" s="807"/>
      <c r="AN6" s="811"/>
      <c r="AO6" s="811"/>
      <c r="AP6" s="811"/>
      <c r="AQ6" s="811"/>
      <c r="AR6" s="811"/>
      <c r="AS6" s="811"/>
      <c r="AT6" s="811" t="s">
        <v>1798</v>
      </c>
      <c r="AU6" s="811" t="s">
        <v>1798</v>
      </c>
      <c r="AV6" s="811" t="s">
        <v>1798</v>
      </c>
      <c r="AW6" s="811" t="s">
        <v>1798</v>
      </c>
      <c r="AX6" s="811" t="s">
        <v>1798</v>
      </c>
      <c r="AY6" s="811" t="s">
        <v>1798</v>
      </c>
      <c r="AZ6" s="811" t="s">
        <v>1798</v>
      </c>
      <c r="BA6" s="811" t="s">
        <v>1798</v>
      </c>
      <c r="BB6" s="811" t="s">
        <v>1798</v>
      </c>
      <c r="BC6" s="811" t="s">
        <v>1798</v>
      </c>
      <c r="BD6" s="811" t="s">
        <v>1798</v>
      </c>
      <c r="BE6" s="811" t="s">
        <v>1798</v>
      </c>
      <c r="BF6" s="811" t="s">
        <v>1798</v>
      </c>
      <c r="BG6" s="811" t="s">
        <v>1798</v>
      </c>
      <c r="BH6" s="811" t="s">
        <v>1798</v>
      </c>
      <c r="BI6" s="811" t="s">
        <v>1798</v>
      </c>
      <c r="BJ6" s="811" t="s">
        <v>1798</v>
      </c>
      <c r="BK6" s="811" t="s">
        <v>1798</v>
      </c>
      <c r="BL6" s="811" t="s">
        <v>1798</v>
      </c>
      <c r="BM6" s="811" t="s">
        <v>1798</v>
      </c>
      <c r="BN6" s="811" t="s">
        <v>1798</v>
      </c>
      <c r="BO6" s="811" t="s">
        <v>1798</v>
      </c>
      <c r="BP6" s="811" t="s">
        <v>1798</v>
      </c>
      <c r="BQ6" s="811" t="s">
        <v>1798</v>
      </c>
      <c r="BR6" s="812"/>
      <c r="BS6" s="799" t="str">
        <v>#VALUE!</v>
      </c>
    </row>
    <row customHeight="true" ht="50.37037037037037" r="7">
      <c r="A7" s="799" t="s">
        <v>1804</v>
      </c>
      <c r="B7" s="799" t="s">
        <v>1801</v>
      </c>
      <c r="C7" s="799" t="s">
        <v>1802</v>
      </c>
      <c r="D7" s="813" t="s">
        <v>1797</v>
      </c>
      <c r="E7" s="814">
        <v>58</v>
      </c>
      <c r="F7" s="801">
        <v>84.99</v>
      </c>
      <c r="G7" s="802">
        <f t="shared" si="1"/>
      </c>
      <c r="H7" s="802">
        <f t="shared" si="19"/>
      </c>
      <c r="I7" s="802">
        <f t="shared" si="15"/>
      </c>
      <c r="J7" s="803">
        <f t="shared" si="8"/>
      </c>
      <c r="K7" s="804">
        <f t="shared" si="2"/>
      </c>
      <c r="L7" s="805">
        <f t="shared" si="20"/>
      </c>
      <c r="M7" s="802">
        <f t="shared" si="16"/>
      </c>
      <c r="N7" s="804">
        <f t="shared" si="9"/>
      </c>
      <c r="O7" s="804">
        <f t="shared" si="3"/>
      </c>
      <c r="P7" s="799">
        <v>4</v>
      </c>
      <c r="Q7" s="806">
        <v>8</v>
      </c>
      <c r="R7" s="807">
        <f t="shared" si="21"/>
      </c>
      <c r="S7" s="803">
        <f t="shared" si="13"/>
      </c>
      <c r="T7" s="807">
        <f t="shared" si="10"/>
      </c>
      <c r="U7" s="807">
        <v>0.01</v>
      </c>
      <c r="V7" s="807">
        <f t="shared" si="4"/>
      </c>
      <c r="W7" s="807">
        <f t="shared" si="22"/>
      </c>
      <c r="X7" s="808">
        <v>0.223</v>
      </c>
      <c r="Y7" s="809">
        <v>8</v>
      </c>
      <c r="Z7" s="809">
        <v>0</v>
      </c>
      <c r="AA7" s="809">
        <f t="shared" si="11"/>
      </c>
      <c r="AB7" s="804">
        <f t="shared" si="5"/>
      </c>
      <c r="AC7" s="804">
        <v>138.5</v>
      </c>
      <c r="AD7" s="810">
        <f t="shared" si="23"/>
      </c>
      <c r="AE7" s="806">
        <f t="shared" si="18"/>
      </c>
      <c r="AF7" s="807">
        <f t="shared" si="12"/>
      </c>
      <c r="AG7" s="807">
        <f t="shared" si="6"/>
      </c>
      <c r="AH7" s="806">
        <v>30</v>
      </c>
      <c r="AI7" s="807">
        <f t="shared" si="24"/>
      </c>
      <c r="AJ7" s="807"/>
      <c r="AK7" s="807"/>
      <c r="AL7" s="807"/>
      <c r="AM7" s="807"/>
      <c r="AN7" s="811"/>
      <c r="AO7" s="811"/>
      <c r="AP7" s="811"/>
      <c r="AQ7" s="811"/>
      <c r="AR7" s="811"/>
      <c r="AS7" s="811"/>
      <c r="AT7" s="811" t="s">
        <v>1798</v>
      </c>
      <c r="AU7" s="811" t="s">
        <v>1798</v>
      </c>
      <c r="AV7" s="811" t="s">
        <v>1798</v>
      </c>
      <c r="AW7" s="811" t="s">
        <v>1798</v>
      </c>
      <c r="AX7" s="811" t="s">
        <v>1798</v>
      </c>
      <c r="AY7" s="811" t="s">
        <v>1798</v>
      </c>
      <c r="AZ7" s="811" t="s">
        <v>1798</v>
      </c>
      <c r="BA7" s="811" t="s">
        <v>1798</v>
      </c>
      <c r="BB7" s="811" t="s">
        <v>1798</v>
      </c>
      <c r="BC7" s="811" t="s">
        <v>1798</v>
      </c>
      <c r="BD7" s="811" t="s">
        <v>1798</v>
      </c>
      <c r="BE7" s="811" t="s">
        <v>1798</v>
      </c>
      <c r="BF7" s="811" t="s">
        <v>1798</v>
      </c>
      <c r="BG7" s="811" t="s">
        <v>1798</v>
      </c>
      <c r="BH7" s="811" t="s">
        <v>1798</v>
      </c>
      <c r="BI7" s="811" t="s">
        <v>1798</v>
      </c>
      <c r="BJ7" s="811" t="s">
        <v>1798</v>
      </c>
      <c r="BK7" s="811" t="s">
        <v>1798</v>
      </c>
      <c r="BL7" s="811" t="s">
        <v>1798</v>
      </c>
      <c r="BM7" s="811" t="s">
        <v>1798</v>
      </c>
      <c r="BN7" s="811" t="s">
        <v>1798</v>
      </c>
      <c r="BO7" s="811" t="s">
        <v>1798</v>
      </c>
      <c r="BP7" s="811" t="s">
        <v>1798</v>
      </c>
      <c r="BQ7" s="811" t="s">
        <v>1798</v>
      </c>
      <c r="BR7" s="812"/>
      <c r="BS7" s="799" t="str">
        <v>#VALUE!</v>
      </c>
    </row>
    <row customHeight="true" ht="50.37037037037037" r="8">
      <c r="A8" s="799" t="s">
        <v>1804</v>
      </c>
      <c r="B8" s="799" t="s">
        <v>1801</v>
      </c>
      <c r="C8" s="799" t="s">
        <v>1802</v>
      </c>
      <c r="D8" s="813" t="s">
        <v>1803</v>
      </c>
      <c r="E8" s="814">
        <v>58</v>
      </c>
      <c r="F8" s="801">
        <v>84.99</v>
      </c>
      <c r="G8" s="802">
        <f t="shared" si="1"/>
      </c>
      <c r="H8" s="802">
        <f t="shared" si="19"/>
      </c>
      <c r="I8" s="815">
        <f t="shared" si="15"/>
      </c>
      <c r="J8" s="803">
        <f t="shared" si="8"/>
      </c>
      <c r="K8" s="804">
        <f t="shared" si="2"/>
      </c>
      <c r="L8" s="805">
        <f t="shared" si="20"/>
      </c>
      <c r="M8" s="802">
        <f t="shared" si="16"/>
      </c>
      <c r="N8" s="804">
        <f t="shared" si="9"/>
      </c>
      <c r="O8" s="804">
        <f t="shared" si="3"/>
      </c>
      <c r="P8" s="799">
        <v>4</v>
      </c>
      <c r="Q8" s="806">
        <v>8</v>
      </c>
      <c r="R8" s="807">
        <f t="shared" si="21"/>
      </c>
      <c r="S8" s="803">
        <f t="shared" si="13"/>
      </c>
      <c r="T8" s="807">
        <f t="shared" si="10"/>
      </c>
      <c r="U8" s="807">
        <v>0.01</v>
      </c>
      <c r="V8" s="807">
        <f t="shared" si="4"/>
      </c>
      <c r="W8" s="807">
        <f t="shared" si="22"/>
      </c>
      <c r="X8" s="808">
        <v>0.223</v>
      </c>
      <c r="Y8" s="809">
        <v>8</v>
      </c>
      <c r="Z8" s="809">
        <f>F8*0.1</f>
      </c>
      <c r="AA8" s="809">
        <f t="shared" si="11"/>
      </c>
      <c r="AB8" s="804">
        <f t="shared" si="5"/>
      </c>
      <c r="AC8" s="804">
        <v>138.5</v>
      </c>
      <c r="AD8" s="810">
        <f t="shared" si="23"/>
      </c>
      <c r="AE8" s="806">
        <f t="shared" si="18"/>
      </c>
      <c r="AF8" s="807">
        <f t="shared" si="12"/>
      </c>
      <c r="AG8" s="807">
        <f t="shared" si="6"/>
      </c>
      <c r="AH8" s="806">
        <v>30</v>
      </c>
      <c r="AI8" s="807">
        <f t="shared" si="24"/>
      </c>
      <c r="AJ8" s="807"/>
      <c r="AK8" s="807"/>
      <c r="AL8" s="807"/>
      <c r="AM8" s="807"/>
      <c r="AN8" s="811"/>
      <c r="AO8" s="811"/>
      <c r="AP8" s="811"/>
      <c r="AQ8" s="811"/>
      <c r="AR8" s="811"/>
      <c r="AS8" s="811"/>
      <c r="AT8" s="811" t="s">
        <v>1798</v>
      </c>
      <c r="AU8" s="811" t="s">
        <v>1798</v>
      </c>
      <c r="AV8" s="811" t="s">
        <v>1798</v>
      </c>
      <c r="AW8" s="811" t="s">
        <v>1798</v>
      </c>
      <c r="AX8" s="811" t="s">
        <v>1798</v>
      </c>
      <c r="AY8" s="811" t="s">
        <v>1798</v>
      </c>
      <c r="AZ8" s="811" t="s">
        <v>1798</v>
      </c>
      <c r="BA8" s="811" t="s">
        <v>1798</v>
      </c>
      <c r="BB8" s="811" t="s">
        <v>1798</v>
      </c>
      <c r="BC8" s="811" t="s">
        <v>1798</v>
      </c>
      <c r="BD8" s="811" t="s">
        <v>1798</v>
      </c>
      <c r="BE8" s="811" t="s">
        <v>1798</v>
      </c>
      <c r="BF8" s="811" t="s">
        <v>1798</v>
      </c>
      <c r="BG8" s="811" t="s">
        <v>1798</v>
      </c>
      <c r="BH8" s="811" t="s">
        <v>1798</v>
      </c>
      <c r="BI8" s="811" t="s">
        <v>1798</v>
      </c>
      <c r="BJ8" s="811" t="s">
        <v>1798</v>
      </c>
      <c r="BK8" s="811" t="s">
        <v>1798</v>
      </c>
      <c r="BL8" s="811" t="s">
        <v>1798</v>
      </c>
      <c r="BM8" s="811" t="s">
        <v>1798</v>
      </c>
      <c r="BN8" s="811" t="s">
        <v>1798</v>
      </c>
      <c r="BO8" s="811" t="s">
        <v>1798</v>
      </c>
      <c r="BP8" s="811" t="s">
        <v>1798</v>
      </c>
      <c r="BQ8" s="811" t="s">
        <v>1798</v>
      </c>
      <c r="BR8" s="812"/>
      <c r="BS8" s="799" t="str">
        <v>#VALUE!</v>
      </c>
    </row>
    <row customHeight="true" ht="50.37037037037037" r="9">
      <c r="A9" s="799" t="s">
        <v>1804</v>
      </c>
      <c r="B9" s="799" t="s">
        <v>1801</v>
      </c>
      <c r="C9" s="799" t="s">
        <v>1802</v>
      </c>
      <c r="D9" s="813" t="s">
        <v>1799</v>
      </c>
      <c r="E9" s="814">
        <v>58</v>
      </c>
      <c r="F9" s="801">
        <v>84.99</v>
      </c>
      <c r="G9" s="802">
        <f t="shared" si="1"/>
      </c>
      <c r="H9" s="802">
        <f t="shared" si="19"/>
      </c>
      <c r="I9" s="802">
        <f t="shared" si="15"/>
      </c>
      <c r="J9" s="803">
        <f t="shared" si="8"/>
      </c>
      <c r="K9" s="804">
        <f t="shared" si="2"/>
      </c>
      <c r="L9" s="805">
        <f t="shared" si="20"/>
      </c>
      <c r="M9" s="802">
        <f t="shared" si="16"/>
      </c>
      <c r="N9" s="804">
        <f t="shared" si="9"/>
      </c>
      <c r="O9" s="804">
        <f t="shared" si="3"/>
      </c>
      <c r="P9" s="799">
        <v>4</v>
      </c>
      <c r="Q9" s="806">
        <v>8</v>
      </c>
      <c r="R9" s="807">
        <f t="shared" si="21"/>
      </c>
      <c r="S9" s="803">
        <f t="shared" si="13"/>
      </c>
      <c r="T9" s="807">
        <f t="shared" si="10"/>
      </c>
      <c r="U9" s="807">
        <v>0.01</v>
      </c>
      <c r="V9" s="807">
        <f t="shared" si="4"/>
      </c>
      <c r="W9" s="807">
        <f t="shared" si="22"/>
      </c>
      <c r="X9" s="808">
        <v>0.223</v>
      </c>
      <c r="Y9" s="809">
        <v>8</v>
      </c>
      <c r="Z9" s="809">
        <f>F9*0.15</f>
      </c>
      <c r="AA9" s="809">
        <f t="shared" si="11"/>
      </c>
      <c r="AB9" s="804">
        <f t="shared" si="5"/>
      </c>
      <c r="AC9" s="804">
        <v>138.5</v>
      </c>
      <c r="AD9" s="810">
        <f t="shared" si="23"/>
      </c>
      <c r="AE9" s="806">
        <f t="shared" si="18"/>
      </c>
      <c r="AF9" s="807">
        <f t="shared" si="12"/>
      </c>
      <c r="AG9" s="807">
        <f t="shared" si="6"/>
      </c>
      <c r="AH9" s="806">
        <v>30</v>
      </c>
      <c r="AI9" s="807">
        <f t="shared" ref="AI9:AI19" si="0">(K9-E9+AB9)/(K9-Z9)</f>
      </c>
      <c r="AJ9" s="807"/>
      <c r="AK9" s="807"/>
      <c r="AL9" s="807"/>
      <c r="AM9" s="807"/>
      <c r="AN9" s="811"/>
      <c r="AO9" s="811"/>
      <c r="AP9" s="811"/>
      <c r="AQ9" s="811"/>
      <c r="AR9" s="811"/>
      <c r="AS9" s="811"/>
      <c r="AT9" s="811" t="s">
        <v>1798</v>
      </c>
      <c r="AU9" s="811" t="s">
        <v>1798</v>
      </c>
      <c r="AV9" s="811" t="s">
        <v>1798</v>
      </c>
      <c r="AW9" s="811" t="s">
        <v>1798</v>
      </c>
      <c r="AX9" s="811" t="s">
        <v>1798</v>
      </c>
      <c r="AY9" s="811" t="s">
        <v>1798</v>
      </c>
      <c r="AZ9" s="811" t="s">
        <v>1798</v>
      </c>
      <c r="BA9" s="811" t="s">
        <v>1798</v>
      </c>
      <c r="BB9" s="811" t="s">
        <v>1798</v>
      </c>
      <c r="BC9" s="811" t="s">
        <v>1798</v>
      </c>
      <c r="BD9" s="811" t="s">
        <v>1798</v>
      </c>
      <c r="BE9" s="811" t="s">
        <v>1798</v>
      </c>
      <c r="BF9" s="811" t="s">
        <v>1798</v>
      </c>
      <c r="BG9" s="811" t="s">
        <v>1798</v>
      </c>
      <c r="BH9" s="811" t="s">
        <v>1798</v>
      </c>
      <c r="BI9" s="811" t="s">
        <v>1798</v>
      </c>
      <c r="BJ9" s="811" t="s">
        <v>1798</v>
      </c>
      <c r="BK9" s="811" t="s">
        <v>1798</v>
      </c>
      <c r="BL9" s="811" t="s">
        <v>1798</v>
      </c>
      <c r="BM9" s="811" t="s">
        <v>1798</v>
      </c>
      <c r="BN9" s="811" t="s">
        <v>1798</v>
      </c>
      <c r="BO9" s="811" t="s">
        <v>1798</v>
      </c>
      <c r="BP9" s="811" t="s">
        <v>1798</v>
      </c>
      <c r="BQ9" s="811" t="s">
        <v>1798</v>
      </c>
      <c r="BR9" s="812"/>
      <c r="BS9" s="799" t="str">
        <v>#VALUE!</v>
      </c>
    </row>
    <row customHeight="true" ht="50.37037037037037" r="10">
      <c r="A10" s="799" t="s">
        <v>1805</v>
      </c>
      <c r="B10" s="799" t="s">
        <v>1801</v>
      </c>
      <c r="C10" s="799" t="s">
        <v>1802</v>
      </c>
      <c r="D10" s="813" t="s">
        <v>1797</v>
      </c>
      <c r="E10" s="814">
        <v>58.8</v>
      </c>
      <c r="F10" s="801">
        <v>84.99</v>
      </c>
      <c r="G10" s="802">
        <f t="shared" si="1"/>
      </c>
      <c r="H10" s="802">
        <f t="shared" si="19"/>
      </c>
      <c r="I10" s="802">
        <f t="shared" si="15"/>
      </c>
      <c r="J10" s="803">
        <f t="shared" si="8"/>
      </c>
      <c r="K10" s="804">
        <f t="shared" si="2"/>
      </c>
      <c r="L10" s="805">
        <f t="shared" si="20"/>
      </c>
      <c r="M10" s="802">
        <f t="shared" si="16"/>
      </c>
      <c r="N10" s="804">
        <f t="shared" si="9"/>
      </c>
      <c r="O10" s="804">
        <f t="shared" si="3"/>
      </c>
      <c r="P10" s="799">
        <v>4</v>
      </c>
      <c r="Q10" s="806">
        <v>8</v>
      </c>
      <c r="R10" s="807">
        <f t="shared" si="21"/>
      </c>
      <c r="S10" s="803">
        <f t="shared" si="13"/>
      </c>
      <c r="T10" s="807">
        <f t="shared" si="10"/>
      </c>
      <c r="U10" s="807">
        <v>0.01</v>
      </c>
      <c r="V10" s="807">
        <f t="shared" si="4"/>
      </c>
      <c r="W10" s="807">
        <f t="shared" si="22"/>
      </c>
      <c r="X10" s="808">
        <v>0.2096</v>
      </c>
      <c r="Y10" s="809">
        <v>8</v>
      </c>
      <c r="Z10" s="809">
        <v>0</v>
      </c>
      <c r="AA10" s="809">
        <f t="shared" si="11"/>
      </c>
      <c r="AB10" s="804">
        <f t="shared" si="5"/>
      </c>
      <c r="AC10" s="804">
        <v>138.5</v>
      </c>
      <c r="AD10" s="810">
        <f t="shared" si="23"/>
      </c>
      <c r="AE10" s="806">
        <f t="shared" si="18"/>
      </c>
      <c r="AF10" s="807">
        <f t="shared" si="12"/>
      </c>
      <c r="AG10" s="807">
        <f t="shared" si="6"/>
      </c>
      <c r="AH10" s="806">
        <v>30</v>
      </c>
      <c r="AI10" s="803">
        <f t="shared" si="0"/>
      </c>
      <c r="AJ10" s="803"/>
      <c r="AK10" s="803"/>
      <c r="AL10" s="803"/>
      <c r="AM10" s="803"/>
      <c r="AN10" s="811"/>
      <c r="AO10" s="811"/>
      <c r="AP10" s="811"/>
      <c r="AQ10" s="811"/>
      <c r="AR10" s="811"/>
      <c r="AS10" s="811"/>
      <c r="AT10" s="811" t="s">
        <v>1798</v>
      </c>
      <c r="AU10" s="811" t="s">
        <v>1798</v>
      </c>
      <c r="AV10" s="811" t="s">
        <v>1798</v>
      </c>
      <c r="AW10" s="811" t="s">
        <v>1798</v>
      </c>
      <c r="AX10" s="811" t="s">
        <v>1798</v>
      </c>
      <c r="AY10" s="811" t="s">
        <v>1798</v>
      </c>
      <c r="AZ10" s="811" t="s">
        <v>1798</v>
      </c>
      <c r="BA10" s="811" t="s">
        <v>1798</v>
      </c>
      <c r="BB10" s="811" t="s">
        <v>1798</v>
      </c>
      <c r="BC10" s="811" t="s">
        <v>1798</v>
      </c>
      <c r="BD10" s="811" t="s">
        <v>1798</v>
      </c>
      <c r="BE10" s="811" t="s">
        <v>1798</v>
      </c>
      <c r="BF10" s="811" t="s">
        <v>1798</v>
      </c>
      <c r="BG10" s="811" t="s">
        <v>1798</v>
      </c>
      <c r="BH10" s="811" t="s">
        <v>1798</v>
      </c>
      <c r="BI10" s="811" t="s">
        <v>1798</v>
      </c>
      <c r="BJ10" s="811" t="s">
        <v>1798</v>
      </c>
      <c r="BK10" s="811" t="s">
        <v>1798</v>
      </c>
      <c r="BL10" s="811" t="s">
        <v>1798</v>
      </c>
      <c r="BM10" s="811" t="s">
        <v>1798</v>
      </c>
      <c r="BN10" s="811" t="s">
        <v>1798</v>
      </c>
      <c r="BO10" s="811" t="s">
        <v>1798</v>
      </c>
      <c r="BP10" s="811" t="s">
        <v>1798</v>
      </c>
      <c r="BQ10" s="811" t="s">
        <v>1798</v>
      </c>
      <c r="BR10" s="812"/>
      <c r="BS10" s="799" t="str">
        <v>#VALUE!</v>
      </c>
    </row>
    <row customHeight="true" ht="50.37037037037037" r="11">
      <c r="A11" s="799" t="s">
        <v>1805</v>
      </c>
      <c r="B11" s="799" t="s">
        <v>1801</v>
      </c>
      <c r="C11" s="799" t="s">
        <v>1802</v>
      </c>
      <c r="D11" s="813" t="s">
        <v>1803</v>
      </c>
      <c r="E11" s="814">
        <v>58.8</v>
      </c>
      <c r="F11" s="801">
        <v>84.99</v>
      </c>
      <c r="G11" s="802">
        <f t="shared" si="1"/>
      </c>
      <c r="H11" s="802">
        <f t="shared" si="19"/>
      </c>
      <c r="I11" s="815">
        <f t="shared" si="15"/>
      </c>
      <c r="J11" s="803">
        <f t="shared" si="8"/>
      </c>
      <c r="K11" s="804">
        <f t="shared" si="2"/>
      </c>
      <c r="L11" s="805">
        <f t="shared" si="20"/>
      </c>
      <c r="M11" s="802">
        <f t="shared" si="16"/>
      </c>
      <c r="N11" s="804">
        <f t="shared" si="9"/>
      </c>
      <c r="O11" s="804">
        <f t="shared" si="3"/>
      </c>
      <c r="P11" s="799">
        <v>4</v>
      </c>
      <c r="Q11" s="806">
        <v>8</v>
      </c>
      <c r="R11" s="807">
        <f t="shared" si="21"/>
      </c>
      <c r="S11" s="803">
        <f t="shared" si="13"/>
      </c>
      <c r="T11" s="807">
        <f t="shared" si="10"/>
      </c>
      <c r="U11" s="807">
        <v>0.01</v>
      </c>
      <c r="V11" s="807">
        <f t="shared" si="4"/>
      </c>
      <c r="W11" s="807">
        <f t="shared" si="22"/>
      </c>
      <c r="X11" s="808">
        <v>0.2096</v>
      </c>
      <c r="Y11" s="809">
        <v>8</v>
      </c>
      <c r="Z11" s="809">
        <f>F11*0.1</f>
      </c>
      <c r="AA11" s="809">
        <f t="shared" si="11"/>
      </c>
      <c r="AB11" s="804">
        <f t="shared" si="5"/>
      </c>
      <c r="AC11" s="804">
        <v>138.5</v>
      </c>
      <c r="AD11" s="810">
        <f t="shared" si="23"/>
      </c>
      <c r="AE11" s="806">
        <f t="shared" si="18"/>
      </c>
      <c r="AF11" s="807">
        <f t="shared" si="12"/>
      </c>
      <c r="AG11" s="807">
        <f t="shared" si="6"/>
      </c>
      <c r="AH11" s="806">
        <v>30</v>
      </c>
      <c r="AI11" s="803">
        <f t="shared" si="0"/>
      </c>
      <c r="AJ11" s="803"/>
      <c r="AK11" s="803"/>
      <c r="AL11" s="803"/>
      <c r="AM11" s="803"/>
      <c r="AN11" s="811"/>
      <c r="AO11" s="811"/>
      <c r="AP11" s="811"/>
      <c r="AQ11" s="811"/>
      <c r="AR11" s="811"/>
      <c r="AS11" s="811"/>
      <c r="AT11" s="811" t="s">
        <v>1798</v>
      </c>
      <c r="AU11" s="811" t="s">
        <v>1798</v>
      </c>
      <c r="AV11" s="811" t="s">
        <v>1798</v>
      </c>
      <c r="AW11" s="811" t="s">
        <v>1798</v>
      </c>
      <c r="AX11" s="811" t="s">
        <v>1798</v>
      </c>
      <c r="AY11" s="811" t="s">
        <v>1798</v>
      </c>
      <c r="AZ11" s="811" t="s">
        <v>1798</v>
      </c>
      <c r="BA11" s="811" t="s">
        <v>1798</v>
      </c>
      <c r="BB11" s="811" t="s">
        <v>1798</v>
      </c>
      <c r="BC11" s="811" t="s">
        <v>1798</v>
      </c>
      <c r="BD11" s="811" t="s">
        <v>1798</v>
      </c>
      <c r="BE11" s="811" t="s">
        <v>1798</v>
      </c>
      <c r="BF11" s="811" t="s">
        <v>1798</v>
      </c>
      <c r="BG11" s="811" t="s">
        <v>1798</v>
      </c>
      <c r="BH11" s="811" t="s">
        <v>1798</v>
      </c>
      <c r="BI11" s="811" t="s">
        <v>1798</v>
      </c>
      <c r="BJ11" s="811" t="s">
        <v>1798</v>
      </c>
      <c r="BK11" s="811" t="s">
        <v>1798</v>
      </c>
      <c r="BL11" s="811" t="s">
        <v>1798</v>
      </c>
      <c r="BM11" s="811" t="s">
        <v>1798</v>
      </c>
      <c r="BN11" s="811" t="s">
        <v>1798</v>
      </c>
      <c r="BO11" s="811" t="s">
        <v>1798</v>
      </c>
      <c r="BP11" s="811" t="s">
        <v>1798</v>
      </c>
      <c r="BQ11" s="811" t="s">
        <v>1798</v>
      </c>
      <c r="BR11" s="812"/>
      <c r="BS11" s="799" t="str">
        <v>#VALUE!</v>
      </c>
    </row>
    <row customHeight="true" ht="50.37037037037037" r="12">
      <c r="A12" s="799" t="s">
        <v>1805</v>
      </c>
      <c r="B12" s="799" t="s">
        <v>1801</v>
      </c>
      <c r="C12" s="799" t="s">
        <v>1802</v>
      </c>
      <c r="D12" s="813" t="s">
        <v>1799</v>
      </c>
      <c r="E12" s="814">
        <v>58.8</v>
      </c>
      <c r="F12" s="801">
        <v>84.99</v>
      </c>
      <c r="G12" s="802">
        <f t="shared" si="1"/>
      </c>
      <c r="H12" s="802">
        <f t="shared" si="19"/>
      </c>
      <c r="I12" s="802">
        <f t="shared" si="15"/>
      </c>
      <c r="J12" s="803">
        <f t="shared" si="8"/>
      </c>
      <c r="K12" s="804">
        <f t="shared" si="2"/>
      </c>
      <c r="L12" s="805">
        <f t="shared" si="20"/>
      </c>
      <c r="M12" s="802">
        <f t="shared" si="16"/>
      </c>
      <c r="N12" s="804">
        <f t="shared" si="9"/>
      </c>
      <c r="O12" s="804">
        <f t="shared" si="3"/>
      </c>
      <c r="P12" s="799">
        <v>4</v>
      </c>
      <c r="Q12" s="806">
        <v>8</v>
      </c>
      <c r="R12" s="807">
        <f t="shared" si="21"/>
      </c>
      <c r="S12" s="803">
        <f t="shared" si="13"/>
      </c>
      <c r="T12" s="807">
        <f t="shared" si="10"/>
      </c>
      <c r="U12" s="807">
        <v>0.01</v>
      </c>
      <c r="V12" s="807">
        <f t="shared" si="4"/>
      </c>
      <c r="W12" s="807">
        <f t="shared" si="22"/>
      </c>
      <c r="X12" s="808">
        <v>0.2096</v>
      </c>
      <c r="Y12" s="809">
        <v>8</v>
      </c>
      <c r="Z12" s="809">
        <f>F12*0.15</f>
      </c>
      <c r="AA12" s="809">
        <f t="shared" si="11"/>
      </c>
      <c r="AB12" s="804">
        <f t="shared" si="5"/>
      </c>
      <c r="AC12" s="804">
        <v>138.5</v>
      </c>
      <c r="AD12" s="810">
        <f t="shared" si="23"/>
      </c>
      <c r="AE12" s="806">
        <f t="shared" si="18"/>
      </c>
      <c r="AF12" s="807">
        <f t="shared" si="12"/>
      </c>
      <c r="AG12" s="807">
        <f t="shared" si="6"/>
      </c>
      <c r="AH12" s="806">
        <v>30</v>
      </c>
      <c r="AI12" s="803">
        <f t="shared" si="0"/>
      </c>
      <c r="AJ12" s="803"/>
      <c r="AK12" s="803"/>
      <c r="AL12" s="803"/>
      <c r="AM12" s="803"/>
      <c r="AN12" s="811"/>
      <c r="AO12" s="811"/>
      <c r="AP12" s="811"/>
      <c r="AQ12" s="811"/>
      <c r="AR12" s="811"/>
      <c r="AS12" s="811"/>
      <c r="AT12" s="811" t="s">
        <v>1798</v>
      </c>
      <c r="AU12" s="811" t="s">
        <v>1798</v>
      </c>
      <c r="AV12" s="811" t="s">
        <v>1798</v>
      </c>
      <c r="AW12" s="811" t="s">
        <v>1798</v>
      </c>
      <c r="AX12" s="811" t="s">
        <v>1798</v>
      </c>
      <c r="AY12" s="811" t="s">
        <v>1798</v>
      </c>
      <c r="AZ12" s="811" t="s">
        <v>1798</v>
      </c>
      <c r="BA12" s="811" t="s">
        <v>1798</v>
      </c>
      <c r="BB12" s="811" t="s">
        <v>1798</v>
      </c>
      <c r="BC12" s="811" t="s">
        <v>1798</v>
      </c>
      <c r="BD12" s="811" t="s">
        <v>1798</v>
      </c>
      <c r="BE12" s="811" t="s">
        <v>1798</v>
      </c>
      <c r="BF12" s="811" t="s">
        <v>1798</v>
      </c>
      <c r="BG12" s="811" t="s">
        <v>1798</v>
      </c>
      <c r="BH12" s="811" t="s">
        <v>1798</v>
      </c>
      <c r="BI12" s="811" t="s">
        <v>1798</v>
      </c>
      <c r="BJ12" s="811" t="s">
        <v>1798</v>
      </c>
      <c r="BK12" s="811" t="s">
        <v>1798</v>
      </c>
      <c r="BL12" s="811" t="s">
        <v>1798</v>
      </c>
      <c r="BM12" s="811" t="s">
        <v>1798</v>
      </c>
      <c r="BN12" s="811" t="s">
        <v>1798</v>
      </c>
      <c r="BO12" s="811" t="s">
        <v>1798</v>
      </c>
      <c r="BP12" s="811" t="s">
        <v>1798</v>
      </c>
      <c r="BQ12" s="811" t="s">
        <v>1798</v>
      </c>
      <c r="BR12" s="812"/>
      <c r="BS12" s="799" t="str">
        <v>#VALUE!</v>
      </c>
    </row>
    <row customHeight="true" ht="50.37037037037037" r="13">
      <c r="A13" s="799" t="s">
        <v>1806</v>
      </c>
      <c r="B13" s="799" t="s">
        <v>1801</v>
      </c>
      <c r="C13" s="799" t="s">
        <v>1802</v>
      </c>
      <c r="D13" s="813" t="s">
        <v>1797</v>
      </c>
      <c r="E13" s="814">
        <v>59.35</v>
      </c>
      <c r="F13" s="801">
        <v>84.99</v>
      </c>
      <c r="G13" s="802">
        <f t="shared" si="1"/>
      </c>
      <c r="H13" s="802">
        <f t="shared" si="19"/>
      </c>
      <c r="I13" s="802">
        <f t="shared" si="15"/>
      </c>
      <c r="J13" s="803">
        <f t="shared" si="8"/>
      </c>
      <c r="K13" s="804">
        <f t="shared" si="2"/>
      </c>
      <c r="L13" s="805">
        <f t="shared" si="20"/>
      </c>
      <c r="M13" s="802">
        <f t="shared" si="16"/>
      </c>
      <c r="N13" s="804">
        <f t="shared" si="9"/>
      </c>
      <c r="O13" s="804">
        <f t="shared" si="3"/>
      </c>
      <c r="P13" s="799">
        <v>4</v>
      </c>
      <c r="Q13" s="806">
        <v>8</v>
      </c>
      <c r="R13" s="807">
        <f t="shared" si="21"/>
      </c>
      <c r="S13" s="803">
        <f t="shared" si="13"/>
      </c>
      <c r="T13" s="807">
        <f t="shared" si="10"/>
      </c>
      <c r="U13" s="807">
        <v>0.01</v>
      </c>
      <c r="V13" s="807">
        <f t="shared" si="4"/>
      </c>
      <c r="W13" s="807">
        <f t="shared" si="22"/>
      </c>
      <c r="X13" s="808">
        <v>0.1896</v>
      </c>
      <c r="Y13" s="809">
        <v>8</v>
      </c>
      <c r="Z13" s="809">
        <v>0</v>
      </c>
      <c r="AA13" s="809">
        <f t="shared" si="11"/>
      </c>
      <c r="AB13" s="804">
        <f t="shared" si="5"/>
      </c>
      <c r="AC13" s="804">
        <v>138.5</v>
      </c>
      <c r="AD13" s="810">
        <f t="shared" si="23"/>
      </c>
      <c r="AE13" s="806">
        <f t="shared" si="18"/>
      </c>
      <c r="AF13" s="807">
        <f t="shared" si="12"/>
      </c>
      <c r="AG13" s="807">
        <f t="shared" si="6"/>
      </c>
      <c r="AH13" s="806">
        <v>30</v>
      </c>
      <c r="AI13" s="807">
        <f t="shared" si="0"/>
      </c>
      <c r="AJ13" s="807"/>
      <c r="AK13" s="807"/>
      <c r="AL13" s="807"/>
      <c r="AM13" s="807"/>
      <c r="AN13" s="811"/>
      <c r="AO13" s="811"/>
      <c r="AP13" s="811"/>
      <c r="AQ13" s="811"/>
      <c r="AR13" s="811"/>
      <c r="AS13" s="811"/>
      <c r="AT13" s="811" t="s">
        <v>1798</v>
      </c>
      <c r="AU13" s="811" t="s">
        <v>1798</v>
      </c>
      <c r="AV13" s="811" t="s">
        <v>1798</v>
      </c>
      <c r="AW13" s="811" t="s">
        <v>1798</v>
      </c>
      <c r="AX13" s="811" t="s">
        <v>1798</v>
      </c>
      <c r="AY13" s="811" t="s">
        <v>1798</v>
      </c>
      <c r="AZ13" s="811" t="s">
        <v>1798</v>
      </c>
      <c r="BA13" s="811" t="s">
        <v>1798</v>
      </c>
      <c r="BB13" s="811" t="s">
        <v>1798</v>
      </c>
      <c r="BC13" s="811" t="s">
        <v>1798</v>
      </c>
      <c r="BD13" s="811" t="s">
        <v>1798</v>
      </c>
      <c r="BE13" s="811" t="s">
        <v>1798</v>
      </c>
      <c r="BF13" s="811" t="s">
        <v>1798</v>
      </c>
      <c r="BG13" s="811" t="s">
        <v>1798</v>
      </c>
      <c r="BH13" s="811" t="s">
        <v>1798</v>
      </c>
      <c r="BI13" s="811" t="s">
        <v>1798</v>
      </c>
      <c r="BJ13" s="811" t="s">
        <v>1798</v>
      </c>
      <c r="BK13" s="811" t="s">
        <v>1798</v>
      </c>
      <c r="BL13" s="811" t="s">
        <v>1798</v>
      </c>
      <c r="BM13" s="811" t="s">
        <v>1798</v>
      </c>
      <c r="BN13" s="811" t="s">
        <v>1798</v>
      </c>
      <c r="BO13" s="811" t="s">
        <v>1798</v>
      </c>
      <c r="BP13" s="811" t="s">
        <v>1798</v>
      </c>
      <c r="BQ13" s="811" t="s">
        <v>1798</v>
      </c>
      <c r="BR13" s="812"/>
      <c r="BS13" s="799" t="str">
        <v>#VALUE!</v>
      </c>
    </row>
    <row customHeight="true" ht="26.666666666666664" r="14">
      <c r="A14" s="799" t="s">
        <v>1806</v>
      </c>
      <c r="B14" s="799" t="s">
        <v>1801</v>
      </c>
      <c r="C14" s="799" t="s">
        <v>1802</v>
      </c>
      <c r="D14" s="813" t="s">
        <v>1803</v>
      </c>
      <c r="E14" s="814">
        <v>59.35</v>
      </c>
      <c r="F14" s="801">
        <v>84.99</v>
      </c>
      <c r="G14" s="802">
        <f t="shared" si="1"/>
      </c>
      <c r="H14" s="802">
        <f t="shared" si="19"/>
      </c>
      <c r="I14" s="815">
        <f t="shared" si="15"/>
      </c>
      <c r="J14" s="803">
        <f t="shared" si="8"/>
      </c>
      <c r="K14" s="804">
        <f t="shared" si="2"/>
      </c>
      <c r="L14" s="805">
        <f t="shared" si="20"/>
      </c>
      <c r="M14" s="802">
        <f t="shared" si="16"/>
      </c>
      <c r="N14" s="804">
        <f t="shared" si="9"/>
      </c>
      <c r="O14" s="804">
        <f t="shared" si="3"/>
      </c>
      <c r="P14" s="799">
        <v>4</v>
      </c>
      <c r="Q14" s="806">
        <v>8</v>
      </c>
      <c r="R14" s="807">
        <f t="shared" si="21"/>
      </c>
      <c r="S14" s="803">
        <f t="shared" si="13"/>
      </c>
      <c r="T14" s="807">
        <f t="shared" si="10"/>
      </c>
      <c r="U14" s="807">
        <v>0.01</v>
      </c>
      <c r="V14" s="807">
        <f t="shared" si="4"/>
      </c>
      <c r="W14" s="807">
        <f t="shared" si="22"/>
      </c>
      <c r="X14" s="808">
        <v>0.1896</v>
      </c>
      <c r="Y14" s="809">
        <v>8</v>
      </c>
      <c r="Z14" s="809">
        <f>F14*0.06</f>
      </c>
      <c r="AA14" s="809">
        <f t="shared" si="11"/>
      </c>
      <c r="AB14" s="804">
        <f t="shared" si="5"/>
      </c>
      <c r="AC14" s="804">
        <v>138.5</v>
      </c>
      <c r="AD14" s="810">
        <f t="shared" si="23"/>
      </c>
      <c r="AE14" s="806">
        <f t="shared" si="18"/>
      </c>
      <c r="AF14" s="807">
        <f t="shared" si="12"/>
      </c>
      <c r="AG14" s="807">
        <f t="shared" si="6"/>
      </c>
      <c r="AH14" s="806">
        <v>30</v>
      </c>
      <c r="AI14" s="807">
        <f t="shared" si="0"/>
      </c>
      <c r="AJ14" s="807"/>
      <c r="AK14" s="807"/>
      <c r="AL14" s="807"/>
      <c r="AM14" s="807"/>
      <c r="AN14" s="811"/>
      <c r="AO14" s="811"/>
      <c r="AP14" s="811"/>
      <c r="AQ14" s="811"/>
      <c r="AR14" s="811"/>
      <c r="AS14" s="811"/>
      <c r="AT14" s="811" t="s">
        <v>1798</v>
      </c>
      <c r="AU14" s="811" t="s">
        <v>1798</v>
      </c>
      <c r="AV14" s="811" t="s">
        <v>1798</v>
      </c>
      <c r="AW14" s="811" t="s">
        <v>1798</v>
      </c>
      <c r="AX14" s="811" t="s">
        <v>1798</v>
      </c>
      <c r="AY14" s="811" t="s">
        <v>1798</v>
      </c>
      <c r="AZ14" s="811" t="s">
        <v>1798</v>
      </c>
      <c r="BA14" s="811" t="s">
        <v>1798</v>
      </c>
      <c r="BB14" s="811" t="s">
        <v>1798</v>
      </c>
      <c r="BC14" s="811" t="s">
        <v>1798</v>
      </c>
      <c r="BD14" s="811" t="s">
        <v>1798</v>
      </c>
      <c r="BE14" s="811" t="s">
        <v>1798</v>
      </c>
      <c r="BF14" s="811" t="s">
        <v>1798</v>
      </c>
      <c r="BG14" s="811" t="s">
        <v>1798</v>
      </c>
      <c r="BH14" s="811" t="s">
        <v>1798</v>
      </c>
      <c r="BI14" s="811" t="s">
        <v>1798</v>
      </c>
      <c r="BJ14" s="811" t="s">
        <v>1798</v>
      </c>
      <c r="BK14" s="811" t="s">
        <v>1798</v>
      </c>
      <c r="BL14" s="811" t="s">
        <v>1798</v>
      </c>
      <c r="BM14" s="811" t="s">
        <v>1798</v>
      </c>
      <c r="BN14" s="811" t="s">
        <v>1798</v>
      </c>
      <c r="BO14" s="811" t="s">
        <v>1798</v>
      </c>
      <c r="BP14" s="811" t="s">
        <v>1798</v>
      </c>
      <c r="BQ14" s="811" t="s">
        <v>1798</v>
      </c>
      <c r="BR14" s="812"/>
      <c r="BS14" s="799" t="str">
        <v>#VALUE!</v>
      </c>
    </row>
    <row customHeight="true" ht="31.11111111111111" r="15">
      <c r="A15" s="799" t="s">
        <v>1806</v>
      </c>
      <c r="B15" s="799" t="s">
        <v>1801</v>
      </c>
      <c r="C15" s="799" t="s">
        <v>1802</v>
      </c>
      <c r="D15" s="813" t="s">
        <v>1799</v>
      </c>
      <c r="E15" s="814">
        <v>59.35</v>
      </c>
      <c r="F15" s="801">
        <v>84.99</v>
      </c>
      <c r="G15" s="802">
        <f t="shared" si="1"/>
      </c>
      <c r="H15" s="802">
        <f t="shared" si="19"/>
      </c>
      <c r="I15" s="802">
        <f t="shared" si="15"/>
      </c>
      <c r="J15" s="803">
        <f t="shared" si="8"/>
      </c>
      <c r="K15" s="804">
        <f t="shared" si="2"/>
      </c>
      <c r="L15" s="805">
        <f t="shared" si="20"/>
      </c>
      <c r="M15" s="802">
        <f t="shared" si="16"/>
      </c>
      <c r="N15" s="804">
        <f t="shared" si="9"/>
      </c>
      <c r="O15" s="804">
        <f t="shared" si="3"/>
      </c>
      <c r="P15" s="799">
        <v>4</v>
      </c>
      <c r="Q15" s="806">
        <v>8</v>
      </c>
      <c r="R15" s="807">
        <f t="shared" si="21"/>
      </c>
      <c r="S15" s="803">
        <f t="shared" si="13"/>
      </c>
      <c r="T15" s="807">
        <f t="shared" si="10"/>
      </c>
      <c r="U15" s="807">
        <v>0.01</v>
      </c>
      <c r="V15" s="807">
        <f t="shared" si="4"/>
      </c>
      <c r="W15" s="807">
        <f t="shared" si="22"/>
      </c>
      <c r="X15" s="808">
        <v>0.1896</v>
      </c>
      <c r="Y15" s="809">
        <v>8</v>
      </c>
      <c r="Z15" s="809">
        <f>F15*0.15</f>
      </c>
      <c r="AA15" s="809">
        <f t="shared" si="11"/>
      </c>
      <c r="AB15" s="804">
        <f t="shared" si="5"/>
      </c>
      <c r="AC15" s="804">
        <v>138.5</v>
      </c>
      <c r="AD15" s="810">
        <f t="shared" si="23"/>
      </c>
      <c r="AE15" s="806">
        <f t="shared" si="18"/>
      </c>
      <c r="AF15" s="807">
        <f t="shared" si="12"/>
      </c>
      <c r="AG15" s="807">
        <f t="shared" si="6"/>
      </c>
      <c r="AH15" s="806">
        <v>30</v>
      </c>
      <c r="AI15" s="807">
        <f t="shared" si="0"/>
      </c>
      <c r="AJ15" s="807"/>
      <c r="AK15" s="807"/>
      <c r="AL15" s="807"/>
      <c r="AM15" s="807"/>
      <c r="AN15" s="811"/>
      <c r="AO15" s="811"/>
      <c r="AP15" s="811"/>
      <c r="AQ15" s="811"/>
      <c r="AR15" s="811"/>
      <c r="AS15" s="811"/>
      <c r="AT15" s="811" t="s">
        <v>1798</v>
      </c>
      <c r="AU15" s="811" t="s">
        <v>1798</v>
      </c>
      <c r="AV15" s="811" t="s">
        <v>1798</v>
      </c>
      <c r="AW15" s="811" t="s">
        <v>1798</v>
      </c>
      <c r="AX15" s="811" t="s">
        <v>1798</v>
      </c>
      <c r="AY15" s="811" t="s">
        <v>1798</v>
      </c>
      <c r="AZ15" s="811" t="s">
        <v>1798</v>
      </c>
      <c r="BA15" s="811" t="s">
        <v>1798</v>
      </c>
      <c r="BB15" s="811" t="s">
        <v>1798</v>
      </c>
      <c r="BC15" s="811" t="s">
        <v>1798</v>
      </c>
      <c r="BD15" s="811" t="s">
        <v>1798</v>
      </c>
      <c r="BE15" s="811" t="s">
        <v>1798</v>
      </c>
      <c r="BF15" s="811" t="s">
        <v>1798</v>
      </c>
      <c r="BG15" s="811" t="s">
        <v>1798</v>
      </c>
      <c r="BH15" s="811" t="s">
        <v>1798</v>
      </c>
      <c r="BI15" s="811" t="s">
        <v>1798</v>
      </c>
      <c r="BJ15" s="811" t="s">
        <v>1798</v>
      </c>
      <c r="BK15" s="811" t="s">
        <v>1798</v>
      </c>
      <c r="BL15" s="811" t="s">
        <v>1798</v>
      </c>
      <c r="BM15" s="811" t="s">
        <v>1798</v>
      </c>
      <c r="BN15" s="811" t="s">
        <v>1798</v>
      </c>
      <c r="BO15" s="811" t="s">
        <v>1798</v>
      </c>
      <c r="BP15" s="811" t="s">
        <v>1798</v>
      </c>
      <c r="BQ15" s="811" t="s">
        <v>1798</v>
      </c>
      <c r="BR15" s="812"/>
      <c r="BS15" s="799" t="str">
        <v>#VALUE!</v>
      </c>
    </row>
    <row customHeight="true" ht="17.777777777777775" r="16">
      <c r="A16" s="799" t="s">
        <v>1807</v>
      </c>
      <c r="B16" s="799" t="s">
        <v>1801</v>
      </c>
      <c r="C16" s="799" t="s">
        <v>1802</v>
      </c>
      <c r="D16" s="813" t="s">
        <v>1808</v>
      </c>
      <c r="E16" s="804">
        <v>97.09</v>
      </c>
      <c r="F16" s="816">
        <v>135.99</v>
      </c>
      <c r="G16" s="802">
        <f t="shared" si="1"/>
      </c>
      <c r="H16" s="802">
        <f t="shared" si="19"/>
      </c>
      <c r="I16" s="802">
        <f t="shared" si="15"/>
      </c>
      <c r="J16" s="803">
        <f t="shared" si="8"/>
      </c>
      <c r="K16" s="804">
        <f t="shared" si="2"/>
      </c>
      <c r="L16" s="805">
        <f t="shared" si="20"/>
      </c>
      <c r="M16" s="802">
        <f t="shared" si="16"/>
      </c>
      <c r="N16" s="804">
        <f t="shared" si="9"/>
      </c>
      <c r="O16" s="804">
        <f t="shared" si="3"/>
      </c>
      <c r="P16" s="799">
        <v>4</v>
      </c>
      <c r="Q16" s="806">
        <v>7.4</v>
      </c>
      <c r="R16" s="807">
        <f t="shared" si="21"/>
      </c>
      <c r="S16" s="803">
        <f t="shared" si="13"/>
      </c>
      <c r="T16" s="807">
        <f t="shared" si="10"/>
      </c>
      <c r="U16" s="807">
        <v>0.01</v>
      </c>
      <c r="V16" s="807">
        <f t="shared" si="4"/>
      </c>
      <c r="W16" s="807">
        <f t="shared" si="22"/>
      </c>
      <c r="X16" s="808">
        <v>0.1945</v>
      </c>
      <c r="Y16" s="809">
        <v>8</v>
      </c>
      <c r="Z16" s="809">
        <f t="shared" ref="Z16:Z19" si="14">E16*T16</f>
      </c>
      <c r="AA16" s="809">
        <f t="shared" si="11"/>
      </c>
      <c r="AB16" s="804">
        <f t="shared" si="5"/>
      </c>
      <c r="AC16" s="804">
        <v>138.5</v>
      </c>
      <c r="AD16" s="810">
        <f t="shared" si="23"/>
      </c>
      <c r="AE16" s="806">
        <f t="shared" si="18"/>
      </c>
      <c r="AF16" s="807">
        <f t="shared" si="12"/>
      </c>
      <c r="AG16" s="807">
        <f t="shared" si="6"/>
      </c>
      <c r="AH16" s="806">
        <v>30</v>
      </c>
      <c r="AI16" s="807">
        <f t="shared" si="0"/>
      </c>
      <c r="AJ16" s="811"/>
      <c r="AK16" s="811"/>
      <c r="AL16" s="811"/>
      <c r="AM16" s="811"/>
      <c r="AN16" s="811"/>
      <c r="AO16" s="811"/>
      <c r="AP16" s="811"/>
      <c r="AQ16" s="811"/>
      <c r="AR16" s="811"/>
      <c r="AS16" s="811"/>
      <c r="AT16" s="811" t="s">
        <v>1798</v>
      </c>
      <c r="AU16" s="811" t="s">
        <v>1798</v>
      </c>
      <c r="AV16" s="811" t="s">
        <v>1798</v>
      </c>
      <c r="AW16" s="811" t="s">
        <v>1798</v>
      </c>
      <c r="AX16" s="811" t="s">
        <v>1798</v>
      </c>
      <c r="AY16" s="811" t="s">
        <v>1798</v>
      </c>
      <c r="AZ16" s="811" t="s">
        <v>1798</v>
      </c>
      <c r="BA16" s="811" t="s">
        <v>1798</v>
      </c>
      <c r="BB16" s="811" t="s">
        <v>1798</v>
      </c>
      <c r="BC16" s="811" t="s">
        <v>1798</v>
      </c>
      <c r="BD16" s="811" t="s">
        <v>1798</v>
      </c>
      <c r="BE16" s="811" t="s">
        <v>1798</v>
      </c>
      <c r="BF16" s="811" t="s">
        <v>1798</v>
      </c>
      <c r="BG16" s="811" t="s">
        <v>1798</v>
      </c>
      <c r="BH16" s="811" t="s">
        <v>1798</v>
      </c>
      <c r="BI16" s="811" t="s">
        <v>1798</v>
      </c>
      <c r="BJ16" s="811" t="s">
        <v>1798</v>
      </c>
      <c r="BK16" s="811" t="s">
        <v>1798</v>
      </c>
      <c r="BL16" s="811" t="s">
        <v>1798</v>
      </c>
      <c r="BM16" s="811" t="s">
        <v>1798</v>
      </c>
      <c r="BN16" s="811" t="s">
        <v>1798</v>
      </c>
      <c r="BO16" s="811" t="s">
        <v>1798</v>
      </c>
      <c r="BP16" s="811" t="s">
        <v>1798</v>
      </c>
      <c r="BQ16" s="811" t="s">
        <v>1798</v>
      </c>
      <c r="BR16" s="817">
        <f t="shared" ref="BR16:BR19" si="7">IF(#NULL!&lt;E16,1,0)</f>
      </c>
      <c r="BS16" s="799" t="str">
        <v>#VALUE!</v>
      </c>
    </row>
    <row customHeight="true" ht="17.777777777777775" r="17">
      <c r="A17" s="799" t="s">
        <v>1809</v>
      </c>
      <c r="B17" s="799" t="s">
        <v>1801</v>
      </c>
      <c r="C17" s="799" t="s">
        <v>1802</v>
      </c>
      <c r="D17" s="813" t="s">
        <v>1810</v>
      </c>
      <c r="E17" s="804">
        <v>138.54</v>
      </c>
      <c r="F17" s="816">
        <v>168</v>
      </c>
      <c r="G17" s="802">
        <f t="shared" si="1"/>
      </c>
      <c r="H17" s="802">
        <f t="shared" si="19"/>
      </c>
      <c r="I17" s="802">
        <f t="shared" si="15"/>
      </c>
      <c r="J17" s="803">
        <f t="shared" si="8"/>
      </c>
      <c r="K17" s="804">
        <f t="shared" si="2"/>
      </c>
      <c r="L17" s="805">
        <f t="shared" si="20"/>
      </c>
      <c r="M17" s="802">
        <f t="shared" si="16"/>
      </c>
      <c r="N17" s="804">
        <f t="shared" si="9"/>
      </c>
      <c r="O17" s="804">
        <f t="shared" si="3"/>
      </c>
      <c r="P17" s="799">
        <v>4</v>
      </c>
      <c r="Q17" s="806">
        <v>1.6</v>
      </c>
      <c r="R17" s="807">
        <f t="shared" si="21"/>
      </c>
      <c r="S17" s="803">
        <f t="shared" si="13"/>
      </c>
      <c r="T17" s="807">
        <f t="shared" si="10"/>
      </c>
      <c r="U17" s="807">
        <v>0.01</v>
      </c>
      <c r="V17" s="807">
        <f t="shared" si="4"/>
      </c>
      <c r="W17" s="807">
        <f t="shared" si="22"/>
      </c>
      <c r="X17" s="808">
        <v>0.1945</v>
      </c>
      <c r="Y17" s="809">
        <v>8</v>
      </c>
      <c r="Z17" s="809">
        <f t="shared" si="14"/>
      </c>
      <c r="AA17" s="809">
        <f t="shared" si="11"/>
      </c>
      <c r="AB17" s="804">
        <f t="shared" si="5"/>
      </c>
      <c r="AC17" s="804">
        <v>138.5</v>
      </c>
      <c r="AD17" s="810">
        <f t="shared" si="23"/>
      </c>
      <c r="AE17" s="806">
        <f t="shared" si="18"/>
      </c>
      <c r="AF17" s="807">
        <f t="shared" si="12"/>
      </c>
      <c r="AG17" s="807">
        <f t="shared" si="6"/>
      </c>
      <c r="AH17" s="806">
        <v>30</v>
      </c>
      <c r="AI17" s="807">
        <f t="shared" si="0"/>
      </c>
      <c r="AJ17" s="811"/>
      <c r="AK17" s="811"/>
      <c r="AL17" s="811"/>
      <c r="AM17" s="811"/>
      <c r="AN17" s="811"/>
      <c r="AO17" s="811"/>
      <c r="AP17" s="811"/>
      <c r="AQ17" s="811"/>
      <c r="AR17" s="811"/>
      <c r="AS17" s="811"/>
      <c r="AT17" s="811" t="s">
        <v>1798</v>
      </c>
      <c r="AU17" s="811" t="s">
        <v>1798</v>
      </c>
      <c r="AV17" s="811" t="s">
        <v>1798</v>
      </c>
      <c r="AW17" s="811" t="s">
        <v>1798</v>
      </c>
      <c r="AX17" s="811" t="s">
        <v>1798</v>
      </c>
      <c r="AY17" s="811" t="s">
        <v>1798</v>
      </c>
      <c r="AZ17" s="811" t="s">
        <v>1798</v>
      </c>
      <c r="BA17" s="811" t="s">
        <v>1798</v>
      </c>
      <c r="BB17" s="811" t="s">
        <v>1798</v>
      </c>
      <c r="BC17" s="811" t="s">
        <v>1798</v>
      </c>
      <c r="BD17" s="811" t="s">
        <v>1798</v>
      </c>
      <c r="BE17" s="811" t="s">
        <v>1798</v>
      </c>
      <c r="BF17" s="811" t="s">
        <v>1798</v>
      </c>
      <c r="BG17" s="811" t="s">
        <v>1798</v>
      </c>
      <c r="BH17" s="811" t="s">
        <v>1798</v>
      </c>
      <c r="BI17" s="811" t="s">
        <v>1798</v>
      </c>
      <c r="BJ17" s="811" t="s">
        <v>1798</v>
      </c>
      <c r="BK17" s="811" t="s">
        <v>1798</v>
      </c>
      <c r="BL17" s="811" t="s">
        <v>1798</v>
      </c>
      <c r="BM17" s="811" t="s">
        <v>1798</v>
      </c>
      <c r="BN17" s="811" t="s">
        <v>1798</v>
      </c>
      <c r="BO17" s="811" t="s">
        <v>1798</v>
      </c>
      <c r="BP17" s="811" t="s">
        <v>1798</v>
      </c>
      <c r="BQ17" s="811" t="s">
        <v>1798</v>
      </c>
      <c r="BR17" s="817">
        <f t="shared" si="7"/>
      </c>
      <c r="BS17" s="799" t="str">
        <v>#VALUE!</v>
      </c>
    </row>
    <row customHeight="true" ht="17.777777777777775" r="18">
      <c r="A18" s="799" t="s">
        <v>1811</v>
      </c>
      <c r="B18" s="799" t="s">
        <v>1801</v>
      </c>
      <c r="C18" s="799" t="s">
        <v>1802</v>
      </c>
      <c r="D18" s="813" t="s">
        <v>1812</v>
      </c>
      <c r="E18" s="804">
        <v>389.61</v>
      </c>
      <c r="F18" s="816">
        <v>538</v>
      </c>
      <c r="G18" s="802">
        <f t="shared" si="1"/>
      </c>
      <c r="H18" s="802">
        <f t="shared" si="19"/>
      </c>
      <c r="I18" s="802">
        <f t="shared" si="15"/>
      </c>
      <c r="J18" s="803">
        <f t="shared" si="8"/>
      </c>
      <c r="K18" s="804">
        <f t="shared" si="2"/>
      </c>
      <c r="L18" s="805">
        <f t="shared" si="20"/>
      </c>
      <c r="M18" s="802">
        <f t="shared" si="16"/>
      </c>
      <c r="N18" s="804">
        <f t="shared" si="9"/>
      </c>
      <c r="O18" s="804">
        <f t="shared" si="3"/>
      </c>
      <c r="P18" s="799">
        <v>4</v>
      </c>
      <c r="Q18" s="806">
        <v>0.6</v>
      </c>
      <c r="R18" s="807">
        <f t="shared" si="21"/>
      </c>
      <c r="S18" s="803">
        <f t="shared" si="13"/>
      </c>
      <c r="T18" s="807">
        <f t="shared" si="10"/>
      </c>
      <c r="U18" s="807">
        <v>0.01</v>
      </c>
      <c r="V18" s="807">
        <f t="shared" si="4"/>
      </c>
      <c r="W18" s="807">
        <f t="shared" si="22"/>
      </c>
      <c r="X18" s="808">
        <v>0.1945</v>
      </c>
      <c r="Y18" s="809">
        <v>8</v>
      </c>
      <c r="Z18" s="809">
        <f t="shared" si="14"/>
      </c>
      <c r="AA18" s="809">
        <f t="shared" si="11"/>
      </c>
      <c r="AB18" s="804">
        <f t="shared" si="5"/>
      </c>
      <c r="AC18" s="804">
        <v>138.5</v>
      </c>
      <c r="AD18" s="810">
        <f t="shared" si="23"/>
      </c>
      <c r="AE18" s="806">
        <f t="shared" si="18"/>
      </c>
      <c r="AF18" s="807">
        <f t="shared" si="12"/>
      </c>
      <c r="AG18" s="807">
        <f t="shared" si="6"/>
      </c>
      <c r="AH18" s="806">
        <v>30</v>
      </c>
      <c r="AI18" s="807">
        <f t="shared" si="0"/>
      </c>
      <c r="AJ18" s="811"/>
      <c r="AK18" s="811"/>
      <c r="AL18" s="811"/>
      <c r="AM18" s="811"/>
      <c r="AN18" s="811"/>
      <c r="AO18" s="811"/>
      <c r="AP18" s="811"/>
      <c r="AQ18" s="811"/>
      <c r="AR18" s="811"/>
      <c r="AS18" s="811"/>
      <c r="AT18" s="811" t="s">
        <v>1798</v>
      </c>
      <c r="AU18" s="811" t="s">
        <v>1798</v>
      </c>
      <c r="AV18" s="811" t="s">
        <v>1798</v>
      </c>
      <c r="AW18" s="811" t="s">
        <v>1798</v>
      </c>
      <c r="AX18" s="811" t="s">
        <v>1798</v>
      </c>
      <c r="AY18" s="811" t="s">
        <v>1798</v>
      </c>
      <c r="AZ18" s="811" t="s">
        <v>1798</v>
      </c>
      <c r="BA18" s="811" t="s">
        <v>1798</v>
      </c>
      <c r="BB18" s="811" t="s">
        <v>1798</v>
      </c>
      <c r="BC18" s="811" t="s">
        <v>1798</v>
      </c>
      <c r="BD18" s="811" t="s">
        <v>1798</v>
      </c>
      <c r="BE18" s="811" t="s">
        <v>1798</v>
      </c>
      <c r="BF18" s="811" t="s">
        <v>1798</v>
      </c>
      <c r="BG18" s="811" t="s">
        <v>1798</v>
      </c>
      <c r="BH18" s="811" t="s">
        <v>1798</v>
      </c>
      <c r="BI18" s="811" t="s">
        <v>1798</v>
      </c>
      <c r="BJ18" s="811" t="s">
        <v>1798</v>
      </c>
      <c r="BK18" s="811" t="s">
        <v>1798</v>
      </c>
      <c r="BL18" s="811" t="s">
        <v>1798</v>
      </c>
      <c r="BM18" s="811" t="s">
        <v>1798</v>
      </c>
      <c r="BN18" s="811" t="s">
        <v>1798</v>
      </c>
      <c r="BO18" s="811" t="s">
        <v>1798</v>
      </c>
      <c r="BP18" s="811" t="s">
        <v>1798</v>
      </c>
      <c r="BQ18" s="811" t="s">
        <v>1798</v>
      </c>
      <c r="BR18" s="817">
        <f t="shared" si="7"/>
      </c>
      <c r="BS18" s="799" t="str">
        <v>#VALUE!</v>
      </c>
    </row>
    <row customHeight="true" ht="17.777777777777775" r="19">
      <c r="A19" s="799" t="s">
        <v>1813</v>
      </c>
      <c r="B19" s="799" t="s">
        <v>1801</v>
      </c>
      <c r="C19" s="799" t="s">
        <v>1802</v>
      </c>
      <c r="D19" s="813" t="s">
        <v>1814</v>
      </c>
      <c r="E19" s="801">
        <v>85</v>
      </c>
      <c r="F19" s="816">
        <v>119.99</v>
      </c>
      <c r="G19" s="802">
        <f t="shared" si="1"/>
      </c>
      <c r="H19" s="802">
        <f t="shared" si="19"/>
      </c>
      <c r="I19" s="802">
        <f t="shared" si="15"/>
      </c>
      <c r="J19" s="803">
        <f t="shared" si="8"/>
      </c>
      <c r="K19" s="804">
        <f t="shared" si="2"/>
      </c>
      <c r="L19" s="805">
        <f t="shared" si="20"/>
      </c>
      <c r="M19" s="802">
        <f t="shared" si="16"/>
      </c>
      <c r="N19" s="804">
        <f t="shared" si="9"/>
      </c>
      <c r="O19" s="804">
        <f t="shared" si="3"/>
      </c>
      <c r="P19" s="799">
        <v>4</v>
      </c>
      <c r="Q19" s="806">
        <v>7.4</v>
      </c>
      <c r="R19" s="807">
        <f t="shared" si="21"/>
      </c>
      <c r="S19" s="803">
        <f t="shared" si="13"/>
      </c>
      <c r="T19" s="807">
        <f t="shared" si="10"/>
      </c>
      <c r="U19" s="807">
        <v>0.01</v>
      </c>
      <c r="V19" s="807">
        <f t="shared" si="4"/>
      </c>
      <c r="W19" s="807">
        <f t="shared" si="22"/>
      </c>
      <c r="X19" s="808">
        <v>0.1945</v>
      </c>
      <c r="Y19" s="809">
        <v>8</v>
      </c>
      <c r="Z19" s="809">
        <f t="shared" si="14"/>
      </c>
      <c r="AA19" s="809">
        <f t="shared" si="11"/>
      </c>
      <c r="AB19" s="804">
        <f t="shared" si="5"/>
      </c>
      <c r="AC19" s="804">
        <v>138.5</v>
      </c>
      <c r="AD19" s="810">
        <f t="shared" si="23"/>
      </c>
      <c r="AE19" s="806">
        <f t="shared" si="18"/>
      </c>
      <c r="AF19" s="807">
        <f t="shared" si="12"/>
      </c>
      <c r="AG19" s="807">
        <f t="shared" si="6"/>
      </c>
      <c r="AH19" s="806">
        <v>30</v>
      </c>
      <c r="AI19" s="807">
        <f t="shared" si="0"/>
      </c>
      <c r="AJ19" s="807"/>
      <c r="AK19" s="807"/>
      <c r="AL19" s="807"/>
      <c r="AM19" s="807"/>
      <c r="AN19" s="811"/>
      <c r="AO19" s="811"/>
      <c r="AP19" s="811"/>
      <c r="AQ19" s="811"/>
      <c r="AR19" s="811"/>
      <c r="AS19" s="811"/>
      <c r="AT19" s="811" t="s">
        <v>1798</v>
      </c>
      <c r="AU19" s="811" t="s">
        <v>1798</v>
      </c>
      <c r="AV19" s="811" t="s">
        <v>1798</v>
      </c>
      <c r="AW19" s="811" t="s">
        <v>1798</v>
      </c>
      <c r="AX19" s="811" t="s">
        <v>1798</v>
      </c>
      <c r="AY19" s="811" t="s">
        <v>1798</v>
      </c>
      <c r="AZ19" s="811" t="s">
        <v>1798</v>
      </c>
      <c r="BA19" s="811" t="s">
        <v>1798</v>
      </c>
      <c r="BB19" s="811" t="s">
        <v>1798</v>
      </c>
      <c r="BC19" s="811" t="s">
        <v>1798</v>
      </c>
      <c r="BD19" s="811" t="s">
        <v>1798</v>
      </c>
      <c r="BE19" s="811" t="s">
        <v>1798</v>
      </c>
      <c r="BF19" s="811" t="s">
        <v>1798</v>
      </c>
      <c r="BG19" s="811" t="s">
        <v>1798</v>
      </c>
      <c r="BH19" s="811" t="s">
        <v>1798</v>
      </c>
      <c r="BI19" s="811" t="s">
        <v>1798</v>
      </c>
      <c r="BJ19" s="811" t="s">
        <v>1798</v>
      </c>
      <c r="BK19" s="811" t="s">
        <v>1798</v>
      </c>
      <c r="BL19" s="811" t="s">
        <v>1798</v>
      </c>
      <c r="BM19" s="811" t="s">
        <v>1798</v>
      </c>
      <c r="BN19" s="811" t="s">
        <v>1798</v>
      </c>
      <c r="BO19" s="811" t="s">
        <v>1798</v>
      </c>
      <c r="BP19" s="811" t="s">
        <v>1798</v>
      </c>
      <c r="BQ19" s="811" t="s">
        <v>1798</v>
      </c>
      <c r="BR19" s="817">
        <f t="shared" si="7"/>
      </c>
      <c r="BS19" s="799" t="str">
        <v>#VALUE!</v>
      </c>
    </row>
    <row customHeight="true" ht="17.777777777777775" r="20">
      <c r="A20" s="818"/>
      <c r="B20" s="818"/>
      <c r="C20" s="818"/>
      <c r="D20" s="818"/>
      <c r="E20" s="804"/>
      <c r="F20" s="816"/>
      <c r="G20" s="802">
        <f t="shared" si="1"/>
      </c>
      <c r="H20" s="802"/>
      <c r="I20" s="802"/>
      <c r="J20" s="803"/>
      <c r="K20" s="804"/>
      <c r="L20" s="804"/>
      <c r="M20" s="804"/>
      <c r="N20" s="804"/>
      <c r="O20" s="804"/>
      <c r="P20" s="799"/>
      <c r="Q20" s="806"/>
      <c r="R20" s="807"/>
      <c r="S20" s="803"/>
      <c r="T20" s="807"/>
      <c r="U20" s="807"/>
      <c r="V20" s="807"/>
      <c r="W20" s="807"/>
      <c r="X20" s="808"/>
      <c r="Y20" s="809"/>
      <c r="Z20" s="809"/>
      <c r="AA20" s="809"/>
      <c r="AB20" s="804"/>
      <c r="AC20" s="804"/>
      <c r="AD20" s="810"/>
      <c r="AE20" s="806"/>
      <c r="AF20" s="807"/>
      <c r="AG20" s="807"/>
      <c r="AH20" s="806"/>
      <c r="AI20" s="807"/>
      <c r="AJ20" s="807"/>
      <c r="AK20" s="807"/>
      <c r="AL20" s="807"/>
      <c r="AM20" s="807"/>
      <c r="AN20" s="811"/>
      <c r="AO20" s="811"/>
      <c r="AP20" s="811"/>
      <c r="AQ20" s="811"/>
      <c r="AR20" s="811"/>
      <c r="AS20" s="811"/>
      <c r="AT20" s="811"/>
      <c r="AU20" s="811"/>
      <c r="AV20" s="811"/>
      <c r="AW20" s="811"/>
      <c r="AX20" s="811"/>
      <c r="AY20" s="811"/>
      <c r="AZ20" s="811"/>
      <c r="BA20" s="811"/>
      <c r="BB20" s="811"/>
      <c r="BC20" s="811"/>
      <c r="BD20" s="811"/>
      <c r="BE20" s="811"/>
      <c r="BF20" s="811"/>
      <c r="BG20" s="811"/>
      <c r="BH20" s="811"/>
      <c r="BI20" s="811"/>
      <c r="BJ20" s="811"/>
      <c r="BK20" s="811"/>
      <c r="BL20" s="811"/>
      <c r="BM20" s="811"/>
      <c r="BN20" s="811"/>
      <c r="BO20" s="811"/>
      <c r="BP20" s="811"/>
      <c r="BQ20" s="811"/>
      <c r="BR20" s="817"/>
      <c r="BS20" s="799"/>
    </row>
  </sheetData>
  <conditionalFormatting sqref="J16:J20 Y20:Y20 Z16:AA20">
    <cfRule dxfId="143" operator="lessThanOrEqual" priority="1" stopIfTrue="true" type="cellIs">
      <formula>0</formula>
    </cfRule>
  </conditionalFormatting>
  <conditionalFormatting sqref="J18:J20 Y20:Y20 Z18:AA20">
    <cfRule dxfId="144" operator="lessThanOrEqual" priority="2" stopIfTrue="true" type="cellIs">
      <formula>0</formula>
    </cfRule>
  </conditionalFormatting>
  <conditionalFormatting sqref="J18:J20 Y20:Y20 Z18:AA20">
    <cfRule dxfId="145" operator="lessThanOrEqual" priority="3" stopIfTrue="true" type="cellIs">
      <formula>0</formula>
    </cfRule>
  </conditionalFormatting>
  <conditionalFormatting sqref="J18:J20">
    <cfRule dxfId="146" operator="lessThanOrEqual" priority="4" stopIfTrue="true" type="cellIs">
      <formula>0</formula>
    </cfRule>
  </conditionalFormatting>
  <conditionalFormatting sqref="J16:J20">
    <cfRule dxfId="147" operator="lessThanOrEqual" priority="5" stopIfTrue="true" type="cellIs">
      <formula>0</formula>
    </cfRule>
  </conditionalFormatting>
  <conditionalFormatting sqref="J18:J20 Y20:Y20 Z18:AA20">
    <cfRule dxfId="148" operator="lessThanOrEqual" priority="6" stopIfTrue="true" type="cellIs">
      <formula>0</formula>
    </cfRule>
  </conditionalFormatting>
  <conditionalFormatting sqref="J18:J20 Y20:Y20 Z18:AA20">
    <cfRule dxfId="149" operator="lessThanOrEqual" priority="7" stopIfTrue="true" type="cellIs">
      <formula>0</formula>
    </cfRule>
  </conditionalFormatting>
  <conditionalFormatting sqref="J18:J20 Y20:Y20 Z18:AA20">
    <cfRule dxfId="150" operator="lessThanOrEqual" priority="8" stopIfTrue="true" type="cellIs">
      <formula>0</formula>
    </cfRule>
  </conditionalFormatting>
  <conditionalFormatting sqref="J16:J20 Y20:Y20 Z16:AA20">
    <cfRule dxfId="151" operator="lessThanOrEqual" priority="9" stopIfTrue="true" type="cellIs">
      <formula>0</formula>
    </cfRule>
  </conditionalFormatting>
  <conditionalFormatting sqref="J18:J20 Y20:Y20 Z18:AA20">
    <cfRule dxfId="152" operator="lessThanOrEqual" priority="10" stopIfTrue="true" type="cellIs">
      <formula>0</formula>
    </cfRule>
  </conditionalFormatting>
  <conditionalFormatting sqref="J18:J20 Y20:Y20 Z18:AA20">
    <cfRule dxfId="153" operator="lessThanOrEqual" priority="11" stopIfTrue="true" type="cellIs">
      <formula>0</formula>
    </cfRule>
  </conditionalFormatting>
  <conditionalFormatting sqref="J18:J20">
    <cfRule dxfId="154" operator="lessThanOrEqual" priority="12" stopIfTrue="true" type="cellIs">
      <formula>0</formula>
    </cfRule>
  </conditionalFormatting>
  <conditionalFormatting sqref="J18:J20">
    <cfRule dxfId="155" operator="lessThanOrEqual" priority="13" stopIfTrue="true" type="cellIs">
      <formula>0</formula>
    </cfRule>
  </conditionalFormatting>
  <conditionalFormatting sqref="J16:J20">
    <cfRule dxfId="156" operator="lessThanOrEqual" priority="14" stopIfTrue="true" type="cellIs">
      <formula>0</formula>
    </cfRule>
  </conditionalFormatting>
  <conditionalFormatting sqref="J18:J20 Y20:Y20 Z18:AA20">
    <cfRule dxfId="157" operator="lessThanOrEqual" priority="15" stopIfTrue="true" type="cellIs">
      <formula>0</formula>
    </cfRule>
  </conditionalFormatting>
  <conditionalFormatting sqref="J18:J20 Y20:Y20 Z18:AA20">
    <cfRule dxfId="158" operator="lessThanOrEqual" priority="16" stopIfTrue="true" type="cellIs">
      <formula>0</formula>
    </cfRule>
  </conditionalFormatting>
  <conditionalFormatting sqref="J16:J20 Y20:Y20 Z16:AA20">
    <cfRule dxfId="159" operator="lessThanOrEqual" priority="17" stopIfTrue="true" type="cellIs">
      <formula>0</formula>
    </cfRule>
  </conditionalFormatting>
  <conditionalFormatting sqref="J18:J20 Y20:Y20 Z18:AA20">
    <cfRule dxfId="160" operator="lessThanOrEqual" priority="18" stopIfTrue="true" type="cellIs">
      <formula>0</formula>
    </cfRule>
  </conditionalFormatting>
  <conditionalFormatting sqref="J18:J20 Y20:Y20 Z18:AA20">
    <cfRule dxfId="161" operator="lessThanOrEqual" priority="19" stopIfTrue="true" type="cellIs">
      <formula>0</formula>
    </cfRule>
  </conditionalFormatting>
  <conditionalFormatting sqref="J18:J20 Y20:Y20 Z18:AA20">
    <cfRule dxfId="162" operator="lessThanOrEqual" priority="20" stopIfTrue="true" type="cellIs">
      <formula>0</formula>
    </cfRule>
  </conditionalFormatting>
  <conditionalFormatting sqref="J18:J20">
    <cfRule dxfId="163" operator="lessThanOrEqual" priority="21" stopIfTrue="true" type="cellIs">
      <formula>0</formula>
    </cfRule>
  </conditionalFormatting>
  <conditionalFormatting sqref="J18:J20 Y20:Y20 Z18:AA20">
    <cfRule dxfId="164" operator="lessThanOrEqual" priority="22" stopIfTrue="true" type="cellIs">
      <formula>0</formula>
    </cfRule>
  </conditionalFormatting>
  <conditionalFormatting sqref="J18:J20">
    <cfRule dxfId="165" operator="lessThanOrEqual" priority="23" stopIfTrue="true" type="cellIs">
      <formula>0</formula>
    </cfRule>
  </conditionalFormatting>
  <conditionalFormatting sqref="J18:J20">
    <cfRule dxfId="166" operator="lessThanOrEqual" priority="24" stopIfTrue="true" type="cellIs">
      <formula>0</formula>
    </cfRule>
  </conditionalFormatting>
  <conditionalFormatting sqref="J18:J20">
    <cfRule dxfId="167" operator="lessThanOrEqual" priority="25" stopIfTrue="true" type="cellIs">
      <formula>0</formula>
    </cfRule>
  </conditionalFormatting>
  <conditionalFormatting sqref="J18:J20 Y20:Y20 Z18:AA20">
    <cfRule dxfId="168" operator="lessThanOrEqual" priority="26" stopIfTrue="true" type="cellIs">
      <formula>0</formula>
    </cfRule>
  </conditionalFormatting>
  <conditionalFormatting sqref="J18:J20">
    <cfRule dxfId="169" operator="lessThanOrEqual" priority="27" stopIfTrue="true" type="cellIs">
      <formula>0</formula>
    </cfRule>
  </conditionalFormatting>
  <conditionalFormatting sqref="J18:J20 Y20:Y20 Z18:AA20">
    <cfRule dxfId="170" operator="lessThanOrEqual" priority="28" stopIfTrue="true" type="cellIs">
      <formula>0</formula>
    </cfRule>
  </conditionalFormatting>
  <conditionalFormatting sqref="J16:J20 Y20:Y20 Z16:AA20">
    <cfRule dxfId="171" operator="lessThanOrEqual" priority="29" stopIfTrue="true" type="cellIs">
      <formula>0</formula>
    </cfRule>
  </conditionalFormatting>
  <conditionalFormatting sqref="J18:J20">
    <cfRule dxfId="172" operator="lessThanOrEqual" priority="30" stopIfTrue="true" type="cellIs">
      <formula>0</formula>
    </cfRule>
  </conditionalFormatting>
  <conditionalFormatting sqref="J18:J20 Y20:Y20 Z18:AA20">
    <cfRule dxfId="173" operator="lessThanOrEqual" priority="31" stopIfTrue="true" type="cellIs">
      <formula>0</formula>
    </cfRule>
  </conditionalFormatting>
  <conditionalFormatting sqref="J18:J20">
    <cfRule dxfId="174" operator="lessThanOrEqual" priority="32" stopIfTrue="true" type="cellIs">
      <formula>0</formula>
    </cfRule>
  </conditionalFormatting>
  <conditionalFormatting sqref="J18:J20">
    <cfRule dxfId="175" operator="lessThanOrEqual" priority="33" stopIfTrue="true" type="cellIs">
      <formula>0</formula>
    </cfRule>
  </conditionalFormatting>
  <conditionalFormatting sqref="J18:J20">
    <cfRule dxfId="176" operator="lessThanOrEqual" priority="34" stopIfTrue="true" type="cellIs">
      <formula>0</formula>
    </cfRule>
  </conditionalFormatting>
  <conditionalFormatting sqref="J18:J20">
    <cfRule dxfId="177" operator="lessThanOrEqual" priority="35" stopIfTrue="true" type="cellIs">
      <formula>0</formula>
    </cfRule>
  </conditionalFormatting>
  <conditionalFormatting sqref="J18:J20 Y20:Y20 Z18:AA20">
    <cfRule dxfId="178" operator="lessThanOrEqual" priority="36" stopIfTrue="true" type="cellIs">
      <formula>0</formula>
    </cfRule>
  </conditionalFormatting>
  <conditionalFormatting sqref="J18:J20">
    <cfRule dxfId="179" operator="lessThanOrEqual" priority="37" stopIfTrue="true" type="cellIs">
      <formula>0</formula>
    </cfRule>
  </conditionalFormatting>
  <conditionalFormatting sqref="J16:J20">
    <cfRule dxfId="180" operator="lessThanOrEqual" priority="38" stopIfTrue="true" type="cellIs">
      <formula>0</formula>
    </cfRule>
  </conditionalFormatting>
  <conditionalFormatting sqref="J18:J20">
    <cfRule dxfId="181" operator="lessThanOrEqual" priority="39" stopIfTrue="true" type="cellIs">
      <formula>0</formula>
    </cfRule>
  </conditionalFormatting>
  <conditionalFormatting sqref="J16:J20">
    <cfRule dxfId="182" operator="lessThanOrEqual" priority="40" stopIfTrue="true" type="cellIs">
      <formula>0</formula>
    </cfRule>
  </conditionalFormatting>
  <conditionalFormatting sqref="J18:J20">
    <cfRule dxfId="183" operator="lessThanOrEqual" priority="41" stopIfTrue="true" type="cellIs">
      <formula>0</formula>
    </cfRule>
  </conditionalFormatting>
  <conditionalFormatting sqref="J18:J20">
    <cfRule dxfId="184" operator="lessThanOrEqual" priority="42" stopIfTrue="true" type="cellIs">
      <formula>0</formula>
    </cfRule>
  </conditionalFormatting>
  <conditionalFormatting sqref="J18:J20 Y20:Y20 Z18:AA20">
    <cfRule dxfId="185" operator="lessThanOrEqual" priority="43" stopIfTrue="true" type="cellIs">
      <formula>0</formula>
    </cfRule>
  </conditionalFormatting>
  <conditionalFormatting sqref="J16:J20 Y20:Y20 Z16:AA20">
    <cfRule dxfId="186" operator="lessThanOrEqual" priority="44" stopIfTrue="true" type="cellIs">
      <formula>0</formula>
    </cfRule>
  </conditionalFormatting>
  <conditionalFormatting sqref="J16:J20 Y20:Y20 Z16:AA20">
    <cfRule dxfId="187" operator="lessThanOrEqual" priority="45" stopIfTrue="true" type="cellIs">
      <formula>0</formula>
    </cfRule>
  </conditionalFormatting>
  <conditionalFormatting sqref="J18:J20 Y20:Y20 Z18:AA20">
    <cfRule dxfId="188" operator="lessThanOrEqual" priority="46" stopIfTrue="true" type="cellIs">
      <formula>0</formula>
    </cfRule>
  </conditionalFormatting>
  <conditionalFormatting sqref="J18:J20">
    <cfRule dxfId="189" operator="lessThanOrEqual" priority="47" stopIfTrue="true" type="cellIs">
      <formula>0</formula>
    </cfRule>
  </conditionalFormatting>
  <conditionalFormatting sqref="J18:J20 Y20:Y20 Z18:AA20">
    <cfRule dxfId="190" operator="lessThanOrEqual" priority="48" stopIfTrue="true" type="cellIs">
      <formula>0</formula>
    </cfRule>
  </conditionalFormatting>
  <conditionalFormatting sqref="J18:J20 Y20:Y20 Z18:AA20">
    <cfRule dxfId="191" operator="lessThanOrEqual" priority="49" stopIfTrue="true" type="cellIs">
      <formula>0</formula>
    </cfRule>
  </conditionalFormatting>
  <conditionalFormatting sqref="J16:J20 Y20:Y20 Z16:AA20">
    <cfRule dxfId="192" operator="lessThanOrEqual" priority="50" stopIfTrue="true" type="cellIs">
      <formula>0</formula>
    </cfRule>
  </conditionalFormatting>
  <conditionalFormatting sqref="J18:J20">
    <cfRule dxfId="193" operator="lessThanOrEqual" priority="51" stopIfTrue="true" type="cellIs">
      <formula>0</formula>
    </cfRule>
  </conditionalFormatting>
  <conditionalFormatting sqref="J18:J20">
    <cfRule dxfId="194" operator="lessThanOrEqual" priority="52" stopIfTrue="true" type="cellIs">
      <formula>0</formula>
    </cfRule>
  </conditionalFormatting>
  <conditionalFormatting sqref="J18:J20 Y20:Y20 Z18:AA20">
    <cfRule dxfId="195" operator="lessThanOrEqual" priority="53" stopIfTrue="true" type="cellIs">
      <formula>0</formula>
    </cfRule>
  </conditionalFormatting>
  <conditionalFormatting sqref="J16:J20">
    <cfRule dxfId="196" operator="lessThanOrEqual" priority="54" stopIfTrue="true" type="cellIs">
      <formula>0</formula>
    </cfRule>
  </conditionalFormatting>
  <conditionalFormatting sqref="J18:J20 Y20:Y20 Z18:AA20">
    <cfRule dxfId="197" operator="lessThanOrEqual" priority="55" stopIfTrue="true" type="cellIs">
      <formula>0</formula>
    </cfRule>
  </conditionalFormatting>
  <conditionalFormatting sqref="J18:J20">
    <cfRule dxfId="198" operator="lessThanOrEqual" priority="56" stopIfTrue="true" type="cellIs">
      <formula>0</formula>
    </cfRule>
  </conditionalFormatting>
  <conditionalFormatting sqref="J18:J20 Y20:Y20 Z18:AA20">
    <cfRule dxfId="199" operator="lessThanOrEqual" priority="57" stopIfTrue="true" type="cellIs">
      <formula>0</formula>
    </cfRule>
  </conditionalFormatting>
  <conditionalFormatting sqref="J18:J20">
    <cfRule dxfId="200" operator="lessThanOrEqual" priority="58" stopIfTrue="true" type="cellIs">
      <formula>0</formula>
    </cfRule>
  </conditionalFormatting>
  <conditionalFormatting sqref="J18:J20">
    <cfRule dxfId="201" operator="lessThanOrEqual" priority="59" stopIfTrue="true" type="cellIs">
      <formula>0</formula>
    </cfRule>
  </conditionalFormatting>
  <conditionalFormatting sqref="J2:J3">
    <cfRule dxfId="202" operator="lessThanOrEqual" priority="60" stopIfTrue="true" type="cellIs">
      <formula>0</formula>
    </cfRule>
  </conditionalFormatting>
  <conditionalFormatting sqref="J18:J20">
    <cfRule dxfId="203" operator="lessThanOrEqual" priority="61" stopIfTrue="true" type="cellIs">
      <formula>0</formula>
    </cfRule>
  </conditionalFormatting>
  <conditionalFormatting sqref="J18:J20 Y20:Y20 Z18:AA20">
    <cfRule dxfId="204" operator="lessThanOrEqual" priority="62" stopIfTrue="true" type="cellIs">
      <formula>0</formula>
    </cfRule>
  </conditionalFormatting>
  <conditionalFormatting sqref="J16:J20 Y20:Y20 Z16:AA20">
    <cfRule dxfId="205" operator="lessThanOrEqual" priority="63" stopIfTrue="true" type="cellIs">
      <formula>0</formula>
    </cfRule>
  </conditionalFormatting>
  <conditionalFormatting sqref="J2:J3 Y2:Y19 Z2:Z15 AA2:AA3">
    <cfRule dxfId="206" operator="lessThanOrEqual" priority="64" stopIfTrue="true" type="cellIs">
      <formula>0</formula>
    </cfRule>
  </conditionalFormatting>
  <conditionalFormatting sqref="J18:J20">
    <cfRule dxfId="207" operator="lessThanOrEqual" priority="65" stopIfTrue="true" type="cellIs">
      <formula>0</formula>
    </cfRule>
  </conditionalFormatting>
  <conditionalFormatting sqref="J18:J20 Y20:Y20 Z18:AA20">
    <cfRule dxfId="208" operator="lessThanOrEqual" priority="66" stopIfTrue="true" type="cellIs">
      <formula>0</formula>
    </cfRule>
  </conditionalFormatting>
  <conditionalFormatting sqref="J18:J20">
    <cfRule dxfId="209" operator="lessThanOrEqual" priority="67" stopIfTrue="true" type="cellIs">
      <formula>0</formula>
    </cfRule>
  </conditionalFormatting>
  <conditionalFormatting sqref="J18:J20">
    <cfRule dxfId="210" operator="lessThanOrEqual" priority="68" stopIfTrue="true" type="cellIs">
      <formula>0</formula>
    </cfRule>
  </conditionalFormatting>
  <conditionalFormatting sqref="J18:J20">
    <cfRule dxfId="211" operator="lessThanOrEqual" priority="69" stopIfTrue="true" type="cellIs">
      <formula>0</formula>
    </cfRule>
  </conditionalFormatting>
  <conditionalFormatting sqref="J18:J20">
    <cfRule dxfId="212" operator="lessThanOrEqual" priority="70" stopIfTrue="true" type="cellIs">
      <formula>0</formula>
    </cfRule>
  </conditionalFormatting>
  <conditionalFormatting sqref="J18:J20">
    <cfRule dxfId="213" operator="lessThanOrEqual" priority="71" stopIfTrue="true" type="cellIs">
      <formula>0</formula>
    </cfRule>
  </conditionalFormatting>
  <conditionalFormatting sqref="G2:I20 J16:J20 Y20:Y20 Z16:AA20">
    <cfRule dxfId="214" operator="lessThanOrEqual" priority="72" stopIfTrue="true" type="cellIs">
      <formula>0</formula>
    </cfRule>
  </conditionalFormatting>
  <conditionalFormatting sqref="J18:J20">
    <cfRule dxfId="215" operator="lessThanOrEqual" priority="73" stopIfTrue="true" type="cellIs">
      <formula>0</formula>
    </cfRule>
  </conditionalFormatting>
  <conditionalFormatting sqref="J18:J20 Y20:Y20 Z18:AA20">
    <cfRule dxfId="216" operator="lessThanOrEqual" priority="74" stopIfTrue="true" type="cellIs">
      <formula>0</formula>
    </cfRule>
  </conditionalFormatting>
  <conditionalFormatting sqref="J16:J20">
    <cfRule dxfId="217" operator="lessThanOrEqual" priority="75" stopIfTrue="true" type="cellIs">
      <formula>0</formula>
    </cfRule>
  </conditionalFormatting>
  <conditionalFormatting sqref="J18:J20">
    <cfRule dxfId="218" operator="lessThanOrEqual" priority="76" stopIfTrue="true" type="cellIs">
      <formula>0</formula>
    </cfRule>
  </conditionalFormatting>
  <conditionalFormatting sqref="J18:J20">
    <cfRule dxfId="219" operator="lessThanOrEqual" priority="77" stopIfTrue="true" type="cellIs">
      <formula>0</formula>
    </cfRule>
  </conditionalFormatting>
  <conditionalFormatting sqref="J18:J20">
    <cfRule dxfId="220" operator="lessThanOrEqual" priority="78" stopIfTrue="true" type="cellIs">
      <formula>0</formula>
    </cfRule>
  </conditionalFormatting>
  <conditionalFormatting sqref="J16:J20">
    <cfRule dxfId="221" operator="lessThanOrEqual" priority="79" stopIfTrue="true" type="cellIs">
      <formula>0</formula>
    </cfRule>
  </conditionalFormatting>
  <conditionalFormatting sqref="J18:J20">
    <cfRule dxfId="222" operator="lessThanOrEqual" priority="80" stopIfTrue="true" type="cellIs">
      <formula>0</formula>
    </cfRule>
  </conditionalFormatting>
  <conditionalFormatting sqref="J18:J20">
    <cfRule dxfId="223" operator="lessThanOrEqual" priority="81" stopIfTrue="true" type="cellIs">
      <formula>0</formula>
    </cfRule>
  </conditionalFormatting>
  <conditionalFormatting sqref="J18:J20">
    <cfRule dxfId="224" operator="lessThanOrEqual" priority="82" stopIfTrue="true" type="cellIs">
      <formula>0</formula>
    </cfRule>
  </conditionalFormatting>
  <conditionalFormatting sqref="J16:J20">
    <cfRule dxfId="225" operator="lessThanOrEqual" priority="83" stopIfTrue="true" type="cellIs">
      <formula>0</formula>
    </cfRule>
  </conditionalFormatting>
  <conditionalFormatting sqref="J18:J20 Y20:Y20 Z18:AA20">
    <cfRule dxfId="226" operator="lessThanOrEqual" priority="84" stopIfTrue="true" type="cellIs">
      <formula>0</formula>
    </cfRule>
  </conditionalFormatting>
  <conditionalFormatting sqref="J18:J20 Y20:Y20 Z18:AA20">
    <cfRule dxfId="227" operator="lessThanOrEqual" priority="85" stopIfTrue="true" type="cellIs">
      <formula>0</formula>
    </cfRule>
  </conditionalFormatting>
  <conditionalFormatting sqref="J18:J20 Y20:Y20 Z18:AA20">
    <cfRule dxfId="228" operator="lessThanOrEqual" priority="86" stopIfTrue="true" type="cellIs">
      <formula>0</formula>
    </cfRule>
  </conditionalFormatting>
  <conditionalFormatting sqref="G1:J1 N1:O1 Y1:Y1">
    <cfRule dxfId="229" operator="lessThanOrEqual" priority="87" stopIfTrue="true" type="cellIs">
      <formula>0</formula>
    </cfRule>
  </conditionalFormatting>
  <conditionalFormatting sqref="J18:J20">
    <cfRule dxfId="230" operator="lessThanOrEqual" priority="88" stopIfTrue="true" type="cellIs">
      <formula>0</formula>
    </cfRule>
  </conditionalFormatting>
  <conditionalFormatting sqref="J18:J20 Y20:Y20 Z18:AA20">
    <cfRule dxfId="231" operator="lessThanOrEqual" priority="89" stopIfTrue="true" type="cellIs">
      <formula>0</formula>
    </cfRule>
  </conditionalFormatting>
  <conditionalFormatting sqref="J18:J20">
    <cfRule dxfId="232" operator="lessThanOrEqual" priority="90" stopIfTrue="true" type="cellIs">
      <formula>0</formula>
    </cfRule>
  </conditionalFormatting>
  <conditionalFormatting sqref="J18:J20">
    <cfRule dxfId="233" operator="lessThanOrEqual" priority="91" stopIfTrue="true" type="cellIs">
      <formula>0</formula>
    </cfRule>
  </conditionalFormatting>
  <conditionalFormatting sqref="J18:J20 Y20:Y20 Z18:AA20">
    <cfRule dxfId="234" operator="lessThanOrEqual" priority="92" stopIfTrue="true" type="cellIs">
      <formula>0</formula>
    </cfRule>
  </conditionalFormatting>
  <conditionalFormatting sqref="J18:J20 Y20:Y20 Z18:AA20">
    <cfRule dxfId="235" operator="lessThanOrEqual" priority="93" stopIfTrue="true" type="cellIs">
      <formula>0</formula>
    </cfRule>
  </conditionalFormatting>
  <conditionalFormatting sqref="J18:J20 Y20:Y20 Z18:AA20">
    <cfRule dxfId="236" operator="lessThanOrEqual" priority="94" stopIfTrue="true" type="cellIs">
      <formula>0</formula>
    </cfRule>
  </conditionalFormatting>
  <conditionalFormatting sqref="J18:J20 Y20:Y20 Z18:AA20">
    <cfRule dxfId="237" operator="lessThanOrEqual" priority="95" stopIfTrue="true" type="cellIs">
      <formula>0</formula>
    </cfRule>
  </conditionalFormatting>
  <conditionalFormatting sqref="J16:J20">
    <cfRule dxfId="238" operator="lessThanOrEqual" priority="96" stopIfTrue="true" type="cellIs">
      <formula>0</formula>
    </cfRule>
  </conditionalFormatting>
  <conditionalFormatting sqref="J18:J20 Y20:Y20 Z18:AA20">
    <cfRule dxfId="239" operator="lessThanOrEqual" priority="97" stopIfTrue="true" type="cellIs">
      <formula>0</formula>
    </cfRule>
  </conditionalFormatting>
  <conditionalFormatting sqref="J18:J20 Y20:Y20 Z18:AA20">
    <cfRule dxfId="240" operator="lessThanOrEqual" priority="98" stopIfTrue="true" type="cellIs">
      <formula>0</formula>
    </cfRule>
  </conditionalFormatting>
  <conditionalFormatting sqref="J16:J20 Y20:Y20 Z16:AA20">
    <cfRule dxfId="241" operator="lessThanOrEqual" priority="99" stopIfTrue="true" type="cellIs">
      <formula>0</formula>
    </cfRule>
  </conditionalFormatting>
  <conditionalFormatting sqref="J18:J20">
    <cfRule dxfId="242" operator="lessThanOrEqual" priority="100" stopIfTrue="true" type="cellIs">
      <formula>0</formula>
    </cfRule>
  </conditionalFormatting>
  <conditionalFormatting sqref="J18:J20 Y20:Y20 Z18:AA20">
    <cfRule dxfId="243" operator="lessThanOrEqual" priority="101" stopIfTrue="true" type="cellIs">
      <formula>0</formula>
    </cfRule>
  </conditionalFormatting>
  <conditionalFormatting sqref="J18:J20 Y20:Y20 Z18:AA20">
    <cfRule dxfId="244" operator="lessThanOrEqual" priority="102" stopIfTrue="true" type="cellIs">
      <formula>0</formula>
    </cfRule>
  </conditionalFormatting>
  <conditionalFormatting sqref="J18:J20 Y20:Y20 Z18:AA20">
    <cfRule dxfId="245" operator="lessThanOrEqual" priority="103" stopIfTrue="true" type="cellIs">
      <formula>0</formula>
    </cfRule>
  </conditionalFormatting>
  <conditionalFormatting sqref="J18:J20 Y20:Y20 Z18:AA20">
    <cfRule dxfId="246" operator="lessThanOrEqual" priority="104" stopIfTrue="true" type="cellIs">
      <formula>0</formula>
    </cfRule>
  </conditionalFormatting>
  <conditionalFormatting sqref="J18:J20 Y20:Y20 Z18:AA20">
    <cfRule dxfId="247" operator="lessThanOrEqual" priority="105" stopIfTrue="true" type="cellIs">
      <formula>0</formula>
    </cfRule>
  </conditionalFormatting>
  <conditionalFormatting sqref="J2:J3">
    <cfRule dxfId="248" operator="lessThanOrEqual" priority="106" stopIfTrue="true" type="cellIs">
      <formula>0</formula>
    </cfRule>
  </conditionalFormatting>
  <conditionalFormatting sqref="J18:J20">
    <cfRule dxfId="249" operator="lessThanOrEqual" priority="107" stopIfTrue="true" type="cellIs">
      <formula>0</formula>
    </cfRule>
  </conditionalFormatting>
  <conditionalFormatting sqref="J18:J20">
    <cfRule dxfId="250" operator="lessThanOrEqual" priority="108" stopIfTrue="true" type="cellIs">
      <formula>0</formula>
    </cfRule>
  </conditionalFormatting>
  <conditionalFormatting sqref="J18:J20">
    <cfRule dxfId="251" operator="lessThanOrEqual" priority="109" stopIfTrue="true" type="cellIs">
      <formula>0</formula>
    </cfRule>
  </conditionalFormatting>
  <conditionalFormatting sqref="J18:J20">
    <cfRule dxfId="252" operator="lessThanOrEqual" priority="110" stopIfTrue="true" type="cellIs">
      <formula>0</formula>
    </cfRule>
  </conditionalFormatting>
  <conditionalFormatting sqref="J18:J20">
    <cfRule dxfId="253" operator="lessThanOrEqual" priority="111" stopIfTrue="true" type="cellIs">
      <formula>0</formula>
    </cfRule>
  </conditionalFormatting>
  <conditionalFormatting sqref="J18:J20 Y20:Y20 Z18:AA20">
    <cfRule dxfId="254" operator="lessThanOrEqual" priority="112" stopIfTrue="true" type="cellIs">
      <formula>0</formula>
    </cfRule>
  </conditionalFormatting>
  <conditionalFormatting sqref="J18:J20 Y20:Y20 Z18:AA20">
    <cfRule dxfId="255" operator="lessThanOrEqual" priority="113" stopIfTrue="true" type="cellIs">
      <formula>0</formula>
    </cfRule>
  </conditionalFormatting>
  <conditionalFormatting sqref="J16:J20">
    <cfRule dxfId="256" operator="lessThanOrEqual" priority="114" stopIfTrue="true" type="cellIs">
      <formula>0</formula>
    </cfRule>
  </conditionalFormatting>
  <conditionalFormatting sqref="J18:J20 Y20:Y20 Z18:AA20">
    <cfRule dxfId="257" operator="lessThanOrEqual" priority="115" stopIfTrue="true" type="cellIs">
      <formula>0</formula>
    </cfRule>
  </conditionalFormatting>
  <conditionalFormatting sqref="J16:J20">
    <cfRule dxfId="258" operator="lessThanOrEqual" priority="116" stopIfTrue="true" type="cellIs">
      <formula>0</formula>
    </cfRule>
  </conditionalFormatting>
  <conditionalFormatting sqref="J16:J20">
    <cfRule dxfId="259" operator="lessThanOrEqual" priority="117" stopIfTrue="true" type="cellIs">
      <formula>0</formula>
    </cfRule>
  </conditionalFormatting>
  <conditionalFormatting sqref="J18:J20">
    <cfRule dxfId="260" operator="lessThanOrEqual" priority="118" stopIfTrue="true" type="cellIs">
      <formula>0</formula>
    </cfRule>
  </conditionalFormatting>
  <conditionalFormatting sqref="J4:J15 J19:J20 Y20:Y20 Z19:AA20 AA4:AA15">
    <cfRule dxfId="261" operator="lessThanOrEqual" priority="119" stopIfTrue="true" type="cellIs">
      <formula>0</formula>
    </cfRule>
  </conditionalFormatting>
  <conditionalFormatting sqref="J18:J20 Y20:Y20 Z18:AA20">
    <cfRule dxfId="262" operator="lessThanOrEqual" priority="120" stopIfTrue="true" type="cellIs">
      <formula>0</formula>
    </cfRule>
  </conditionalFormatting>
  <conditionalFormatting sqref="J18:J20">
    <cfRule dxfId="263" operator="lessThanOrEqual" priority="121" stopIfTrue="true" type="cellIs">
      <formula>0</formula>
    </cfRule>
  </conditionalFormatting>
  <conditionalFormatting sqref="J16:J20 Y20:Y20 Z16:AA20">
    <cfRule dxfId="264" operator="lessThanOrEqual" priority="122" stopIfTrue="true" type="cellIs">
      <formula>0</formula>
    </cfRule>
  </conditionalFormatting>
  <conditionalFormatting sqref="J16:J20">
    <cfRule dxfId="265" operator="lessThanOrEqual" priority="123" stopIfTrue="true" type="cellIs">
      <formula>0</formula>
    </cfRule>
  </conditionalFormatting>
  <conditionalFormatting sqref="J18:J20">
    <cfRule dxfId="266" operator="lessThanOrEqual" priority="124" stopIfTrue="true" type="cellIs">
      <formula>0</formula>
    </cfRule>
  </conditionalFormatting>
  <conditionalFormatting sqref="J18:J20">
    <cfRule dxfId="267" operator="lessThanOrEqual" priority="125" stopIfTrue="true" type="cellIs">
      <formula>0</formula>
    </cfRule>
  </conditionalFormatting>
  <conditionalFormatting sqref="J18:J20 Y20:Y20 Z18:AA20">
    <cfRule dxfId="268" operator="lessThanOrEqual" priority="126" stopIfTrue="true" type="cellIs">
      <formula>0</formula>
    </cfRule>
  </conditionalFormatting>
  <conditionalFormatting sqref="J18:J20 Y20:Y20 Z18:AA20">
    <cfRule dxfId="269" operator="lessThanOrEqual" priority="127" stopIfTrue="true" type="cellIs">
      <formula>0</formula>
    </cfRule>
  </conditionalFormatting>
  <conditionalFormatting sqref="J16:J20">
    <cfRule dxfId="270" operator="lessThanOrEqual" priority="128" stopIfTrue="true" type="cellIs">
      <formula>0</formula>
    </cfRule>
  </conditionalFormatting>
  <conditionalFormatting sqref="J18:J20">
    <cfRule dxfId="271" operator="lessThanOrEqual" priority="129" stopIfTrue="true" type="cellIs">
      <formula>0</formula>
    </cfRule>
  </conditionalFormatting>
  <conditionalFormatting sqref="J16:J20 Y20:Y20 Z16:AA20">
    <cfRule dxfId="272" operator="lessThanOrEqual" priority="130" stopIfTrue="true" type="cellIs">
      <formula>0</formula>
    </cfRule>
  </conditionalFormatting>
  <conditionalFormatting sqref="J18:J20 Y20:Y20 Z18:AA20">
    <cfRule dxfId="273" operator="lessThanOrEqual" priority="131" stopIfTrue="true" type="cellIs">
      <formula>0</formula>
    </cfRule>
  </conditionalFormatting>
  <conditionalFormatting sqref="J16:J20">
    <cfRule dxfId="274" operator="lessThanOrEqual" priority="132" stopIfTrue="true" type="cellIs">
      <formula>0</formula>
    </cfRule>
  </conditionalFormatting>
  <conditionalFormatting sqref="J18:J20">
    <cfRule dxfId="275" operator="lessThanOrEqual" priority="133" stopIfTrue="true" type="cellIs">
      <formula>0</formula>
    </cfRule>
  </conditionalFormatting>
  <conditionalFormatting sqref="J18:J20 Y20:Y20 Z18:AA20">
    <cfRule dxfId="276" operator="lessThanOrEqual" priority="134" stopIfTrue="true" type="cellIs">
      <formula>0</formula>
    </cfRule>
  </conditionalFormatting>
  <conditionalFormatting sqref="J18:J20">
    <cfRule dxfId="277" operator="lessThanOrEqual" priority="135" stopIfTrue="true" type="cellIs">
      <formula>0</formula>
    </cfRule>
  </conditionalFormatting>
  <conditionalFormatting sqref="J18:J20 Y20:Y20 Z18:AA20">
    <cfRule dxfId="278" operator="lessThanOrEqual" priority="136" stopIfTrue="true" type="cellIs">
      <formula>0</formula>
    </cfRule>
  </conditionalFormatting>
  <conditionalFormatting sqref="J16:J20 Y20:Y20 Z16:AA20">
    <cfRule dxfId="279" operator="lessThanOrEqual" priority="137" stopIfTrue="true" type="cellIs">
      <formula>0</formula>
    </cfRule>
  </conditionalFormatting>
  <conditionalFormatting sqref="J18:J20">
    <cfRule dxfId="280" operator="lessThanOrEqual" priority="138" stopIfTrue="true" type="cellIs">
      <formula>0</formula>
    </cfRule>
  </conditionalFormatting>
  <conditionalFormatting sqref="J16:J20 Y20:Y20 Z16:AA20">
    <cfRule dxfId="281" operator="lessThanOrEqual" priority="139" stopIfTrue="true" type="cellIs">
      <formula>0</formula>
    </cfRule>
  </conditionalFormatting>
  <conditionalFormatting sqref="J16:J20 Y20:Y20 Z16:AA20">
    <cfRule dxfId="282" operator="lessThanOrEqual" priority="140" stopIfTrue="true" type="cellIs">
      <formula>0</formula>
    </cfRule>
  </conditionalFormatting>
  <conditionalFormatting sqref="J16:J20">
    <cfRule dxfId="283" operator="lessThanOrEqual" priority="141" stopIfTrue="true" type="cellIs">
      <formula>0</formula>
    </cfRule>
  </conditionalFormatting>
  <conditionalFormatting sqref="J16:J20 Y20:Y20 Z16:AA20">
    <cfRule dxfId="284" operator="lessThanOrEqual" priority="142" stopIfTrue="true" type="cellIs">
      <formula>0</formula>
    </cfRule>
  </conditionalFormatting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7.4"/>
    <col collapsed="false" customWidth="true" hidden="false" max="12" min="12" style="0" width="17.4"/>
    <col collapsed="false" customWidth="true" hidden="false" max="20" min="20" style="0" width="17.4"/>
    <col collapsed="false" customWidth="true" hidden="false" max="28" min="28" style="0" width="17.4"/>
    <col collapsed="false" customWidth="true" hidden="false" max="36" min="36" style="0" width="17.4"/>
    <col collapsed="false" customWidth="true" hidden="false" max="5" min="5" style="0" width="17.4"/>
    <col collapsed="false" customWidth="true" hidden="false" max="13" min="13" style="0" width="17.4"/>
    <col collapsed="false" customWidth="true" hidden="false" max="21" min="21" style="0" width="17.4"/>
    <col collapsed="false" customWidth="true" hidden="false" max="29" min="29" style="0" width="17.4"/>
    <col collapsed="false" customWidth="true" hidden="false" max="6" min="6" style="0" width="17.4"/>
    <col collapsed="false" customWidth="true" hidden="false" max="14" min="14" style="0" width="17.4"/>
    <col collapsed="false" customWidth="true" hidden="false" max="22" min="22" style="0" width="17.4"/>
    <col collapsed="false" customWidth="true" hidden="false" max="30" min="30" style="0" width="17.4"/>
    <col collapsed="false" customWidth="true" hidden="false" max="7" min="7" style="0" width="17.4"/>
    <col collapsed="false" customWidth="true" hidden="false" max="15" min="15" style="0" width="17.4"/>
    <col collapsed="false" customWidth="true" hidden="false" max="23" min="23" style="0" width="17.4"/>
    <col collapsed="false" customWidth="true" hidden="false" max="24" min="24" style="0" width="17.4"/>
    <col collapsed="false" customWidth="true" hidden="false" max="31" min="31" style="0" width="17.4"/>
    <col collapsed="false" customWidth="true" hidden="false" max="8" min="8" style="0" width="17.4"/>
    <col collapsed="false" customWidth="true" hidden="false" max="16" min="16" style="0" width="17.4"/>
    <col collapsed="false" customWidth="true" hidden="false" max="32" min="32" style="0" width="17.4"/>
    <col collapsed="false" customWidth="true" hidden="false" max="1" min="1" style="0" width="17.4"/>
    <col collapsed="false" customWidth="true" hidden="false" max="9" min="9" style="0" width="17.4"/>
    <col collapsed="false" customWidth="true" hidden="false" max="17" min="17" style="0" width="17.4"/>
    <col collapsed="false" customWidth="true" hidden="false" max="25" min="25" style="0" width="17.4"/>
    <col collapsed="false" customWidth="true" hidden="false" max="33" min="33" style="0" width="17.4"/>
    <col collapsed="false" customWidth="true" hidden="false" max="2" min="2" style="0" width="17.4"/>
    <col collapsed="false" customWidth="true" hidden="false" max="10" min="10" style="0" width="17.4"/>
    <col collapsed="false" customWidth="true" hidden="false" max="18" min="18" style="0" width="17.4"/>
    <col collapsed="false" customWidth="true" hidden="false" max="26" min="26" style="0" width="17.4"/>
    <col collapsed="false" customWidth="true" hidden="false" max="34" min="34" style="0" width="17.4"/>
    <col collapsed="false" customWidth="true" hidden="false" max="3" min="3" style="0" width="17.4"/>
    <col collapsed="false" customWidth="true" hidden="false" max="11" min="11" style="0" width="17.4"/>
    <col collapsed="false" customWidth="true" hidden="false" max="19" min="19" style="0" width="17.4"/>
    <col collapsed="false" customWidth="true" hidden="false" max="27" min="27" style="0" width="17.4"/>
    <col collapsed="false" customWidth="true" hidden="false" max="35" min="35" style="0" width="17.4"/>
  </cols>
  <sheetData>
    <row customHeight="true" ht="14.814814814814813" r="1">
      <c r="A1" s="819" t="s">
        <v>1815</v>
      </c>
      <c r="B1" s="820" t="s">
        <v>1816</v>
      </c>
      <c r="C1" s="820" t="s">
        <v>1817</v>
      </c>
      <c r="D1" s="820" t="s">
        <v>1818</v>
      </c>
      <c r="E1" s="820" t="s">
        <v>1819</v>
      </c>
      <c r="F1" s="821" t="s">
        <v>1820</v>
      </c>
      <c r="G1" s="821" t="s">
        <v>1821</v>
      </c>
      <c r="H1" s="820" t="s">
        <v>1822</v>
      </c>
      <c r="I1" s="821" t="s">
        <v>1823</v>
      </c>
      <c r="J1" s="820" t="s">
        <v>1824</v>
      </c>
      <c r="K1" s="820" t="s">
        <v>1825</v>
      </c>
      <c r="L1" s="820" t="s">
        <v>1826</v>
      </c>
      <c r="M1" s="820" t="s">
        <v>1827</v>
      </c>
      <c r="N1" s="820" t="s">
        <v>1828</v>
      </c>
      <c r="O1" s="822" t="s">
        <v>1829</v>
      </c>
      <c r="P1" s="820" t="s">
        <v>1830</v>
      </c>
      <c r="Q1" s="820" t="s">
        <v>1831</v>
      </c>
      <c r="R1" s="820" t="s">
        <v>1832</v>
      </c>
      <c r="S1" s="820" t="s">
        <v>1833</v>
      </c>
      <c r="T1" s="820" t="s">
        <v>1834</v>
      </c>
      <c r="U1" s="820" t="s">
        <v>1835</v>
      </c>
      <c r="V1" s="821" t="s">
        <v>1836</v>
      </c>
      <c r="W1" s="821" t="s">
        <v>1837</v>
      </c>
      <c r="X1" s="820" t="s">
        <v>1838</v>
      </c>
      <c r="Y1" s="823" t="s">
        <v>1839</v>
      </c>
      <c r="Z1" s="824" t="s">
        <v>1840</v>
      </c>
      <c r="AA1" s="821" t="s">
        <v>1841</v>
      </c>
      <c r="AB1" s="825" t="s">
        <v>1842</v>
      </c>
      <c r="AC1" s="826" t="s">
        <v>1843</v>
      </c>
      <c r="AD1" s="827" t="s">
        <v>1844</v>
      </c>
      <c r="AE1" s="820" t="s">
        <v>1845</v>
      </c>
      <c r="AF1" s="820" t="s">
        <v>1846</v>
      </c>
      <c r="AG1" s="820" t="s">
        <v>1847</v>
      </c>
      <c r="AH1" s="820" t="s">
        <v>1848</v>
      </c>
      <c r="AI1" s="820" t="s">
        <v>1849</v>
      </c>
      <c r="AJ1" s="820" t="s">
        <v>1827</v>
      </c>
    </row>
    <row customHeight="true" ht="13.333333333333332" r="2">
      <c r="A2" s="828" t="s">
        <v>1815</v>
      </c>
      <c r="B2" s="829">
        <v>7.5</v>
      </c>
      <c r="C2" s="829" t="s">
        <v>1850</v>
      </c>
      <c r="D2" s="829" t="s">
        <v>1851</v>
      </c>
      <c r="E2" s="829" t="s">
        <v>1852</v>
      </c>
      <c r="F2" s="830">
        <f t="shared" ref="F2:F4" si="36">IF(E2="有",(I2/B2+J2+Z2/B2)/(0.99999-K2-L2-M2-N2),(I2/B2+J2+Z2/B2)/(0.99999-K2-M2-N2))</f>
      </c>
      <c r="G2" s="830">
        <f t="shared" ref="G2:G4" si="0">IF(E2="有",(I2/B2+J2+Z2/B2)/(0.8-K2-L2-M2-N2-O2-P2),(I2/B2+J2+Z2/B2)/(0.8-K2-M2-N2-O2-P2))</f>
      </c>
      <c r="H2" s="831">
        <v>129.99</v>
      </c>
      <c r="I2" s="830">
        <f t="shared" ref="I2:I4" si="106">138.5/1.13</f>
      </c>
      <c r="J2" s="829">
        <v>5.69</v>
      </c>
      <c r="K2" s="832">
        <v>0.15</v>
      </c>
      <c r="L2" s="832">
        <v>0.16</v>
      </c>
      <c r="M2" s="832">
        <v>0.07</v>
      </c>
      <c r="N2" s="832">
        <v>0.15</v>
      </c>
      <c r="O2" s="833">
        <f t="shared" ref="O2:O4" si="76">0.61/H2</f>
      </c>
      <c r="P2" s="832">
        <v>0.02</v>
      </c>
      <c r="Q2" s="832"/>
      <c r="R2" s="829">
        <v>33.5</v>
      </c>
      <c r="S2" s="829">
        <v>26.5</v>
      </c>
      <c r="T2" s="829">
        <v>25</v>
      </c>
      <c r="U2" s="829">
        <v>2.3</v>
      </c>
      <c r="V2" s="830">
        <f t="shared" ref="V2:V4" si="46">R2*S2*T2/6000</f>
      </c>
      <c r="W2" s="830">
        <f t="shared" ref="W2:W4" si="10">MAX(U2:V2)</f>
      </c>
      <c r="X2" s="829" t="s">
        <v>1853</v>
      </c>
      <c r="Y2" s="834">
        <v>11.68108</v>
      </c>
      <c r="Z2" s="835">
        <f t="shared" ref="Z2:Z4" si="116">W2*Y2</f>
      </c>
      <c r="AA2" s="830">
        <f t="shared" ref="AA2:AA4" si="86">H2-SUM(K2:P2)*H2-J2-I2/B2-Z2/B2</f>
      </c>
      <c r="AB2" s="836">
        <f t="shared" ref="AB2:AB4" si="56">AA2/H2</f>
      </c>
      <c r="AC2" s="829"/>
      <c r="AD2" s="837">
        <f t="shared" ref="AD2:AD4" si="20">J2/H2</f>
      </c>
      <c r="AE2" s="832">
        <f t="shared" ref="AE2:AE4" si="120">I2/7.4/H2</f>
      </c>
      <c r="AF2" s="832">
        <f t="shared" ref="AF2:AF4" si="96">Z2/7.4/H2</f>
      </c>
      <c r="AG2" s="832">
        <v>0.15</v>
      </c>
      <c r="AH2" s="832">
        <v>0.15</v>
      </c>
      <c r="AI2" s="832">
        <v>0.02</v>
      </c>
      <c r="AJ2" s="832">
        <f t="shared" ref="AJ2:AJ4" si="66">M2</f>
      </c>
    </row>
    <row customHeight="true" ht="13.333333333333332" r="3">
      <c r="A3" s="828" t="s">
        <v>1854</v>
      </c>
      <c r="B3" s="829">
        <v>7.5</v>
      </c>
      <c r="C3" s="829" t="s">
        <v>1850</v>
      </c>
      <c r="D3" s="829" t="s">
        <v>1851</v>
      </c>
      <c r="E3" s="829" t="s">
        <v>1852</v>
      </c>
      <c r="F3" s="830">
        <f t="shared" si="36"/>
      </c>
      <c r="G3" s="830">
        <f t="shared" si="0"/>
      </c>
      <c r="H3" s="831">
        <v>124.99</v>
      </c>
      <c r="I3" s="830">
        <f t="shared" si="106"/>
      </c>
      <c r="J3" s="829">
        <v>5.69</v>
      </c>
      <c r="K3" s="832">
        <v>0.15</v>
      </c>
      <c r="L3" s="832">
        <v>0.16</v>
      </c>
      <c r="M3" s="832">
        <v>0.07</v>
      </c>
      <c r="N3" s="832">
        <v>0.15</v>
      </c>
      <c r="O3" s="833">
        <f t="shared" si="76"/>
      </c>
      <c r="P3" s="832">
        <v>0.02</v>
      </c>
      <c r="Q3" s="832"/>
      <c r="R3" s="829">
        <v>33.5</v>
      </c>
      <c r="S3" s="829">
        <v>26.5</v>
      </c>
      <c r="T3" s="829">
        <v>25</v>
      </c>
      <c r="U3" s="829">
        <v>2.3</v>
      </c>
      <c r="V3" s="830">
        <f t="shared" si="46"/>
      </c>
      <c r="W3" s="830">
        <f t="shared" si="10"/>
      </c>
      <c r="X3" s="829" t="s">
        <v>1853</v>
      </c>
      <c r="Y3" s="834">
        <v>11.68108</v>
      </c>
      <c r="Z3" s="835">
        <f t="shared" si="116"/>
      </c>
      <c r="AA3" s="830">
        <f t="shared" si="86"/>
      </c>
      <c r="AB3" s="836">
        <f t="shared" si="56"/>
      </c>
      <c r="AC3" s="829"/>
      <c r="AD3" s="837">
        <f t="shared" si="20"/>
      </c>
      <c r="AE3" s="832">
        <f t="shared" si="120"/>
      </c>
      <c r="AF3" s="832">
        <f t="shared" si="96"/>
      </c>
      <c r="AG3" s="832">
        <v>0.15</v>
      </c>
      <c r="AH3" s="832">
        <v>0.15</v>
      </c>
      <c r="AI3" s="832">
        <v>0.02</v>
      </c>
      <c r="AJ3" s="832">
        <f t="shared" si="66"/>
      </c>
    </row>
    <row customHeight="true" ht="13.333333333333332" r="4">
      <c r="A4" s="828" t="s">
        <v>1855</v>
      </c>
      <c r="B4" s="829">
        <v>7.5</v>
      </c>
      <c r="C4" s="829" t="s">
        <v>1850</v>
      </c>
      <c r="D4" s="829" t="s">
        <v>1851</v>
      </c>
      <c r="E4" s="829" t="s">
        <v>1852</v>
      </c>
      <c r="F4" s="830">
        <f t="shared" si="36"/>
      </c>
      <c r="G4" s="830">
        <f t="shared" si="0"/>
      </c>
      <c r="H4" s="831">
        <v>119.99</v>
      </c>
      <c r="I4" s="830">
        <f t="shared" si="106"/>
      </c>
      <c r="J4" s="829">
        <v>5.69</v>
      </c>
      <c r="K4" s="832">
        <v>0.15</v>
      </c>
      <c r="L4" s="832">
        <v>0.16</v>
      </c>
      <c r="M4" s="832">
        <v>0.07</v>
      </c>
      <c r="N4" s="832">
        <v>0.15</v>
      </c>
      <c r="O4" s="833">
        <f t="shared" si="76"/>
      </c>
      <c r="P4" s="832">
        <v>0.02</v>
      </c>
      <c r="Q4" s="832"/>
      <c r="R4" s="829">
        <v>33.5</v>
      </c>
      <c r="S4" s="829">
        <v>26.5</v>
      </c>
      <c r="T4" s="829">
        <v>25</v>
      </c>
      <c r="U4" s="829">
        <v>2.3</v>
      </c>
      <c r="V4" s="830">
        <f t="shared" si="46"/>
      </c>
      <c r="W4" s="830">
        <f t="shared" si="10"/>
      </c>
      <c r="X4" s="829" t="s">
        <v>1853</v>
      </c>
      <c r="Y4" s="834">
        <v>11.68108</v>
      </c>
      <c r="Z4" s="835">
        <f t="shared" si="116"/>
      </c>
      <c r="AA4" s="830">
        <f t="shared" si="86"/>
      </c>
      <c r="AB4" s="836">
        <f t="shared" si="56"/>
      </c>
      <c r="AC4" s="829"/>
      <c r="AD4" s="837">
        <f t="shared" si="20"/>
      </c>
      <c r="AE4" s="832">
        <f t="shared" si="120"/>
      </c>
      <c r="AF4" s="832">
        <f t="shared" si="96"/>
      </c>
      <c r="AG4" s="832">
        <v>0.15</v>
      </c>
      <c r="AH4" s="832">
        <v>0.15</v>
      </c>
      <c r="AI4" s="832">
        <v>0.02</v>
      </c>
      <c r="AJ4" s="832">
        <f t="shared" si="66"/>
      </c>
    </row>
    <row customHeight="true" ht="13.333333333333332" r="5">
      <c r="A5" s="828"/>
      <c r="B5" s="829"/>
      <c r="C5" s="829"/>
      <c r="D5" s="829"/>
      <c r="E5" s="829"/>
      <c r="F5" s="830"/>
      <c r="G5" s="830"/>
      <c r="H5" s="829"/>
      <c r="I5" s="830"/>
      <c r="J5" s="829"/>
      <c r="K5" s="832"/>
      <c r="L5" s="832"/>
      <c r="M5" s="832"/>
      <c r="N5" s="832"/>
      <c r="O5" s="833"/>
      <c r="P5" s="832"/>
      <c r="Q5" s="832"/>
      <c r="R5" s="829"/>
      <c r="S5" s="829"/>
      <c r="T5" s="829"/>
      <c r="U5" s="829"/>
      <c r="V5" s="830"/>
      <c r="W5" s="830"/>
      <c r="X5" s="829"/>
      <c r="Y5" s="834"/>
      <c r="Z5" s="835"/>
      <c r="AA5" s="830"/>
      <c r="AB5" s="836"/>
      <c r="AC5" s="829"/>
      <c r="AD5" s="837"/>
      <c r="AE5" s="832"/>
      <c r="AF5" s="832"/>
      <c r="AG5" s="832"/>
      <c r="AH5" s="832"/>
      <c r="AI5" s="832"/>
      <c r="AJ5" s="832"/>
    </row>
    <row customHeight="true" ht="13.333333333333332" r="6">
      <c r="A6" s="828" t="s">
        <v>1856</v>
      </c>
      <c r="B6" s="829">
        <v>7.4</v>
      </c>
      <c r="C6" s="829" t="s">
        <v>1850</v>
      </c>
      <c r="D6" s="829" t="s">
        <v>1851</v>
      </c>
      <c r="E6" s="829" t="s">
        <v>1852</v>
      </c>
      <c r="F6" s="830">
        <f t="shared" ref="F6:F8" si="37">IF(E6="有",(I6/B6+J6+Z6/B6)/(0.99999-K6-L6-M6-N6),(I6/B6+J6+Z6/B6)/(0.99999-K6-M6-N6))</f>
      </c>
      <c r="G6" s="830">
        <f t="shared" ref="G6:G8" si="1">IF(E6="有",(I6/B6+J6+Z6/B6)/(0.8-K6-L6-M6-N6-O6-P6),(I6/B6+J6+Z6/B6)/(0.8-K6-M6-N6-O6-P6))</f>
      </c>
      <c r="H6" s="829">
        <v>119.99</v>
      </c>
      <c r="I6" s="830">
        <f t="shared" ref="I6:I8" si="107">138.5/1.13</f>
      </c>
      <c r="J6" s="829">
        <v>5.69</v>
      </c>
      <c r="K6" s="832">
        <v>0.15</v>
      </c>
      <c r="L6" s="832">
        <v>0.16</v>
      </c>
      <c r="M6" s="832">
        <v>0.07</v>
      </c>
      <c r="N6" s="832">
        <v>0.15</v>
      </c>
      <c r="O6" s="833">
        <f t="shared" ref="O6:O8" si="77">0.61/H6</f>
      </c>
      <c r="P6" s="832">
        <v>0.02</v>
      </c>
      <c r="Q6" s="832"/>
      <c r="R6" s="829">
        <v>33.5</v>
      </c>
      <c r="S6" s="829">
        <v>26.5</v>
      </c>
      <c r="T6" s="829">
        <v>25</v>
      </c>
      <c r="U6" s="829">
        <v>2.3</v>
      </c>
      <c r="V6" s="830">
        <f t="shared" ref="V6:V8" si="47">R6*S6*T6/6000</f>
      </c>
      <c r="W6" s="830">
        <f t="shared" ref="W6:W8" si="11">MAX(U6:V6)</f>
      </c>
      <c r="X6" s="829" t="s">
        <v>1857</v>
      </c>
      <c r="Y6" s="834">
        <v>18.309</v>
      </c>
      <c r="Z6" s="835">
        <f t="shared" ref="Z6:Z8" si="117">W6*Y6</f>
      </c>
      <c r="AA6" s="830">
        <f t="shared" ref="AA6:AA8" si="87">H6-SUM(K6:P6)*H6-J6-I6/B6-Z6/B6</f>
      </c>
      <c r="AB6" s="836">
        <f t="shared" ref="AB6:AB8" si="57">AA6/H6</f>
      </c>
      <c r="AC6" s="829"/>
      <c r="AD6" s="837">
        <f t="shared" ref="AD6:AD8" si="21">J6/H6</f>
      </c>
      <c r="AE6" s="832">
        <f t="shared" ref="AE6:AE8" si="121">I6/7.4/H6</f>
      </c>
      <c r="AF6" s="832">
        <f t="shared" ref="AF6:AF8" si="97">Z6/7.4/H6</f>
      </c>
      <c r="AG6" s="832">
        <v>0.15</v>
      </c>
      <c r="AH6" s="832">
        <v>0.15</v>
      </c>
      <c r="AI6" s="832">
        <v>0.02</v>
      </c>
      <c r="AJ6" s="832">
        <f t="shared" ref="AJ6:AJ8" si="67">M6</f>
      </c>
    </row>
    <row customHeight="true" ht="13.333333333333332" r="7">
      <c r="A7" s="828" t="s">
        <v>1858</v>
      </c>
      <c r="B7" s="829">
        <v>7.4</v>
      </c>
      <c r="C7" s="829" t="s">
        <v>1850</v>
      </c>
      <c r="D7" s="829" t="s">
        <v>1851</v>
      </c>
      <c r="E7" s="829" t="s">
        <v>1852</v>
      </c>
      <c r="F7" s="830">
        <f t="shared" si="37"/>
      </c>
      <c r="G7" s="830">
        <f t="shared" si="1"/>
      </c>
      <c r="H7" s="829">
        <v>109.99</v>
      </c>
      <c r="I7" s="830">
        <f t="shared" si="107"/>
      </c>
      <c r="J7" s="829">
        <v>5.69</v>
      </c>
      <c r="K7" s="832">
        <v>0.15</v>
      </c>
      <c r="L7" s="832">
        <v>0.16</v>
      </c>
      <c r="M7" s="832">
        <v>0.07</v>
      </c>
      <c r="N7" s="832">
        <v>0.15</v>
      </c>
      <c r="O7" s="833">
        <f t="shared" si="77"/>
      </c>
      <c r="P7" s="832">
        <v>0.02</v>
      </c>
      <c r="Q7" s="832"/>
      <c r="R7" s="829">
        <v>33.5</v>
      </c>
      <c r="S7" s="829">
        <v>26.5</v>
      </c>
      <c r="T7" s="829">
        <v>25</v>
      </c>
      <c r="U7" s="829">
        <v>2.3</v>
      </c>
      <c r="V7" s="830">
        <f t="shared" si="47"/>
      </c>
      <c r="W7" s="830">
        <f t="shared" si="11"/>
      </c>
      <c r="X7" s="829" t="s">
        <v>1857</v>
      </c>
      <c r="Y7" s="834">
        <v>18.309</v>
      </c>
      <c r="Z7" s="835">
        <f t="shared" si="117"/>
      </c>
      <c r="AA7" s="830">
        <f t="shared" si="87"/>
      </c>
      <c r="AB7" s="836">
        <f t="shared" si="57"/>
      </c>
      <c r="AC7" s="829"/>
      <c r="AD7" s="837">
        <f t="shared" si="21"/>
      </c>
      <c r="AE7" s="832">
        <f t="shared" si="121"/>
      </c>
      <c r="AF7" s="832">
        <f t="shared" si="97"/>
      </c>
      <c r="AG7" s="832">
        <v>0.15</v>
      </c>
      <c r="AH7" s="832">
        <v>0.15</v>
      </c>
      <c r="AI7" s="832">
        <v>0.02</v>
      </c>
      <c r="AJ7" s="832">
        <f t="shared" si="67"/>
      </c>
    </row>
    <row customHeight="true" ht="13.333333333333332" r="8">
      <c r="A8" s="828" t="s">
        <v>1859</v>
      </c>
      <c r="B8" s="829">
        <v>7.4</v>
      </c>
      <c r="C8" s="829" t="s">
        <v>1850</v>
      </c>
      <c r="D8" s="829" t="s">
        <v>1851</v>
      </c>
      <c r="E8" s="829" t="s">
        <v>1852</v>
      </c>
      <c r="F8" s="830">
        <f t="shared" si="37"/>
      </c>
      <c r="G8" s="830">
        <f t="shared" si="1"/>
      </c>
      <c r="H8" s="829">
        <v>99.99</v>
      </c>
      <c r="I8" s="830">
        <f t="shared" si="107"/>
      </c>
      <c r="J8" s="829">
        <v>5.69</v>
      </c>
      <c r="K8" s="832">
        <v>0.15</v>
      </c>
      <c r="L8" s="832">
        <v>0.16</v>
      </c>
      <c r="M8" s="832">
        <v>0.07</v>
      </c>
      <c r="N8" s="832">
        <v>0.15</v>
      </c>
      <c r="O8" s="833">
        <f t="shared" si="77"/>
      </c>
      <c r="P8" s="832">
        <v>0.02</v>
      </c>
      <c r="Q8" s="832"/>
      <c r="R8" s="829">
        <v>33.5</v>
      </c>
      <c r="S8" s="829">
        <v>26.5</v>
      </c>
      <c r="T8" s="829">
        <v>25</v>
      </c>
      <c r="U8" s="829">
        <v>2.3</v>
      </c>
      <c r="V8" s="830">
        <f t="shared" si="47"/>
      </c>
      <c r="W8" s="830">
        <f t="shared" si="11"/>
      </c>
      <c r="X8" s="829" t="s">
        <v>1857</v>
      </c>
      <c r="Y8" s="834">
        <v>18.309</v>
      </c>
      <c r="Z8" s="835">
        <f t="shared" si="117"/>
      </c>
      <c r="AA8" s="830">
        <f t="shared" si="87"/>
      </c>
      <c r="AB8" s="836">
        <f t="shared" si="57"/>
      </c>
      <c r="AC8" s="829"/>
      <c r="AD8" s="837">
        <f t="shared" si="21"/>
      </c>
      <c r="AE8" s="832">
        <f t="shared" si="121"/>
      </c>
      <c r="AF8" s="832">
        <f t="shared" si="97"/>
      </c>
      <c r="AG8" s="832">
        <v>0.15</v>
      </c>
      <c r="AH8" s="832">
        <v>0.15</v>
      </c>
      <c r="AI8" s="832">
        <v>0.02</v>
      </c>
      <c r="AJ8" s="832">
        <f t="shared" si="67"/>
      </c>
    </row>
    <row customHeight="true" ht="13.333333333333332" r="9">
      <c r="A9" s="828"/>
      <c r="B9" s="829"/>
      <c r="C9" s="829"/>
      <c r="D9" s="829"/>
      <c r="E9" s="829"/>
      <c r="F9" s="830"/>
      <c r="G9" s="830"/>
      <c r="H9" s="829"/>
      <c r="I9" s="830"/>
      <c r="J9" s="829"/>
      <c r="K9" s="832"/>
      <c r="L9" s="832"/>
      <c r="M9" s="832"/>
      <c r="N9" s="832"/>
      <c r="O9" s="833"/>
      <c r="P9" s="832"/>
      <c r="Q9" s="832"/>
      <c r="R9" s="829"/>
      <c r="S9" s="829"/>
      <c r="T9" s="829"/>
      <c r="U9" s="829"/>
      <c r="V9" s="830"/>
      <c r="W9" s="830"/>
      <c r="X9" s="829"/>
      <c r="Y9" s="834"/>
      <c r="Z9" s="835"/>
      <c r="AA9" s="830"/>
      <c r="AB9" s="836"/>
      <c r="AC9" s="829"/>
      <c r="AD9" s="837"/>
      <c r="AE9" s="832"/>
      <c r="AF9" s="832"/>
      <c r="AG9" s="832"/>
      <c r="AH9" s="832"/>
      <c r="AI9" s="832"/>
      <c r="AJ9" s="832"/>
    </row>
    <row customHeight="true" ht="13.333333333333332" r="10">
      <c r="A10" s="838" t="s">
        <v>1860</v>
      </c>
      <c r="B10" s="829">
        <v>8</v>
      </c>
      <c r="C10" s="829" t="s">
        <v>1850</v>
      </c>
      <c r="D10" s="829" t="s">
        <v>1851</v>
      </c>
      <c r="E10" s="829" t="s">
        <v>1852</v>
      </c>
      <c r="F10" s="830">
        <f t="shared" ref="F10:F12" si="38">IF(E10="有",(I10/B10+J10+Z10/B10)/(0.99999-K10-L10-M10-N10),(I10/B10+J10+Z10/B10)/(0.99999-K10-M10-N10))</f>
      </c>
      <c r="G10" s="830">
        <f t="shared" ref="G10:G12" si="2">IF(E10="有",(I10/B10+J10+Z10/B10)/(0.8-K10-L10-M10-N10-O10-P10),(I10/B10+J10+Z10/B10)/(0.8-K10-M10-N10-O10-P10))</f>
      </c>
      <c r="H10" s="839">
        <v>89.99</v>
      </c>
      <c r="I10" s="830">
        <f t="shared" ref="I10:I12" si="108">138.5/1.13</f>
      </c>
      <c r="J10" s="829">
        <v>5.69</v>
      </c>
      <c r="K10" s="832">
        <v>0.15</v>
      </c>
      <c r="L10" s="832">
        <v>0.16</v>
      </c>
      <c r="M10" s="832">
        <v>0.05</v>
      </c>
      <c r="N10" s="832">
        <f t="shared" ref="N10:N12" si="30">Q10/H10</f>
      </c>
      <c r="O10" s="833">
        <f t="shared" ref="O10:O12" si="78">0.61/H10</f>
      </c>
      <c r="P10" s="832">
        <v>0.02</v>
      </c>
      <c r="Q10" s="830">
        <v>12</v>
      </c>
      <c r="R10" s="829">
        <v>33.5</v>
      </c>
      <c r="S10" s="829">
        <v>26.5</v>
      </c>
      <c r="T10" s="829">
        <v>25</v>
      </c>
      <c r="U10" s="829">
        <v>2.3</v>
      </c>
      <c r="V10" s="830">
        <f t="shared" ref="V10:V12" si="48">R10*S10*T10/6000</f>
      </c>
      <c r="W10" s="830">
        <f t="shared" ref="W10:W12" si="12">MAX(U10:V10)</f>
      </c>
      <c r="X10" s="829" t="s">
        <v>1861</v>
      </c>
      <c r="Y10" s="834">
        <v>5.55136</v>
      </c>
      <c r="Z10" s="835">
        <v>26</v>
      </c>
      <c r="AA10" s="830">
        <f t="shared" ref="AA10:AA12" si="88">H10-SUM(K10:P10)*H10-J10-I10/B10-Z10/B10</f>
      </c>
      <c r="AB10" s="836">
        <f t="shared" ref="AB10:AB12" si="58">AA10/H10</f>
      </c>
      <c r="AC10" s="829"/>
      <c r="AD10" s="837">
        <f t="shared" ref="AD10:AD12" si="22">J10/H10</f>
      </c>
      <c r="AE10" s="832">
        <f t="shared" ref="AE10:AE12" si="122">I10/7.4/H10</f>
      </c>
      <c r="AF10" s="832">
        <f t="shared" ref="AF10:AF12" si="98">Z10/7.4/H10</f>
      </c>
      <c r="AG10" s="832">
        <v>0.15</v>
      </c>
      <c r="AH10" s="832">
        <v>0.15</v>
      </c>
      <c r="AI10" s="832">
        <v>0.02</v>
      </c>
      <c r="AJ10" s="832">
        <f t="shared" ref="AJ10:AJ12" si="68">M10</f>
      </c>
    </row>
    <row customHeight="true" ht="13.333333333333332" r="11">
      <c r="A11" s="838" t="s">
        <v>1862</v>
      </c>
      <c r="B11" s="829">
        <v>8</v>
      </c>
      <c r="C11" s="829" t="s">
        <v>1850</v>
      </c>
      <c r="D11" s="829" t="s">
        <v>1851</v>
      </c>
      <c r="E11" s="829" t="s">
        <v>1852</v>
      </c>
      <c r="F11" s="830">
        <f t="shared" si="38"/>
      </c>
      <c r="G11" s="830">
        <f t="shared" si="2"/>
      </c>
      <c r="H11" s="839">
        <f t="shared" ref="H11:H12" si="130">H10*0.8</f>
      </c>
      <c r="I11" s="830">
        <f t="shared" si="108"/>
      </c>
      <c r="J11" s="829">
        <v>5.69</v>
      </c>
      <c r="K11" s="832">
        <v>0.15</v>
      </c>
      <c r="L11" s="832">
        <v>0.16</v>
      </c>
      <c r="M11" s="832">
        <v>0.05</v>
      </c>
      <c r="N11" s="832">
        <f t="shared" si="30"/>
      </c>
      <c r="O11" s="833">
        <f t="shared" si="78"/>
      </c>
      <c r="P11" s="832">
        <v>0.02</v>
      </c>
      <c r="Q11" s="830">
        <v>10</v>
      </c>
      <c r="R11" s="829">
        <v>33.5</v>
      </c>
      <c r="S11" s="829">
        <v>26.5</v>
      </c>
      <c r="T11" s="829">
        <v>25</v>
      </c>
      <c r="U11" s="829">
        <v>2.3</v>
      </c>
      <c r="V11" s="830">
        <f t="shared" si="48"/>
      </c>
      <c r="W11" s="830">
        <f t="shared" si="12"/>
      </c>
      <c r="X11" s="829" t="s">
        <v>1861</v>
      </c>
      <c r="Y11" s="834">
        <v>5.55136</v>
      </c>
      <c r="Z11" s="835">
        <v>26</v>
      </c>
      <c r="AA11" s="830">
        <f t="shared" si="88"/>
      </c>
      <c r="AB11" s="836">
        <f t="shared" si="58"/>
      </c>
      <c r="AC11" s="829"/>
      <c r="AD11" s="837">
        <f t="shared" si="22"/>
      </c>
      <c r="AE11" s="832">
        <f t="shared" si="122"/>
      </c>
      <c r="AF11" s="832">
        <f t="shared" si="98"/>
      </c>
      <c r="AG11" s="832">
        <v>0.15</v>
      </c>
      <c r="AH11" s="832">
        <v>0.15</v>
      </c>
      <c r="AI11" s="832">
        <v>0.02</v>
      </c>
      <c r="AJ11" s="832">
        <f t="shared" si="68"/>
      </c>
    </row>
    <row customHeight="true" ht="13.333333333333332" r="12">
      <c r="A12" s="838" t="s">
        <v>1863</v>
      </c>
      <c r="B12" s="829">
        <v>8</v>
      </c>
      <c r="C12" s="829" t="s">
        <v>1850</v>
      </c>
      <c r="D12" s="829" t="s">
        <v>1851</v>
      </c>
      <c r="E12" s="829" t="s">
        <v>1852</v>
      </c>
      <c r="F12" s="830">
        <f t="shared" si="38"/>
      </c>
      <c r="G12" s="830">
        <f t="shared" si="2"/>
      </c>
      <c r="H12" s="839">
        <f t="shared" si="130"/>
      </c>
      <c r="I12" s="830">
        <f t="shared" si="108"/>
      </c>
      <c r="J12" s="829">
        <v>5.69</v>
      </c>
      <c r="K12" s="832">
        <v>0.15</v>
      </c>
      <c r="L12" s="832">
        <v>0.16</v>
      </c>
      <c r="M12" s="832">
        <v>0.05</v>
      </c>
      <c r="N12" s="832">
        <f t="shared" si="30"/>
      </c>
      <c r="O12" s="833">
        <f t="shared" si="78"/>
      </c>
      <c r="P12" s="832">
        <v>0.02</v>
      </c>
      <c r="Q12" s="830">
        <v>8</v>
      </c>
      <c r="R12" s="829">
        <v>33.5</v>
      </c>
      <c r="S12" s="829">
        <v>26.5</v>
      </c>
      <c r="T12" s="829">
        <v>25</v>
      </c>
      <c r="U12" s="829">
        <v>2.3</v>
      </c>
      <c r="V12" s="830">
        <f t="shared" si="48"/>
      </c>
      <c r="W12" s="830">
        <f t="shared" si="12"/>
      </c>
      <c r="X12" s="829" t="s">
        <v>1861</v>
      </c>
      <c r="Y12" s="834">
        <v>5.55136</v>
      </c>
      <c r="Z12" s="835">
        <v>26</v>
      </c>
      <c r="AA12" s="830">
        <f t="shared" si="88"/>
      </c>
      <c r="AB12" s="836">
        <f t="shared" si="58"/>
      </c>
      <c r="AC12" s="829"/>
      <c r="AD12" s="837">
        <f t="shared" si="22"/>
      </c>
      <c r="AE12" s="832">
        <f t="shared" si="122"/>
      </c>
      <c r="AF12" s="832">
        <f t="shared" si="98"/>
      </c>
      <c r="AG12" s="832">
        <v>0.15</v>
      </c>
      <c r="AH12" s="832">
        <v>0.15</v>
      </c>
      <c r="AI12" s="832">
        <v>0.02</v>
      </c>
      <c r="AJ12" s="832">
        <f t="shared" si="68"/>
      </c>
    </row>
    <row customHeight="true" ht="13.333333333333332" r="13">
      <c r="A13" s="828"/>
      <c r="B13" s="829"/>
      <c r="C13" s="829"/>
      <c r="D13" s="829"/>
      <c r="E13" s="829"/>
      <c r="F13" s="830"/>
      <c r="G13" s="830"/>
      <c r="H13" s="840"/>
      <c r="I13" s="830"/>
      <c r="J13" s="829"/>
      <c r="K13" s="832"/>
      <c r="L13" s="832"/>
      <c r="M13" s="832"/>
      <c r="N13" s="832"/>
      <c r="O13" s="833"/>
      <c r="P13" s="832"/>
      <c r="Q13" s="830"/>
      <c r="R13" s="829"/>
      <c r="S13" s="829"/>
      <c r="T13" s="829"/>
      <c r="U13" s="829"/>
      <c r="V13" s="830"/>
      <c r="W13" s="830"/>
      <c r="X13" s="829"/>
      <c r="Y13" s="834"/>
      <c r="Z13" s="835"/>
      <c r="AA13" s="830"/>
      <c r="AB13" s="836"/>
      <c r="AC13" s="829"/>
      <c r="AD13" s="837"/>
      <c r="AE13" s="832"/>
      <c r="AF13" s="832"/>
      <c r="AG13" s="832"/>
      <c r="AH13" s="832"/>
      <c r="AI13" s="832"/>
      <c r="AJ13" s="832"/>
    </row>
    <row customHeight="true" ht="13.333333333333332" r="14">
      <c r="A14" s="838" t="s">
        <v>1860</v>
      </c>
      <c r="B14" s="829">
        <v>8</v>
      </c>
      <c r="C14" s="829" t="s">
        <v>1864</v>
      </c>
      <c r="D14" s="829" t="s">
        <v>1865</v>
      </c>
      <c r="E14" s="829" t="s">
        <v>1852</v>
      </c>
      <c r="F14" s="830">
        <f t="shared" ref="F14:F16" si="39">IF(E14="有",(I14/B14+J14+Z14/B14)/(0.99999-K14-L14-M14-N14),(I14/B14+J14+Z14/B14)/(0.99999-K14-M14-N14))</f>
      </c>
      <c r="G14" s="830">
        <f t="shared" ref="G14:G16" si="3">IF(E14="有",(I14/B14+J14+Z14/B14)/(0.8-K14-L14-M14-N14-O14-P14),(I14/B14+J14+Z14/B14)/(0.8-K14-M14-N14-O14-P14))</f>
      </c>
      <c r="H14" s="839">
        <v>89.99</v>
      </c>
      <c r="I14" s="830">
        <f t="shared" ref="I14:I16" si="109">138.5/1.13</f>
      </c>
      <c r="J14" s="829">
        <v>9.67</v>
      </c>
      <c r="K14" s="832">
        <v>0.15</v>
      </c>
      <c r="L14" s="832">
        <v>0.16</v>
      </c>
      <c r="M14" s="832">
        <v>0.05</v>
      </c>
      <c r="N14" s="832">
        <f t="shared" ref="N14:N16" si="31">Q14/H14</f>
      </c>
      <c r="O14" s="833">
        <f t="shared" ref="O14:O16" si="79">0.61/H14</f>
      </c>
      <c r="P14" s="832">
        <v>0.02</v>
      </c>
      <c r="Q14" s="830">
        <v>12</v>
      </c>
      <c r="R14" s="829">
        <v>33.5</v>
      </c>
      <c r="S14" s="829">
        <v>26.5</v>
      </c>
      <c r="T14" s="829">
        <v>25</v>
      </c>
      <c r="U14" s="829">
        <v>2.3</v>
      </c>
      <c r="V14" s="830">
        <f t="shared" ref="V14:V16" si="49">R14*S14*T14/6000</f>
      </c>
      <c r="W14" s="830">
        <f t="shared" ref="W14:W16" si="13">MAX(U14:V14)</f>
      </c>
      <c r="X14" s="829" t="s">
        <v>1861</v>
      </c>
      <c r="Y14" s="834">
        <v>5.55136</v>
      </c>
      <c r="Z14" s="835">
        <v>26</v>
      </c>
      <c r="AA14" s="830">
        <f t="shared" ref="AA14:AA16" si="89">H14-SUM(K14:P14)*H14-J14-I14/B14-Z14/B14</f>
      </c>
      <c r="AB14" s="836">
        <f t="shared" ref="AB14:AB16" si="59">AA14/H14</f>
      </c>
      <c r="AC14" s="829"/>
      <c r="AD14" s="837">
        <f t="shared" ref="AD14:AD16" si="23">J14/H14</f>
      </c>
      <c r="AE14" s="832">
        <f t="shared" ref="AE14:AE16" si="123">I14/7.4/H14</f>
      </c>
      <c r="AF14" s="832">
        <f t="shared" ref="AF14:AF16" si="99">Z14/7.4/H14</f>
      </c>
      <c r="AG14" s="832">
        <v>0.15</v>
      </c>
      <c r="AH14" s="832">
        <v>0.15</v>
      </c>
      <c r="AI14" s="832">
        <v>0.02</v>
      </c>
      <c r="AJ14" s="832">
        <f t="shared" ref="AJ14:AJ16" si="69">M14</f>
      </c>
    </row>
    <row customHeight="true" ht="13.333333333333332" r="15">
      <c r="A15" s="838" t="s">
        <v>1862</v>
      </c>
      <c r="B15" s="829">
        <v>8</v>
      </c>
      <c r="C15" s="829" t="s">
        <v>1864</v>
      </c>
      <c r="D15" s="829" t="s">
        <v>1865</v>
      </c>
      <c r="E15" s="829" t="s">
        <v>1852</v>
      </c>
      <c r="F15" s="830">
        <f t="shared" si="39"/>
      </c>
      <c r="G15" s="830">
        <f t="shared" si="3"/>
      </c>
      <c r="H15" s="839">
        <f t="shared" ref="H15:H16" si="131">H14*0.8</f>
      </c>
      <c r="I15" s="830">
        <f t="shared" si="109"/>
      </c>
      <c r="J15" s="829">
        <v>9.67</v>
      </c>
      <c r="K15" s="832">
        <v>0.15</v>
      </c>
      <c r="L15" s="832">
        <v>0.16</v>
      </c>
      <c r="M15" s="832">
        <v>0.05</v>
      </c>
      <c r="N15" s="832">
        <f t="shared" si="31"/>
      </c>
      <c r="O15" s="833">
        <f t="shared" si="79"/>
      </c>
      <c r="P15" s="832">
        <v>0.02</v>
      </c>
      <c r="Q15" s="830">
        <v>10</v>
      </c>
      <c r="R15" s="829">
        <v>33.5</v>
      </c>
      <c r="S15" s="829">
        <v>26.5</v>
      </c>
      <c r="T15" s="829">
        <v>25</v>
      </c>
      <c r="U15" s="829">
        <v>2.3</v>
      </c>
      <c r="V15" s="830">
        <f t="shared" si="49"/>
      </c>
      <c r="W15" s="830">
        <f t="shared" si="13"/>
      </c>
      <c r="X15" s="829" t="s">
        <v>1861</v>
      </c>
      <c r="Y15" s="834">
        <v>5.55136</v>
      </c>
      <c r="Z15" s="835">
        <v>26</v>
      </c>
      <c r="AA15" s="830">
        <f t="shared" si="89"/>
      </c>
      <c r="AB15" s="836">
        <f t="shared" si="59"/>
      </c>
      <c r="AC15" s="829"/>
      <c r="AD15" s="837">
        <f t="shared" si="23"/>
      </c>
      <c r="AE15" s="832">
        <f t="shared" si="123"/>
      </c>
      <c r="AF15" s="832">
        <f t="shared" si="99"/>
      </c>
      <c r="AG15" s="832">
        <v>0.15</v>
      </c>
      <c r="AH15" s="832">
        <v>0.15</v>
      </c>
      <c r="AI15" s="832">
        <v>0.02</v>
      </c>
      <c r="AJ15" s="832">
        <f t="shared" si="69"/>
      </c>
    </row>
    <row customHeight="true" ht="13.333333333333332" r="16">
      <c r="A16" s="838" t="s">
        <v>1863</v>
      </c>
      <c r="B16" s="829">
        <v>8</v>
      </c>
      <c r="C16" s="829" t="s">
        <v>1864</v>
      </c>
      <c r="D16" s="829" t="s">
        <v>1865</v>
      </c>
      <c r="E16" s="829" t="s">
        <v>1852</v>
      </c>
      <c r="F16" s="830">
        <f t="shared" si="39"/>
      </c>
      <c r="G16" s="830">
        <f t="shared" si="3"/>
      </c>
      <c r="H16" s="839">
        <f t="shared" si="131"/>
      </c>
      <c r="I16" s="830">
        <f t="shared" si="109"/>
      </c>
      <c r="J16" s="829">
        <v>9.67</v>
      </c>
      <c r="K16" s="832">
        <v>0.15</v>
      </c>
      <c r="L16" s="832">
        <v>0.16</v>
      </c>
      <c r="M16" s="832">
        <v>0.05</v>
      </c>
      <c r="N16" s="832">
        <f t="shared" si="31"/>
      </c>
      <c r="O16" s="833">
        <f t="shared" si="79"/>
      </c>
      <c r="P16" s="832">
        <v>0.02</v>
      </c>
      <c r="Q16" s="830">
        <v>8</v>
      </c>
      <c r="R16" s="829">
        <v>33.5</v>
      </c>
      <c r="S16" s="829">
        <v>26.5</v>
      </c>
      <c r="T16" s="829">
        <v>25</v>
      </c>
      <c r="U16" s="829">
        <v>2.3</v>
      </c>
      <c r="V16" s="830">
        <f t="shared" si="49"/>
      </c>
      <c r="W16" s="830">
        <f t="shared" si="13"/>
      </c>
      <c r="X16" s="829" t="s">
        <v>1861</v>
      </c>
      <c r="Y16" s="834">
        <v>5.55136</v>
      </c>
      <c r="Z16" s="835">
        <v>26</v>
      </c>
      <c r="AA16" s="830">
        <f t="shared" si="89"/>
      </c>
      <c r="AB16" s="836">
        <f t="shared" si="59"/>
      </c>
      <c r="AC16" s="829"/>
      <c r="AD16" s="837">
        <f t="shared" si="23"/>
      </c>
      <c r="AE16" s="832">
        <f t="shared" si="123"/>
      </c>
      <c r="AF16" s="832">
        <f t="shared" si="99"/>
      </c>
      <c r="AG16" s="832">
        <v>0.15</v>
      </c>
      <c r="AH16" s="832">
        <v>0.15</v>
      </c>
      <c r="AI16" s="832">
        <v>0.02</v>
      </c>
      <c r="AJ16" s="832">
        <f t="shared" si="69"/>
      </c>
    </row>
    <row customHeight="true" ht="13.333333333333332" r="17">
      <c r="A17" s="828"/>
      <c r="B17" s="829"/>
      <c r="C17" s="829"/>
      <c r="D17" s="829"/>
      <c r="E17" s="829"/>
      <c r="F17" s="830"/>
      <c r="G17" s="830"/>
      <c r="H17" s="840"/>
      <c r="I17" s="830"/>
      <c r="J17" s="829"/>
      <c r="K17" s="832"/>
      <c r="L17" s="832"/>
      <c r="M17" s="832"/>
      <c r="N17" s="832"/>
      <c r="O17" s="833"/>
      <c r="P17" s="832"/>
      <c r="Q17" s="832"/>
      <c r="R17" s="829"/>
      <c r="S17" s="829"/>
      <c r="T17" s="829"/>
      <c r="U17" s="829"/>
      <c r="V17" s="830"/>
      <c r="W17" s="830"/>
      <c r="X17" s="829"/>
      <c r="Y17" s="834"/>
      <c r="Z17" s="835"/>
      <c r="AA17" s="830"/>
      <c r="AB17" s="836"/>
      <c r="AC17" s="829"/>
      <c r="AD17" s="837"/>
      <c r="AE17" s="832"/>
      <c r="AF17" s="832"/>
      <c r="AG17" s="832"/>
      <c r="AH17" s="832"/>
      <c r="AI17" s="832"/>
      <c r="AJ17" s="832"/>
    </row>
    <row customHeight="true" ht="13.333333333333332" r="18">
      <c r="A18" s="838" t="s">
        <v>1860</v>
      </c>
      <c r="B18" s="829">
        <v>8</v>
      </c>
      <c r="C18" s="829" t="s">
        <v>1866</v>
      </c>
      <c r="D18" s="829" t="s">
        <v>1867</v>
      </c>
      <c r="E18" s="829" t="s">
        <v>1852</v>
      </c>
      <c r="F18" s="830">
        <f t="shared" ref="F18:F21" si="40">IF(E18="有",(I18/B18+J18+Z18/B18)/(0.99999-K18-L18-M18-N18),(I18/B18+J18+Z18/B18)/(0.99999-K18-M18-N18))</f>
      </c>
      <c r="G18" s="830">
        <f t="shared" ref="G18:G21" si="4">IF(E18="有",(I18/B18+J18+Z18/B18)/(0.8-K18-L18-M18-N18-O18-P18),(I18/B18+J18+Z18/B18)/(0.8-K18-M18-N18-O18-P18))</f>
      </c>
      <c r="H18" s="839">
        <v>89.99</v>
      </c>
      <c r="I18" s="830">
        <f t="shared" ref="I18:I21" si="110">138.5/1.13</f>
      </c>
      <c r="J18" s="829">
        <v>7.25</v>
      </c>
      <c r="K18" s="832">
        <v>0.15</v>
      </c>
      <c r="L18" s="832">
        <v>0.16</v>
      </c>
      <c r="M18" s="832">
        <v>0.05</v>
      </c>
      <c r="N18" s="832">
        <f t="shared" ref="N18:N21" si="32">Q18/H18</f>
      </c>
      <c r="O18" s="833">
        <f t="shared" ref="O18:O21" si="80">0.61/H18</f>
      </c>
      <c r="P18" s="832">
        <v>0.02</v>
      </c>
      <c r="Q18" s="830">
        <v>12</v>
      </c>
      <c r="R18" s="829">
        <v>33.5</v>
      </c>
      <c r="S18" s="829">
        <v>26.5</v>
      </c>
      <c r="T18" s="829">
        <v>25</v>
      </c>
      <c r="U18" s="829">
        <v>2.3</v>
      </c>
      <c r="V18" s="830">
        <f t="shared" ref="V18:V21" si="50">R18*S18*T18/6000</f>
      </c>
      <c r="W18" s="830">
        <f t="shared" ref="W18:W21" si="14">MAX(U18:V18)</f>
      </c>
      <c r="X18" s="829" t="s">
        <v>1861</v>
      </c>
      <c r="Y18" s="834">
        <v>5.55136</v>
      </c>
      <c r="Z18" s="835">
        <v>26</v>
      </c>
      <c r="AA18" s="830">
        <f t="shared" ref="AA18:AA21" si="90">H18-SUM(K18:P18)*H18-J18-I18/B18-Z18/B18</f>
      </c>
      <c r="AB18" s="836">
        <f t="shared" ref="AB18:AB21" si="60">AA18/H18</f>
      </c>
      <c r="AC18" s="829"/>
      <c r="AD18" s="837">
        <f t="shared" ref="AD18:AD21" si="24">J18/H18</f>
      </c>
      <c r="AE18" s="832">
        <f t="shared" ref="AE18:AE21" si="124">I18/7.4/H18</f>
      </c>
      <c r="AF18" s="832">
        <f t="shared" ref="AF18:AF21" si="100">Z18/7.4/H18</f>
      </c>
      <c r="AG18" s="832">
        <v>0.15</v>
      </c>
      <c r="AH18" s="832">
        <v>0.15</v>
      </c>
      <c r="AI18" s="832">
        <v>0.02</v>
      </c>
      <c r="AJ18" s="832">
        <f t="shared" ref="AJ18:AJ21" si="70">M18</f>
      </c>
    </row>
    <row customHeight="true" ht="13.333333333333332" r="19">
      <c r="A19" s="838" t="s">
        <v>1862</v>
      </c>
      <c r="B19" s="829">
        <v>8</v>
      </c>
      <c r="C19" s="829" t="s">
        <v>1866</v>
      </c>
      <c r="D19" s="829" t="s">
        <v>1867</v>
      </c>
      <c r="E19" s="829" t="s">
        <v>1852</v>
      </c>
      <c r="F19" s="830">
        <f t="shared" si="40"/>
      </c>
      <c r="G19" s="830">
        <f t="shared" si="4"/>
      </c>
      <c r="H19" s="839">
        <f t="shared" ref="H19:H20" si="132">H18*0.8</f>
      </c>
      <c r="I19" s="830">
        <f t="shared" si="110"/>
      </c>
      <c r="J19" s="829">
        <v>7.25</v>
      </c>
      <c r="K19" s="832">
        <v>0.15</v>
      </c>
      <c r="L19" s="832">
        <v>0.16</v>
      </c>
      <c r="M19" s="832">
        <v>0.05</v>
      </c>
      <c r="N19" s="832">
        <f t="shared" si="32"/>
      </c>
      <c r="O19" s="833">
        <f t="shared" si="80"/>
      </c>
      <c r="P19" s="832">
        <v>0.02</v>
      </c>
      <c r="Q19" s="830">
        <v>10</v>
      </c>
      <c r="R19" s="829">
        <v>33.5</v>
      </c>
      <c r="S19" s="829">
        <v>26.5</v>
      </c>
      <c r="T19" s="829">
        <v>25</v>
      </c>
      <c r="U19" s="829">
        <v>2.3</v>
      </c>
      <c r="V19" s="830">
        <f t="shared" si="50"/>
      </c>
      <c r="W19" s="830">
        <f t="shared" si="14"/>
      </c>
      <c r="X19" s="829" t="s">
        <v>1861</v>
      </c>
      <c r="Y19" s="834">
        <v>5.55136</v>
      </c>
      <c r="Z19" s="835">
        <v>26</v>
      </c>
      <c r="AA19" s="830">
        <f t="shared" si="90"/>
      </c>
      <c r="AB19" s="836">
        <f t="shared" si="60"/>
      </c>
      <c r="AC19" s="829"/>
      <c r="AD19" s="837">
        <f t="shared" si="24"/>
      </c>
      <c r="AE19" s="832">
        <f t="shared" si="124"/>
      </c>
      <c r="AF19" s="832">
        <f t="shared" si="100"/>
      </c>
      <c r="AG19" s="832">
        <v>0.15</v>
      </c>
      <c r="AH19" s="832">
        <v>0.15</v>
      </c>
      <c r="AI19" s="832">
        <v>0.02</v>
      </c>
      <c r="AJ19" s="832">
        <f t="shared" si="70"/>
      </c>
    </row>
    <row customHeight="true" ht="13.333333333333332" r="20">
      <c r="A20" s="838" t="s">
        <v>1863</v>
      </c>
      <c r="B20" s="829">
        <v>8</v>
      </c>
      <c r="C20" s="829" t="s">
        <v>1866</v>
      </c>
      <c r="D20" s="829" t="s">
        <v>1867</v>
      </c>
      <c r="E20" s="829" t="s">
        <v>1852</v>
      </c>
      <c r="F20" s="830">
        <f t="shared" si="40"/>
      </c>
      <c r="G20" s="830">
        <f t="shared" si="4"/>
      </c>
      <c r="H20" s="839">
        <f t="shared" si="132"/>
      </c>
      <c r="I20" s="830">
        <f t="shared" si="110"/>
      </c>
      <c r="J20" s="829">
        <v>7.25</v>
      </c>
      <c r="K20" s="832">
        <v>0.15</v>
      </c>
      <c r="L20" s="832">
        <v>0.16</v>
      </c>
      <c r="M20" s="832">
        <v>0.05</v>
      </c>
      <c r="N20" s="832">
        <f t="shared" si="32"/>
      </c>
      <c r="O20" s="833">
        <f t="shared" si="80"/>
      </c>
      <c r="P20" s="832">
        <v>0.02</v>
      </c>
      <c r="Q20" s="830">
        <v>8</v>
      </c>
      <c r="R20" s="829">
        <v>33.5</v>
      </c>
      <c r="S20" s="829">
        <v>26.5</v>
      </c>
      <c r="T20" s="829">
        <v>25</v>
      </c>
      <c r="U20" s="829">
        <v>2.3</v>
      </c>
      <c r="V20" s="830">
        <f t="shared" si="50"/>
      </c>
      <c r="W20" s="830">
        <f t="shared" si="14"/>
      </c>
      <c r="X20" s="829" t="s">
        <v>1861</v>
      </c>
      <c r="Y20" s="834">
        <v>5.55136</v>
      </c>
      <c r="Z20" s="835">
        <v>26</v>
      </c>
      <c r="AA20" s="830">
        <f t="shared" si="90"/>
      </c>
      <c r="AB20" s="836">
        <f t="shared" si="60"/>
      </c>
      <c r="AC20" s="829"/>
      <c r="AD20" s="837">
        <f t="shared" si="24"/>
      </c>
      <c r="AE20" s="832">
        <f t="shared" si="124"/>
      </c>
      <c r="AF20" s="832">
        <f t="shared" si="100"/>
      </c>
      <c r="AG20" s="832">
        <v>0.15</v>
      </c>
      <c r="AH20" s="832">
        <v>0.15</v>
      </c>
      <c r="AI20" s="832">
        <v>0.02</v>
      </c>
      <c r="AJ20" s="832">
        <f t="shared" si="70"/>
      </c>
    </row>
    <row customHeight="true" ht="13.333333333333332" r="21">
      <c r="A21" s="838" t="s">
        <v>1868</v>
      </c>
      <c r="B21" s="829">
        <v>8</v>
      </c>
      <c r="C21" s="829" t="s">
        <v>1866</v>
      </c>
      <c r="D21" s="829" t="s">
        <v>1867</v>
      </c>
      <c r="E21" s="829" t="s">
        <v>1852</v>
      </c>
      <c r="F21" s="830">
        <f t="shared" si="40"/>
      </c>
      <c r="G21" s="830">
        <f t="shared" si="4"/>
      </c>
      <c r="H21" s="839">
        <f>85.11*0.8</f>
      </c>
      <c r="I21" s="830">
        <f t="shared" si="110"/>
      </c>
      <c r="J21" s="829">
        <v>7.25</v>
      </c>
      <c r="K21" s="832">
        <v>0.15</v>
      </c>
      <c r="L21" s="832">
        <v>0.16</v>
      </c>
      <c r="M21" s="832">
        <v>0.05</v>
      </c>
      <c r="N21" s="832">
        <f t="shared" si="32"/>
      </c>
      <c r="O21" s="833">
        <f t="shared" si="80"/>
      </c>
      <c r="P21" s="832">
        <v>0.02</v>
      </c>
      <c r="Q21" s="830">
        <v>10</v>
      </c>
      <c r="R21" s="829">
        <v>33.5</v>
      </c>
      <c r="S21" s="829">
        <v>26.5</v>
      </c>
      <c r="T21" s="829">
        <v>25</v>
      </c>
      <c r="U21" s="829">
        <v>2.3</v>
      </c>
      <c r="V21" s="830">
        <f t="shared" si="50"/>
      </c>
      <c r="W21" s="830">
        <f t="shared" si="14"/>
      </c>
      <c r="X21" s="829" t="s">
        <v>1861</v>
      </c>
      <c r="Y21" s="834">
        <v>5.55136</v>
      </c>
      <c r="Z21" s="835">
        <v>26</v>
      </c>
      <c r="AA21" s="830">
        <f t="shared" si="90"/>
      </c>
      <c r="AB21" s="836">
        <f t="shared" si="60"/>
      </c>
      <c r="AC21" s="829"/>
      <c r="AD21" s="837">
        <f t="shared" si="24"/>
      </c>
      <c r="AE21" s="832">
        <f t="shared" si="124"/>
      </c>
      <c r="AF21" s="832">
        <f t="shared" si="100"/>
      </c>
      <c r="AG21" s="832">
        <v>0.15</v>
      </c>
      <c r="AH21" s="832">
        <v>0.15</v>
      </c>
      <c r="AI21" s="832">
        <v>0.02</v>
      </c>
      <c r="AJ21" s="832">
        <f t="shared" si="70"/>
      </c>
    </row>
    <row customHeight="true" ht="13.333333333333332" r="22">
      <c r="A22" s="828"/>
      <c r="B22" s="829"/>
      <c r="C22" s="829"/>
      <c r="D22" s="829"/>
      <c r="E22" s="829"/>
      <c r="F22" s="830"/>
      <c r="G22" s="830"/>
      <c r="H22" s="840"/>
      <c r="I22" s="830"/>
      <c r="J22" s="829"/>
      <c r="K22" s="832"/>
      <c r="L22" s="832"/>
      <c r="M22" s="832"/>
      <c r="N22" s="832"/>
      <c r="O22" s="833"/>
      <c r="P22" s="832"/>
      <c r="Q22" s="832"/>
      <c r="R22" s="829"/>
      <c r="S22" s="829"/>
      <c r="T22" s="829"/>
      <c r="U22" s="829"/>
      <c r="V22" s="830"/>
      <c r="W22" s="830"/>
      <c r="X22" s="829"/>
      <c r="Y22" s="834"/>
      <c r="Z22" s="835"/>
      <c r="AA22" s="830"/>
      <c r="AB22" s="836"/>
      <c r="AC22" s="829"/>
      <c r="AD22" s="837"/>
      <c r="AE22" s="832"/>
      <c r="AF22" s="832"/>
      <c r="AG22" s="832"/>
      <c r="AH22" s="832"/>
      <c r="AI22" s="832"/>
      <c r="AJ22" s="832"/>
    </row>
    <row customHeight="true" ht="13.333333333333332" r="23">
      <c r="A23" s="838" t="s">
        <v>1860</v>
      </c>
      <c r="B23" s="829">
        <v>8</v>
      </c>
      <c r="C23" s="829" t="s">
        <v>1869</v>
      </c>
      <c r="D23" s="829" t="s">
        <v>1870</v>
      </c>
      <c r="E23" s="829" t="s">
        <v>1852</v>
      </c>
      <c r="F23" s="830">
        <f t="shared" ref="F23:F25" si="41">IF(E23="有",(I23/B23+J23+Z23/B23)/(0.99999-K23-L23-M23-N23),(I23/B23+J23+Z23/B23)/(0.99999-K23-M23-N23))</f>
      </c>
      <c r="G23" s="830">
        <f t="shared" ref="G23:G25" si="5">IF(E23="有",(I23/B23+J23+Z23/B23)/(0.8-K23-L23-M23-N23-O23-P23),(I23/B23+J23+Z23/B23)/(0.8-K23-M23-N23-O23-P23))</f>
      </c>
      <c r="H23" s="839">
        <v>89.99</v>
      </c>
      <c r="I23" s="830">
        <f t="shared" ref="I23:I25" si="111">138.5/1.13</f>
      </c>
      <c r="J23" s="829">
        <v>7.02</v>
      </c>
      <c r="K23" s="832">
        <v>0.15</v>
      </c>
      <c r="L23" s="832">
        <v>0.16</v>
      </c>
      <c r="M23" s="832">
        <v>0.05</v>
      </c>
      <c r="N23" s="832">
        <f t="shared" ref="N23:N25" si="33">Q23/H23</f>
      </c>
      <c r="O23" s="833">
        <f t="shared" ref="O23:O25" si="81">0.61/H23</f>
      </c>
      <c r="P23" s="832">
        <v>0.02</v>
      </c>
      <c r="Q23" s="830">
        <v>12</v>
      </c>
      <c r="R23" s="829">
        <v>33.5</v>
      </c>
      <c r="S23" s="829">
        <v>26.5</v>
      </c>
      <c r="T23" s="829">
        <v>25</v>
      </c>
      <c r="U23" s="829">
        <v>2.3</v>
      </c>
      <c r="V23" s="830">
        <f t="shared" ref="V23:V25" si="51">R23*S23*T23/6000</f>
      </c>
      <c r="W23" s="830">
        <f t="shared" ref="W23:W25" si="15">MAX(U23:V23)</f>
      </c>
      <c r="X23" s="829" t="s">
        <v>1861</v>
      </c>
      <c r="Y23" s="834">
        <v>5.55136</v>
      </c>
      <c r="Z23" s="835">
        <v>26</v>
      </c>
      <c r="AA23" s="830">
        <f t="shared" ref="AA23:AA25" si="91">H23-SUM(K23:P23)*H23-J23-I23/B23-Z23/B23</f>
      </c>
      <c r="AB23" s="836">
        <f t="shared" ref="AB23:AB25" si="61">AA23/H23</f>
      </c>
      <c r="AC23" s="829"/>
      <c r="AD23" s="837">
        <f t="shared" ref="AD23:AD25" si="25">J23/H23</f>
      </c>
      <c r="AE23" s="832">
        <f t="shared" ref="AE23:AE25" si="125">I23/7.4/H23</f>
      </c>
      <c r="AF23" s="832">
        <f t="shared" ref="AF23:AF25" si="101">Z23/7.4/H23</f>
      </c>
      <c r="AG23" s="832">
        <v>0.15</v>
      </c>
      <c r="AH23" s="832">
        <v>0.15</v>
      </c>
      <c r="AI23" s="832">
        <v>0.02</v>
      </c>
      <c r="AJ23" s="832">
        <f t="shared" ref="AJ23:AJ25" si="71">M23</f>
      </c>
    </row>
    <row customHeight="true" ht="13.333333333333332" r="24">
      <c r="A24" s="838" t="s">
        <v>1862</v>
      </c>
      <c r="B24" s="829">
        <v>8</v>
      </c>
      <c r="C24" s="829" t="s">
        <v>1869</v>
      </c>
      <c r="D24" s="829" t="s">
        <v>1870</v>
      </c>
      <c r="E24" s="829" t="s">
        <v>1852</v>
      </c>
      <c r="F24" s="830">
        <f t="shared" si="41"/>
      </c>
      <c r="G24" s="830">
        <f t="shared" si="5"/>
      </c>
      <c r="H24" s="839">
        <f t="shared" ref="H24:H25" si="133">H23*0.8</f>
      </c>
      <c r="I24" s="830">
        <f t="shared" si="111"/>
      </c>
      <c r="J24" s="829">
        <v>7.02</v>
      </c>
      <c r="K24" s="832">
        <v>0.15</v>
      </c>
      <c r="L24" s="832">
        <v>0.16</v>
      </c>
      <c r="M24" s="832">
        <v>0.05</v>
      </c>
      <c r="N24" s="832">
        <f t="shared" si="33"/>
      </c>
      <c r="O24" s="833">
        <f t="shared" si="81"/>
      </c>
      <c r="P24" s="832">
        <v>0.02</v>
      </c>
      <c r="Q24" s="830">
        <v>10</v>
      </c>
      <c r="R24" s="829">
        <v>33.5</v>
      </c>
      <c r="S24" s="829">
        <v>26.5</v>
      </c>
      <c r="T24" s="829">
        <v>25</v>
      </c>
      <c r="U24" s="829">
        <v>2.3</v>
      </c>
      <c r="V24" s="830">
        <f t="shared" si="51"/>
      </c>
      <c r="W24" s="830">
        <f t="shared" si="15"/>
      </c>
      <c r="X24" s="829" t="s">
        <v>1861</v>
      </c>
      <c r="Y24" s="834">
        <v>5.55136</v>
      </c>
      <c r="Z24" s="835">
        <v>26</v>
      </c>
      <c r="AA24" s="830">
        <f t="shared" si="91"/>
      </c>
      <c r="AB24" s="836">
        <f t="shared" si="61"/>
      </c>
      <c r="AC24" s="829"/>
      <c r="AD24" s="837">
        <f t="shared" si="25"/>
      </c>
      <c r="AE24" s="832">
        <f t="shared" si="125"/>
      </c>
      <c r="AF24" s="832">
        <f t="shared" si="101"/>
      </c>
      <c r="AG24" s="832">
        <v>0.15</v>
      </c>
      <c r="AH24" s="832">
        <v>0.15</v>
      </c>
      <c r="AI24" s="832">
        <v>0.02</v>
      </c>
      <c r="AJ24" s="832">
        <f t="shared" si="71"/>
      </c>
    </row>
    <row customHeight="true" ht="13.333333333333332" r="25">
      <c r="A25" s="838" t="s">
        <v>1863</v>
      </c>
      <c r="B25" s="829">
        <v>8</v>
      </c>
      <c r="C25" s="829" t="s">
        <v>1869</v>
      </c>
      <c r="D25" s="829" t="s">
        <v>1870</v>
      </c>
      <c r="E25" s="829" t="s">
        <v>1852</v>
      </c>
      <c r="F25" s="830">
        <f t="shared" si="41"/>
      </c>
      <c r="G25" s="830">
        <f t="shared" si="5"/>
      </c>
      <c r="H25" s="839">
        <f t="shared" si="133"/>
      </c>
      <c r="I25" s="830">
        <f t="shared" si="111"/>
      </c>
      <c r="J25" s="829">
        <v>7.02</v>
      </c>
      <c r="K25" s="832">
        <v>0.15</v>
      </c>
      <c r="L25" s="832">
        <v>0.16</v>
      </c>
      <c r="M25" s="832">
        <v>0.05</v>
      </c>
      <c r="N25" s="832">
        <f t="shared" si="33"/>
      </c>
      <c r="O25" s="833">
        <f t="shared" si="81"/>
      </c>
      <c r="P25" s="832">
        <v>0.02</v>
      </c>
      <c r="Q25" s="830">
        <v>8</v>
      </c>
      <c r="R25" s="829">
        <v>33.5</v>
      </c>
      <c r="S25" s="829">
        <v>26.5</v>
      </c>
      <c r="T25" s="829">
        <v>25</v>
      </c>
      <c r="U25" s="829">
        <v>2.3</v>
      </c>
      <c r="V25" s="830">
        <f t="shared" si="51"/>
      </c>
      <c r="W25" s="830">
        <f t="shared" si="15"/>
      </c>
      <c r="X25" s="829" t="s">
        <v>1861</v>
      </c>
      <c r="Y25" s="834">
        <v>5.55136</v>
      </c>
      <c r="Z25" s="835">
        <v>26</v>
      </c>
      <c r="AA25" s="830">
        <f t="shared" si="91"/>
      </c>
      <c r="AB25" s="836">
        <f t="shared" si="61"/>
      </c>
      <c r="AC25" s="829"/>
      <c r="AD25" s="837">
        <f t="shared" si="25"/>
      </c>
      <c r="AE25" s="832">
        <f t="shared" si="125"/>
      </c>
      <c r="AF25" s="832">
        <f t="shared" si="101"/>
      </c>
      <c r="AG25" s="832">
        <v>0.15</v>
      </c>
      <c r="AH25" s="832">
        <v>0.15</v>
      </c>
      <c r="AI25" s="832">
        <v>0.02</v>
      </c>
      <c r="AJ25" s="832">
        <f t="shared" si="71"/>
      </c>
    </row>
    <row customHeight="true" ht="13.333333333333332" r="26">
      <c r="A26" s="828"/>
      <c r="B26" s="829"/>
      <c r="C26" s="829"/>
      <c r="D26" s="829"/>
      <c r="E26" s="829"/>
      <c r="F26" s="830"/>
      <c r="G26" s="830"/>
      <c r="H26" s="840"/>
      <c r="I26" s="830"/>
      <c r="J26" s="829"/>
      <c r="K26" s="832"/>
      <c r="L26" s="832"/>
      <c r="M26" s="832"/>
      <c r="N26" s="832"/>
      <c r="O26" s="833"/>
      <c r="P26" s="832"/>
      <c r="Q26" s="832"/>
      <c r="R26" s="829"/>
      <c r="S26" s="829"/>
      <c r="T26" s="829"/>
      <c r="U26" s="829"/>
      <c r="V26" s="830"/>
      <c r="W26" s="830"/>
      <c r="X26" s="829"/>
      <c r="Y26" s="834"/>
      <c r="Z26" s="835"/>
      <c r="AA26" s="830"/>
      <c r="AB26" s="836"/>
      <c r="AC26" s="829"/>
      <c r="AD26" s="837"/>
      <c r="AE26" s="832"/>
      <c r="AF26" s="832"/>
      <c r="AG26" s="832"/>
      <c r="AH26" s="832"/>
      <c r="AI26" s="832"/>
      <c r="AJ26" s="832"/>
    </row>
    <row customHeight="true" hidden="true" ht="13.333333333333332" r="27">
      <c r="A27" s="838" t="s">
        <v>1871</v>
      </c>
      <c r="B27" s="829">
        <v>9.5</v>
      </c>
      <c r="C27" s="829" t="s">
        <v>1872</v>
      </c>
      <c r="D27" s="829" t="s">
        <v>1873</v>
      </c>
      <c r="E27" s="829" t="s">
        <v>1852</v>
      </c>
      <c r="F27" s="830">
        <f t="shared" ref="F27:F29" si="42">IF(E27="有",(I27/B27+J27+Z27/B27)/(0.99999-K27-L27-M27-N27),(I27/B27+J27+Z27/B27)/(0.99999-K27-M27-N27))</f>
      </c>
      <c r="G27" s="830">
        <f t="shared" ref="G27:G29" si="6">IF(E27="有",(I27/B27+J27+Z27/B27)/(0.8-K27-L27-M27-N27-O27-P27),(I27/B27+J27+Z27/B27)/(0.8-K27-M27-N27-O27-P27))</f>
      </c>
      <c r="H27" s="839">
        <v>119.99</v>
      </c>
      <c r="I27" s="830">
        <f t="shared" ref="I27:I29" si="112">138.5/1.13</f>
      </c>
      <c r="J27" s="829">
        <v>5.19</v>
      </c>
      <c r="K27" s="832">
        <v>0.15</v>
      </c>
      <c r="L27" s="832">
        <v>0.16</v>
      </c>
      <c r="M27" s="832">
        <v>0.05</v>
      </c>
      <c r="N27" s="832">
        <v>0.15</v>
      </c>
      <c r="O27" s="833">
        <f t="shared" ref="O27:O29" si="82">0.61/H27</f>
      </c>
      <c r="P27" s="832">
        <v>0.02</v>
      </c>
      <c r="Q27" s="832"/>
      <c r="R27" s="829">
        <v>33.5</v>
      </c>
      <c r="S27" s="829">
        <v>26.5</v>
      </c>
      <c r="T27" s="829">
        <v>25</v>
      </c>
      <c r="U27" s="829">
        <v>2.3</v>
      </c>
      <c r="V27" s="830">
        <f t="shared" ref="V27:V29" si="52">R27*S27*T27/6000</f>
      </c>
      <c r="W27" s="830">
        <f t="shared" ref="W27:W29" si="16">MAX(U27:V27)</f>
      </c>
      <c r="X27" s="829" t="s">
        <v>1853</v>
      </c>
      <c r="Y27" s="834">
        <v>14.908</v>
      </c>
      <c r="Z27" s="835">
        <f t="shared" ref="Z27:Z29" si="118">W27*Y27</f>
      </c>
      <c r="AA27" s="830">
        <f t="shared" ref="AA27:AA29" si="92">H27-SUM(K27:P27)*H27-J27-I27/B27-Z27/B27</f>
      </c>
      <c r="AB27" s="836">
        <f t="shared" ref="AB27:AB29" si="62">AA27/H27</f>
      </c>
      <c r="AC27" s="829"/>
      <c r="AD27" s="837">
        <f t="shared" ref="AD27:AD29" si="26">J27/H27</f>
      </c>
      <c r="AE27" s="832">
        <f t="shared" ref="AE27:AE29" si="126">I27/7.4/H27</f>
      </c>
      <c r="AF27" s="832">
        <f t="shared" ref="AF27:AF29" si="102">Z27/7.4/H27</f>
      </c>
      <c r="AG27" s="832">
        <v>0.15</v>
      </c>
      <c r="AH27" s="832">
        <v>0.15</v>
      </c>
      <c r="AI27" s="832">
        <v>0.02</v>
      </c>
      <c r="AJ27" s="832">
        <f t="shared" ref="AJ27:AJ29" si="72">M27</f>
      </c>
    </row>
    <row customHeight="true" hidden="true" ht="13.333333333333332" r="28">
      <c r="A28" s="838" t="s">
        <v>1874</v>
      </c>
      <c r="B28" s="829">
        <v>9.5</v>
      </c>
      <c r="C28" s="829" t="s">
        <v>1872</v>
      </c>
      <c r="D28" s="829" t="s">
        <v>1873</v>
      </c>
      <c r="E28" s="829" t="s">
        <v>1852</v>
      </c>
      <c r="F28" s="830">
        <f t="shared" si="42"/>
      </c>
      <c r="G28" s="830">
        <f t="shared" si="6"/>
      </c>
      <c r="H28" s="839">
        <v>109.99</v>
      </c>
      <c r="I28" s="830">
        <f t="shared" si="112"/>
      </c>
      <c r="J28" s="829">
        <v>5.19</v>
      </c>
      <c r="K28" s="832">
        <v>0.15</v>
      </c>
      <c r="L28" s="832">
        <v>0.16</v>
      </c>
      <c r="M28" s="832">
        <v>0.05</v>
      </c>
      <c r="N28" s="832">
        <v>0.15</v>
      </c>
      <c r="O28" s="833">
        <f t="shared" si="82"/>
      </c>
      <c r="P28" s="832">
        <v>0.02</v>
      </c>
      <c r="Q28" s="832"/>
      <c r="R28" s="829">
        <v>33.5</v>
      </c>
      <c r="S28" s="829">
        <v>26.5</v>
      </c>
      <c r="T28" s="829">
        <v>25</v>
      </c>
      <c r="U28" s="829">
        <v>2.3</v>
      </c>
      <c r="V28" s="830">
        <f t="shared" si="52"/>
      </c>
      <c r="W28" s="830">
        <f t="shared" si="16"/>
      </c>
      <c r="X28" s="829" t="s">
        <v>1853</v>
      </c>
      <c r="Y28" s="834">
        <v>14.908</v>
      </c>
      <c r="Z28" s="835">
        <f t="shared" si="118"/>
      </c>
      <c r="AA28" s="830">
        <f t="shared" si="92"/>
      </c>
      <c r="AB28" s="836">
        <f t="shared" si="62"/>
      </c>
      <c r="AC28" s="829"/>
      <c r="AD28" s="837">
        <f t="shared" si="26"/>
      </c>
      <c r="AE28" s="832">
        <f t="shared" si="126"/>
      </c>
      <c r="AF28" s="832">
        <f t="shared" si="102"/>
      </c>
      <c r="AG28" s="832">
        <v>0.15</v>
      </c>
      <c r="AH28" s="832">
        <v>0.15</v>
      </c>
      <c r="AI28" s="832">
        <v>0.02</v>
      </c>
      <c r="AJ28" s="832">
        <f t="shared" si="72"/>
      </c>
    </row>
    <row customHeight="true" hidden="true" ht="13.333333333333332" r="29">
      <c r="A29" s="838" t="s">
        <v>1875</v>
      </c>
      <c r="B29" s="829">
        <v>9.5</v>
      </c>
      <c r="C29" s="829" t="s">
        <v>1872</v>
      </c>
      <c r="D29" s="829" t="s">
        <v>1873</v>
      </c>
      <c r="E29" s="829" t="s">
        <v>1852</v>
      </c>
      <c r="F29" s="830">
        <f t="shared" si="42"/>
      </c>
      <c r="G29" s="830">
        <f t="shared" si="6"/>
      </c>
      <c r="H29" s="839">
        <v>99.99</v>
      </c>
      <c r="I29" s="830">
        <f t="shared" si="112"/>
      </c>
      <c r="J29" s="829">
        <v>5.19</v>
      </c>
      <c r="K29" s="832">
        <v>0.15</v>
      </c>
      <c r="L29" s="832">
        <v>0.16</v>
      </c>
      <c r="M29" s="832">
        <v>0.05</v>
      </c>
      <c r="N29" s="832">
        <v>0.15</v>
      </c>
      <c r="O29" s="833">
        <f t="shared" si="82"/>
      </c>
      <c r="P29" s="832">
        <v>0.02</v>
      </c>
      <c r="Q29" s="832"/>
      <c r="R29" s="829">
        <v>33.5</v>
      </c>
      <c r="S29" s="829">
        <v>26.5</v>
      </c>
      <c r="T29" s="829">
        <v>25</v>
      </c>
      <c r="U29" s="829">
        <v>2.3</v>
      </c>
      <c r="V29" s="830">
        <f t="shared" si="52"/>
      </c>
      <c r="W29" s="830">
        <f t="shared" si="16"/>
      </c>
      <c r="X29" s="829" t="s">
        <v>1853</v>
      </c>
      <c r="Y29" s="834">
        <v>14.908</v>
      </c>
      <c r="Z29" s="835">
        <f t="shared" si="118"/>
      </c>
      <c r="AA29" s="830">
        <f t="shared" si="92"/>
      </c>
      <c r="AB29" s="836">
        <f t="shared" si="62"/>
      </c>
      <c r="AC29" s="829"/>
      <c r="AD29" s="837">
        <f t="shared" si="26"/>
      </c>
      <c r="AE29" s="832">
        <f t="shared" si="126"/>
      </c>
      <c r="AF29" s="832">
        <f t="shared" si="102"/>
      </c>
      <c r="AG29" s="832">
        <v>0.15</v>
      </c>
      <c r="AH29" s="832">
        <v>0.15</v>
      </c>
      <c r="AI29" s="832">
        <v>0.02</v>
      </c>
      <c r="AJ29" s="832">
        <f t="shared" si="72"/>
      </c>
    </row>
    <row customHeight="true" hidden="true" ht="13.333333333333332" r="30">
      <c r="A30" s="828"/>
      <c r="B30" s="829"/>
      <c r="C30" s="829"/>
      <c r="D30" s="829"/>
      <c r="E30" s="829"/>
      <c r="F30" s="830"/>
      <c r="G30" s="830"/>
      <c r="H30" s="840"/>
      <c r="I30" s="830"/>
      <c r="J30" s="829"/>
      <c r="K30" s="832"/>
      <c r="L30" s="832"/>
      <c r="M30" s="832"/>
      <c r="N30" s="832"/>
      <c r="O30" s="833"/>
      <c r="P30" s="832"/>
      <c r="Q30" s="832"/>
      <c r="R30" s="829"/>
      <c r="S30" s="829"/>
      <c r="T30" s="829"/>
      <c r="U30" s="829"/>
      <c r="V30" s="830"/>
      <c r="W30" s="830"/>
      <c r="X30" s="829"/>
      <c r="Y30" s="834"/>
      <c r="Z30" s="835"/>
      <c r="AA30" s="830"/>
      <c r="AB30" s="836"/>
      <c r="AC30" s="829"/>
      <c r="AD30" s="837"/>
      <c r="AE30" s="832"/>
      <c r="AF30" s="832"/>
      <c r="AG30" s="832"/>
      <c r="AH30" s="832"/>
      <c r="AI30" s="832"/>
      <c r="AJ30" s="832"/>
    </row>
    <row customHeight="true" hidden="true" ht="13.333333333333332" r="31">
      <c r="A31" s="828" t="s">
        <v>1876</v>
      </c>
      <c r="B31" s="829">
        <v>8.5</v>
      </c>
      <c r="C31" s="829" t="s">
        <v>1872</v>
      </c>
      <c r="D31" s="829" t="s">
        <v>1873</v>
      </c>
      <c r="E31" s="829" t="s">
        <v>1852</v>
      </c>
      <c r="F31" s="830">
        <f t="shared" ref="F31:F33" si="43">IF(E31="有",(I31/B31+J31+Z31/B31)/(0.99999-K31-L31-M31-N31),(I31/B31+J31+Z31/B31)/(0.99999-K31-M31-N31))</f>
      </c>
      <c r="G31" s="830">
        <f t="shared" ref="G31:G33" si="7">IF(E31="有",(I31/B31+J31+Z31/B31)/(0.8-K31-L31-M31-N31-O31-P31),(I31/B31+J31+Z31/B31)/(0.8-K31-M31-N31-O31-P31))</f>
      </c>
      <c r="H31" s="840">
        <v>99.99</v>
      </c>
      <c r="I31" s="830">
        <f t="shared" ref="I31:I33" si="113">138.5/1.13</f>
      </c>
      <c r="J31" s="829">
        <v>5.19</v>
      </c>
      <c r="K31" s="832">
        <v>0.15</v>
      </c>
      <c r="L31" s="832">
        <v>0.16</v>
      </c>
      <c r="M31" s="832">
        <v>0.05</v>
      </c>
      <c r="N31" s="832">
        <v>0.15</v>
      </c>
      <c r="O31" s="833">
        <f t="shared" ref="O31:O33" si="83">0.61/H31</f>
      </c>
      <c r="P31" s="832">
        <v>0.02</v>
      </c>
      <c r="Q31" s="832"/>
      <c r="R31" s="829">
        <v>33.5</v>
      </c>
      <c r="S31" s="829">
        <v>26.5</v>
      </c>
      <c r="T31" s="829">
        <v>25</v>
      </c>
      <c r="U31" s="829">
        <v>2.3</v>
      </c>
      <c r="V31" s="830">
        <f t="shared" ref="V31:V33" si="53">R31*S31*T31/6000</f>
      </c>
      <c r="W31" s="830">
        <f t="shared" ref="W31:W33" si="17">MAX(U31:V31)</f>
      </c>
      <c r="X31" s="829" t="s">
        <v>1861</v>
      </c>
      <c r="Y31" s="834">
        <v>18.309</v>
      </c>
      <c r="Z31" s="835">
        <f t="shared" ref="Z31:Z33" si="119">W31*Y31</f>
      </c>
      <c r="AA31" s="830">
        <f t="shared" ref="AA31:AA33" si="93">H31-SUM(K31:P31)*H31-J31-I31/B31-Z31/B31</f>
      </c>
      <c r="AB31" s="836">
        <f t="shared" ref="AB31:AB33" si="63">AA31/H31</f>
      </c>
      <c r="AC31" s="829"/>
      <c r="AD31" s="837">
        <f t="shared" ref="AD31:AD33" si="27">J31/H31</f>
      </c>
      <c r="AE31" s="832">
        <f t="shared" ref="AE31:AE33" si="127">I31/7.4/H31</f>
      </c>
      <c r="AF31" s="832">
        <f t="shared" ref="AF31:AF33" si="103">Z31/7.4/H31</f>
      </c>
      <c r="AG31" s="832">
        <v>0.15</v>
      </c>
      <c r="AH31" s="832">
        <v>0.15</v>
      </c>
      <c r="AI31" s="832">
        <v>0.02</v>
      </c>
      <c r="AJ31" s="832">
        <f t="shared" ref="AJ31:AJ33" si="73">M31</f>
      </c>
    </row>
    <row customHeight="true" hidden="true" ht="13.333333333333332" r="32">
      <c r="A32" s="828" t="s">
        <v>1877</v>
      </c>
      <c r="B32" s="829">
        <v>8.5</v>
      </c>
      <c r="C32" s="829" t="s">
        <v>1872</v>
      </c>
      <c r="D32" s="829" t="s">
        <v>1873</v>
      </c>
      <c r="E32" s="829" t="s">
        <v>1852</v>
      </c>
      <c r="F32" s="830">
        <f t="shared" si="43"/>
      </c>
      <c r="G32" s="830">
        <f t="shared" si="7"/>
      </c>
      <c r="H32" s="840">
        <v>99.99</v>
      </c>
      <c r="I32" s="830">
        <f t="shared" si="113"/>
      </c>
      <c r="J32" s="829">
        <v>5.19</v>
      </c>
      <c r="K32" s="832">
        <v>0.15</v>
      </c>
      <c r="L32" s="832">
        <v>0.16</v>
      </c>
      <c r="M32" s="832">
        <v>0.05</v>
      </c>
      <c r="N32" s="832">
        <v>0.15</v>
      </c>
      <c r="O32" s="833">
        <f t="shared" si="83"/>
      </c>
      <c r="P32" s="832">
        <v>0.02</v>
      </c>
      <c r="Q32" s="832"/>
      <c r="R32" s="829">
        <v>33.5</v>
      </c>
      <c r="S32" s="829">
        <v>26.5</v>
      </c>
      <c r="T32" s="829">
        <v>25</v>
      </c>
      <c r="U32" s="829">
        <v>2.3</v>
      </c>
      <c r="V32" s="830">
        <f t="shared" si="53"/>
      </c>
      <c r="W32" s="830">
        <f t="shared" si="17"/>
      </c>
      <c r="X32" s="829" t="s">
        <v>1861</v>
      </c>
      <c r="Y32" s="834">
        <v>18.309</v>
      </c>
      <c r="Z32" s="835">
        <f t="shared" si="119"/>
      </c>
      <c r="AA32" s="830">
        <f t="shared" si="93"/>
      </c>
      <c r="AB32" s="836">
        <f t="shared" si="63"/>
      </c>
      <c r="AC32" s="829"/>
      <c r="AD32" s="837">
        <f t="shared" si="27"/>
      </c>
      <c r="AE32" s="832">
        <f t="shared" si="127"/>
      </c>
      <c r="AF32" s="832">
        <f t="shared" si="103"/>
      </c>
      <c r="AG32" s="832">
        <v>0.15</v>
      </c>
      <c r="AH32" s="832">
        <v>0.15</v>
      </c>
      <c r="AI32" s="832">
        <v>0.02</v>
      </c>
      <c r="AJ32" s="832">
        <f t="shared" si="73"/>
      </c>
    </row>
    <row customHeight="true" hidden="true" ht="13.333333333333332" r="33">
      <c r="A33" s="828" t="s">
        <v>1878</v>
      </c>
      <c r="B33" s="829">
        <v>8.5</v>
      </c>
      <c r="C33" s="829" t="s">
        <v>1872</v>
      </c>
      <c r="D33" s="829" t="s">
        <v>1873</v>
      </c>
      <c r="E33" s="829" t="s">
        <v>1852</v>
      </c>
      <c r="F33" s="830">
        <f t="shared" si="43"/>
      </c>
      <c r="G33" s="830">
        <f t="shared" si="7"/>
      </c>
      <c r="H33" s="840">
        <v>99.99</v>
      </c>
      <c r="I33" s="830">
        <f t="shared" si="113"/>
      </c>
      <c r="J33" s="829">
        <v>5.19</v>
      </c>
      <c r="K33" s="832">
        <v>0.15</v>
      </c>
      <c r="L33" s="832">
        <v>0.16</v>
      </c>
      <c r="M33" s="832">
        <v>0.05</v>
      </c>
      <c r="N33" s="832">
        <v>0.15</v>
      </c>
      <c r="O33" s="833">
        <f t="shared" si="83"/>
      </c>
      <c r="P33" s="832">
        <v>0.02</v>
      </c>
      <c r="Q33" s="832"/>
      <c r="R33" s="829">
        <v>33.5</v>
      </c>
      <c r="S33" s="829">
        <v>26.5</v>
      </c>
      <c r="T33" s="829">
        <v>25</v>
      </c>
      <c r="U33" s="829">
        <v>2.3</v>
      </c>
      <c r="V33" s="830">
        <f t="shared" si="53"/>
      </c>
      <c r="W33" s="830">
        <f t="shared" si="17"/>
      </c>
      <c r="X33" s="829" t="s">
        <v>1861</v>
      </c>
      <c r="Y33" s="834">
        <v>18.309</v>
      </c>
      <c r="Z33" s="835">
        <f t="shared" si="119"/>
      </c>
      <c r="AA33" s="830">
        <f t="shared" si="93"/>
      </c>
      <c r="AB33" s="836">
        <f t="shared" si="63"/>
      </c>
      <c r="AC33" s="829"/>
      <c r="AD33" s="837">
        <f t="shared" si="27"/>
      </c>
      <c r="AE33" s="832">
        <f t="shared" si="127"/>
      </c>
      <c r="AF33" s="832">
        <f t="shared" si="103"/>
      </c>
      <c r="AG33" s="832">
        <v>0.15</v>
      </c>
      <c r="AH33" s="832">
        <v>0.15</v>
      </c>
      <c r="AI33" s="832">
        <v>0.02</v>
      </c>
      <c r="AJ33" s="832">
        <f t="shared" si="73"/>
      </c>
    </row>
    <row customHeight="true" hidden="true" ht="13.333333333333332" r="34">
      <c r="A34" s="828"/>
      <c r="B34" s="829"/>
      <c r="C34" s="829"/>
      <c r="D34" s="829"/>
      <c r="E34" s="829"/>
      <c r="F34" s="830"/>
      <c r="G34" s="830"/>
      <c r="H34" s="840"/>
      <c r="I34" s="830"/>
      <c r="J34" s="829"/>
      <c r="K34" s="832"/>
      <c r="L34" s="832"/>
      <c r="M34" s="832"/>
      <c r="N34" s="832"/>
      <c r="O34" s="833"/>
      <c r="P34" s="832"/>
      <c r="Q34" s="832"/>
      <c r="R34" s="829"/>
      <c r="S34" s="829"/>
      <c r="T34" s="829"/>
      <c r="U34" s="829"/>
      <c r="V34" s="830"/>
      <c r="W34" s="830"/>
      <c r="X34" s="829"/>
      <c r="Y34" s="834"/>
      <c r="Z34" s="835"/>
      <c r="AA34" s="830"/>
      <c r="AB34" s="836"/>
      <c r="AC34" s="829"/>
      <c r="AD34" s="837"/>
      <c r="AE34" s="832"/>
      <c r="AF34" s="832"/>
      <c r="AG34" s="832"/>
      <c r="AH34" s="832"/>
      <c r="AI34" s="832"/>
      <c r="AJ34" s="832"/>
    </row>
    <row customHeight="true" hidden="true" ht="13.333333333333332" r="35">
      <c r="A35" s="838" t="s">
        <v>1860</v>
      </c>
      <c r="B35" s="829">
        <v>9</v>
      </c>
      <c r="C35" s="829" t="s">
        <v>1872</v>
      </c>
      <c r="D35" s="829" t="s">
        <v>1873</v>
      </c>
      <c r="E35" s="829" t="s">
        <v>1852</v>
      </c>
      <c r="F35" s="830">
        <f t="shared" ref="F35:F37" si="44">IF(E35="有",(I35/B35+J35+Z35/B35)/(0.99999-K35-L35-M35-N35),(I35/B35+J35+Z35/B35)/(0.99999-K35-M35-N35))</f>
      </c>
      <c r="G35" s="830">
        <f t="shared" ref="G35:G37" si="8">IF(E35="有",(I35/B35+J35+Z35/B35)/(0.8-K35-L35-M35-N35-O35-P35),(I35/B35+J35+Z35/B35)/(0.8-K35-M35-N35-O35-P35))</f>
      </c>
      <c r="H35" s="839">
        <v>97.97</v>
      </c>
      <c r="I35" s="830">
        <f t="shared" ref="I35:I37" si="114">138.5/1.13</f>
      </c>
      <c r="J35" s="829">
        <v>5.19</v>
      </c>
      <c r="K35" s="832">
        <v>0.15</v>
      </c>
      <c r="L35" s="832">
        <v>0.16</v>
      </c>
      <c r="M35" s="832">
        <v>0.05</v>
      </c>
      <c r="N35" s="832">
        <f t="shared" ref="N35:N37" si="34">Q35/H35</f>
      </c>
      <c r="O35" s="833">
        <f t="shared" ref="O35:O37" si="84">0.61/H35</f>
      </c>
      <c r="P35" s="832">
        <v>0.02</v>
      </c>
      <c r="Q35" s="830">
        <v>10</v>
      </c>
      <c r="R35" s="829">
        <v>33.5</v>
      </c>
      <c r="S35" s="829">
        <v>26.5</v>
      </c>
      <c r="T35" s="829">
        <v>25</v>
      </c>
      <c r="U35" s="829">
        <v>2.3</v>
      </c>
      <c r="V35" s="830">
        <f t="shared" ref="V35:V37" si="54">R35*S35*T35/6000</f>
      </c>
      <c r="W35" s="830">
        <f t="shared" ref="W35:W37" si="18">MAX(U35:V35)</f>
      </c>
      <c r="X35" s="829" t="s">
        <v>1861</v>
      </c>
      <c r="Y35" s="834">
        <v>6.084</v>
      </c>
      <c r="Z35" s="835">
        <v>32.9</v>
      </c>
      <c r="AA35" s="830">
        <f t="shared" ref="AA35:AA37" si="94">H35-SUM(K35:P35)*H35-J35-I35/B35-Z35/B35</f>
      </c>
      <c r="AB35" s="836">
        <f t="shared" ref="AB35:AB37" si="64">AA35/H35</f>
      </c>
      <c r="AC35" s="829"/>
      <c r="AD35" s="837">
        <f t="shared" ref="AD35:AD37" si="28">J35/H35</f>
      </c>
      <c r="AE35" s="832">
        <f t="shared" ref="AE35:AE37" si="128">I35/7.4/H35</f>
      </c>
      <c r="AF35" s="832">
        <f t="shared" ref="AF35:AF37" si="104">Z35/7.4/H35</f>
      </c>
      <c r="AG35" s="832">
        <v>0.15</v>
      </c>
      <c r="AH35" s="832">
        <v>0.15</v>
      </c>
      <c r="AI35" s="832">
        <v>0.02</v>
      </c>
      <c r="AJ35" s="832">
        <f t="shared" ref="AJ35:AJ37" si="74">M35</f>
      </c>
    </row>
    <row customHeight="true" hidden="true" ht="13.333333333333332" r="36">
      <c r="A36" s="838" t="s">
        <v>1862</v>
      </c>
      <c r="B36" s="829">
        <v>9</v>
      </c>
      <c r="C36" s="829" t="s">
        <v>1872</v>
      </c>
      <c r="D36" s="829" t="s">
        <v>1873</v>
      </c>
      <c r="E36" s="829" t="s">
        <v>1852</v>
      </c>
      <c r="F36" s="830">
        <f t="shared" si="44"/>
      </c>
      <c r="G36" s="830">
        <f t="shared" si="8"/>
      </c>
      <c r="H36" s="839">
        <f>H35*0.85</f>
      </c>
      <c r="I36" s="830">
        <f t="shared" si="114"/>
      </c>
      <c r="J36" s="829">
        <v>5.19</v>
      </c>
      <c r="K36" s="832">
        <v>0.15</v>
      </c>
      <c r="L36" s="832">
        <v>0.16</v>
      </c>
      <c r="M36" s="832">
        <v>0.05</v>
      </c>
      <c r="N36" s="832">
        <f t="shared" si="34"/>
      </c>
      <c r="O36" s="833">
        <f t="shared" si="84"/>
      </c>
      <c r="P36" s="832">
        <v>0.02</v>
      </c>
      <c r="Q36" s="830">
        <v>10</v>
      </c>
      <c r="R36" s="829">
        <v>33.5</v>
      </c>
      <c r="S36" s="829">
        <v>26.5</v>
      </c>
      <c r="T36" s="829">
        <v>25</v>
      </c>
      <c r="U36" s="829">
        <v>2.3</v>
      </c>
      <c r="V36" s="830">
        <f t="shared" si="54"/>
      </c>
      <c r="W36" s="830">
        <f t="shared" si="18"/>
      </c>
      <c r="X36" s="829" t="s">
        <v>1861</v>
      </c>
      <c r="Y36" s="834">
        <v>6.084</v>
      </c>
      <c r="Z36" s="835">
        <v>32.9</v>
      </c>
      <c r="AA36" s="830">
        <f t="shared" si="94"/>
      </c>
      <c r="AB36" s="836">
        <f t="shared" si="64"/>
      </c>
      <c r="AC36" s="829"/>
      <c r="AD36" s="837">
        <f t="shared" si="28"/>
      </c>
      <c r="AE36" s="832">
        <f t="shared" si="128"/>
      </c>
      <c r="AF36" s="832">
        <f t="shared" si="104"/>
      </c>
      <c r="AG36" s="832">
        <v>0.15</v>
      </c>
      <c r="AH36" s="832">
        <v>0.15</v>
      </c>
      <c r="AI36" s="832">
        <v>0.02</v>
      </c>
      <c r="AJ36" s="832">
        <f t="shared" si="74"/>
      </c>
    </row>
    <row customHeight="true" hidden="true" ht="13.333333333333332" r="37">
      <c r="A37" s="838" t="s">
        <v>1863</v>
      </c>
      <c r="B37" s="829">
        <v>9</v>
      </c>
      <c r="C37" s="829" t="s">
        <v>1872</v>
      </c>
      <c r="D37" s="829" t="s">
        <v>1873</v>
      </c>
      <c r="E37" s="829" t="s">
        <v>1852</v>
      </c>
      <c r="F37" s="830">
        <f t="shared" si="44"/>
      </c>
      <c r="G37" s="830">
        <f t="shared" si="8"/>
      </c>
      <c r="H37" s="839">
        <f>H35*0.8</f>
      </c>
      <c r="I37" s="830">
        <f t="shared" si="114"/>
      </c>
      <c r="J37" s="829">
        <v>5.19</v>
      </c>
      <c r="K37" s="832">
        <v>0.15</v>
      </c>
      <c r="L37" s="832">
        <v>0.16</v>
      </c>
      <c r="M37" s="832">
        <v>0.05</v>
      </c>
      <c r="N37" s="832">
        <f t="shared" si="34"/>
      </c>
      <c r="O37" s="833">
        <f t="shared" si="84"/>
      </c>
      <c r="P37" s="832">
        <v>0.02</v>
      </c>
      <c r="Q37" s="830">
        <v>10</v>
      </c>
      <c r="R37" s="829">
        <v>33.5</v>
      </c>
      <c r="S37" s="829">
        <v>26.5</v>
      </c>
      <c r="T37" s="829">
        <v>25</v>
      </c>
      <c r="U37" s="829">
        <v>2.3</v>
      </c>
      <c r="V37" s="830">
        <f t="shared" si="54"/>
      </c>
      <c r="W37" s="830">
        <f t="shared" si="18"/>
      </c>
      <c r="X37" s="829" t="s">
        <v>1861</v>
      </c>
      <c r="Y37" s="834">
        <v>6.084</v>
      </c>
      <c r="Z37" s="835">
        <v>32.9</v>
      </c>
      <c r="AA37" s="830">
        <f t="shared" si="94"/>
      </c>
      <c r="AB37" s="836">
        <f t="shared" si="64"/>
      </c>
      <c r="AC37" s="829"/>
      <c r="AD37" s="837">
        <f t="shared" si="28"/>
      </c>
      <c r="AE37" s="832">
        <f t="shared" si="128"/>
      </c>
      <c r="AF37" s="832">
        <f t="shared" si="104"/>
      </c>
      <c r="AG37" s="832">
        <v>0.15</v>
      </c>
      <c r="AH37" s="832">
        <v>0.15</v>
      </c>
      <c r="AI37" s="832">
        <v>0.02</v>
      </c>
      <c r="AJ37" s="832">
        <f t="shared" si="74"/>
      </c>
    </row>
    <row customHeight="true" hidden="true" ht="13.333333333333332" r="38">
      <c r="A38" s="828"/>
      <c r="B38" s="829"/>
      <c r="C38" s="829"/>
      <c r="D38" s="829"/>
      <c r="E38" s="829"/>
      <c r="F38" s="830"/>
      <c r="G38" s="830"/>
      <c r="H38" s="840"/>
      <c r="I38" s="830"/>
      <c r="J38" s="829"/>
      <c r="K38" s="832"/>
      <c r="L38" s="832"/>
      <c r="M38" s="832"/>
      <c r="N38" s="832"/>
      <c r="O38" s="833"/>
      <c r="P38" s="832"/>
      <c r="Q38" s="832"/>
      <c r="R38" s="829"/>
      <c r="S38" s="829"/>
      <c r="T38" s="829"/>
      <c r="U38" s="829"/>
      <c r="V38" s="830"/>
      <c r="W38" s="830"/>
      <c r="X38" s="829"/>
      <c r="Y38" s="834"/>
      <c r="Z38" s="830"/>
      <c r="AA38" s="830"/>
      <c r="AB38" s="836"/>
      <c r="AC38" s="829"/>
      <c r="AD38" s="837"/>
      <c r="AE38" s="832"/>
      <c r="AF38" s="832"/>
      <c r="AG38" s="832"/>
      <c r="AH38" s="832"/>
      <c r="AI38" s="832"/>
      <c r="AJ38" s="832"/>
    </row>
    <row customHeight="true" ht="13.333333333333332" r="39">
      <c r="A39" s="841" t="s">
        <v>1860</v>
      </c>
      <c r="B39" s="829">
        <v>9</v>
      </c>
      <c r="C39" s="829" t="s">
        <v>1872</v>
      </c>
      <c r="D39" s="829" t="s">
        <v>1873</v>
      </c>
      <c r="E39" s="829" t="s">
        <v>1852</v>
      </c>
      <c r="F39" s="830">
        <f t="shared" ref="F39:F41" si="45">IF(E39="有",(I39/B39+J39+Z39/B39)/(0.99999-K39-L39-M39-N39),(I39/B39+J39+Z39/B39)/(0.99999-K39-M39-N39))</f>
      </c>
      <c r="G39" s="830">
        <f t="shared" ref="G39:G41" si="9">IF(E39="有",(I39/B39+J39+Z39/B39)/(0.8-K39-L39-M39-N39-O39-P39),(I39/B39+J39+Z39/B39)/(0.8-K39-M39-N39-O39-P39))</f>
      </c>
      <c r="H39" s="839">
        <v>89.99</v>
      </c>
      <c r="I39" s="830">
        <f t="shared" ref="I39:I41" si="115">138.5/1.13</f>
      </c>
      <c r="J39" s="829">
        <v>5.19</v>
      </c>
      <c r="K39" s="832">
        <v>0.15</v>
      </c>
      <c r="L39" s="832">
        <v>0.16</v>
      </c>
      <c r="M39" s="832">
        <v>0.05</v>
      </c>
      <c r="N39" s="832">
        <f t="shared" ref="N39:N41" si="35">Q39/H39</f>
      </c>
      <c r="O39" s="833">
        <f t="shared" ref="O39:O41" si="85">0.61/H39</f>
      </c>
      <c r="P39" s="832">
        <v>0.02</v>
      </c>
      <c r="Q39" s="830">
        <v>10</v>
      </c>
      <c r="R39" s="829">
        <v>33.5</v>
      </c>
      <c r="S39" s="829">
        <v>26.5</v>
      </c>
      <c r="T39" s="829">
        <v>25</v>
      </c>
      <c r="U39" s="829">
        <v>2.3</v>
      </c>
      <c r="V39" s="830">
        <f t="shared" ref="V39:V41" si="55">R39*S39*T39/6000</f>
      </c>
      <c r="W39" s="830">
        <f t="shared" ref="W39:W41" si="19">MAX(U39:V39)</f>
      </c>
      <c r="X39" s="829" t="s">
        <v>1861</v>
      </c>
      <c r="Y39" s="834">
        <v>6.084</v>
      </c>
      <c r="Z39" s="835">
        <v>32.9</v>
      </c>
      <c r="AA39" s="830">
        <f t="shared" ref="AA39:AA41" si="95">H39-SUM(K39:P39)*H39-J39-I39/B39-Z39/B39</f>
      </c>
      <c r="AB39" s="836">
        <f t="shared" ref="AB39:AB41" si="65">AA39/H39</f>
      </c>
      <c r="AC39" s="829"/>
      <c r="AD39" s="837">
        <f t="shared" ref="AD39:AD41" si="29">J39/H39</f>
      </c>
      <c r="AE39" s="832">
        <f t="shared" ref="AE39:AE41" si="129">I39/7.4/H39</f>
      </c>
      <c r="AF39" s="832">
        <f t="shared" ref="AF39:AF41" si="105">Z39/7.4/H39</f>
      </c>
      <c r="AG39" s="832">
        <v>0.15</v>
      </c>
      <c r="AH39" s="832">
        <v>0.15</v>
      </c>
      <c r="AI39" s="832">
        <v>0.02</v>
      </c>
      <c r="AJ39" s="832">
        <f t="shared" ref="AJ39:AJ41" si="75">M39</f>
      </c>
    </row>
    <row customHeight="true" ht="13.333333333333332" r="40">
      <c r="A40" s="841" t="s">
        <v>1879</v>
      </c>
      <c r="B40" s="829">
        <v>9</v>
      </c>
      <c r="C40" s="829" t="s">
        <v>1872</v>
      </c>
      <c r="D40" s="829" t="s">
        <v>1873</v>
      </c>
      <c r="E40" s="829" t="s">
        <v>1852</v>
      </c>
      <c r="F40" s="830">
        <f t="shared" si="45"/>
      </c>
      <c r="G40" s="830">
        <f t="shared" si="9"/>
      </c>
      <c r="H40" s="839">
        <f t="shared" ref="H40:H41" si="134">H39*0.8</f>
      </c>
      <c r="I40" s="830">
        <f t="shared" si="115"/>
      </c>
      <c r="J40" s="829">
        <v>5.19</v>
      </c>
      <c r="K40" s="832">
        <v>0.15</v>
      </c>
      <c r="L40" s="832">
        <v>0.16</v>
      </c>
      <c r="M40" s="832">
        <v>0.05</v>
      </c>
      <c r="N40" s="832">
        <f t="shared" si="35"/>
      </c>
      <c r="O40" s="833">
        <f t="shared" si="85"/>
      </c>
      <c r="P40" s="832">
        <v>0.02</v>
      </c>
      <c r="Q40" s="830">
        <v>10</v>
      </c>
      <c r="R40" s="829">
        <v>33.5</v>
      </c>
      <c r="S40" s="829">
        <v>26.5</v>
      </c>
      <c r="T40" s="829">
        <v>25</v>
      </c>
      <c r="U40" s="829">
        <v>2.3</v>
      </c>
      <c r="V40" s="830">
        <f t="shared" si="55"/>
      </c>
      <c r="W40" s="830">
        <f t="shared" si="19"/>
      </c>
      <c r="X40" s="829" t="s">
        <v>1861</v>
      </c>
      <c r="Y40" s="834">
        <v>6.084</v>
      </c>
      <c r="Z40" s="835">
        <v>32.9</v>
      </c>
      <c r="AA40" s="830">
        <f t="shared" si="95"/>
      </c>
      <c r="AB40" s="836">
        <f t="shared" si="65"/>
      </c>
      <c r="AC40" s="829"/>
      <c r="AD40" s="837">
        <f t="shared" si="29"/>
      </c>
      <c r="AE40" s="832">
        <f t="shared" si="129"/>
      </c>
      <c r="AF40" s="832">
        <f t="shared" si="105"/>
      </c>
      <c r="AG40" s="832">
        <v>0.15</v>
      </c>
      <c r="AH40" s="832">
        <v>0.15</v>
      </c>
      <c r="AI40" s="832">
        <v>0.02</v>
      </c>
      <c r="AJ40" s="832">
        <f t="shared" si="75"/>
      </c>
    </row>
    <row customHeight="true" ht="13.333333333333332" r="41">
      <c r="A41" s="841" t="s">
        <v>1863</v>
      </c>
      <c r="B41" s="829">
        <v>9</v>
      </c>
      <c r="C41" s="829" t="s">
        <v>1872</v>
      </c>
      <c r="D41" s="829" t="s">
        <v>1873</v>
      </c>
      <c r="E41" s="829" t="s">
        <v>1852</v>
      </c>
      <c r="F41" s="830">
        <f t="shared" si="45"/>
      </c>
      <c r="G41" s="830">
        <f t="shared" si="9"/>
      </c>
      <c r="H41" s="839">
        <f t="shared" si="134"/>
      </c>
      <c r="I41" s="830">
        <f t="shared" si="115"/>
      </c>
      <c r="J41" s="829">
        <v>5.19</v>
      </c>
      <c r="K41" s="832">
        <v>0.15</v>
      </c>
      <c r="L41" s="832">
        <v>0.16</v>
      </c>
      <c r="M41" s="832">
        <v>0.05</v>
      </c>
      <c r="N41" s="832">
        <f t="shared" si="35"/>
      </c>
      <c r="O41" s="833">
        <f t="shared" si="85"/>
      </c>
      <c r="P41" s="832">
        <v>0.02</v>
      </c>
      <c r="Q41" s="830">
        <v>10</v>
      </c>
      <c r="R41" s="829">
        <v>33.5</v>
      </c>
      <c r="S41" s="829">
        <v>26.5</v>
      </c>
      <c r="T41" s="829">
        <v>25</v>
      </c>
      <c r="U41" s="829">
        <v>2.3</v>
      </c>
      <c r="V41" s="830">
        <f t="shared" si="55"/>
      </c>
      <c r="W41" s="830">
        <f t="shared" si="19"/>
      </c>
      <c r="X41" s="829" t="s">
        <v>1861</v>
      </c>
      <c r="Y41" s="834">
        <v>6.084</v>
      </c>
      <c r="Z41" s="835">
        <v>32.9</v>
      </c>
      <c r="AA41" s="830">
        <f t="shared" si="95"/>
      </c>
      <c r="AB41" s="836">
        <f t="shared" si="65"/>
      </c>
      <c r="AC41" s="829"/>
      <c r="AD41" s="837">
        <f t="shared" si="29"/>
      </c>
      <c r="AE41" s="832">
        <f t="shared" si="129"/>
      </c>
      <c r="AF41" s="832">
        <f t="shared" si="105"/>
      </c>
      <c r="AG41" s="832">
        <v>0.15</v>
      </c>
      <c r="AH41" s="832">
        <v>0.15</v>
      </c>
      <c r="AI41" s="832">
        <v>0.02</v>
      </c>
      <c r="AJ41" s="832">
        <f t="shared" si="75"/>
      </c>
    </row>
  </sheetData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1" min="1" style="0" width="11.93333333333333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2" min="2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6" min="16" style="0" width="17.4"/>
    <col collapsed="false" customWidth="true" hidden="false" max="19" min="19" style="0" width="17.933333333333334"/>
    <col collapsed="false" customWidth="true" hidden="false" max="3" min="3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20" min="20" style="0" width="17.933333333333334"/>
    <col collapsed="false" customWidth="true" hidden="false" max="4" min="4" style="0" width="17.4"/>
  </cols>
  <sheetData>
    <row customHeight="true" ht="18.51851851851852" r="1">
      <c r="A1" s="842" t="s">
        <v>1880</v>
      </c>
      <c r="B1" s="842" t="s">
        <v>1881</v>
      </c>
      <c r="C1" s="842" t="s">
        <v>1882</v>
      </c>
      <c r="D1" s="842" t="s">
        <v>1883</v>
      </c>
      <c r="E1" s="842" t="s">
        <v>1884</v>
      </c>
      <c r="F1" s="842" t="s">
        <v>1885</v>
      </c>
      <c r="G1" s="842" t="s">
        <v>1886</v>
      </c>
      <c r="H1" s="842" t="s">
        <v>1887</v>
      </c>
      <c r="I1" s="842" t="s">
        <v>1888</v>
      </c>
      <c r="J1" s="842" t="s">
        <v>1889</v>
      </c>
      <c r="K1" s="842" t="s">
        <v>1890</v>
      </c>
      <c r="L1" s="842" t="s">
        <v>1891</v>
      </c>
      <c r="M1" s="842" t="s">
        <v>1892</v>
      </c>
      <c r="N1" s="842" t="s">
        <v>1893</v>
      </c>
      <c r="O1" s="842" t="s">
        <v>1894</v>
      </c>
      <c r="P1" s="842" t="s">
        <v>1895</v>
      </c>
      <c r="Q1" s="842" t="s">
        <v>1896</v>
      </c>
      <c r="R1" s="843" t="s">
        <v>1897</v>
      </c>
    </row>
    <row customHeight="true" ht="18.51851851851852" r="2"/>
    <row customHeight="true" ht="18.51851851851852" r="3"/>
    <row customHeight="true" ht="18.51851851851852" r="4"/>
    <row customHeight="true" ht="18.51851851851852" r="5"/>
    <row customHeight="true" ht="18.51851851851852" r="6"/>
    <row customHeight="true" ht="18.51851851851852" r="7"/>
    <row customHeight="true" ht="18.51851851851852" r="8"/>
    <row customHeight="true" ht="18.51851851851852" r="9"/>
    <row customHeight="true" ht="18.51851851851852" r="10"/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