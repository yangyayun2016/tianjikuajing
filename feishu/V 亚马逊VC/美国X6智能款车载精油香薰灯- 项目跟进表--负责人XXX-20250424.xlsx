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定价表" sheetId="2" r:id="rId5"/>
    <sheet name="目标&amp;经营分析表" sheetId="3" r:id="rId6"/>
    <sheet name="日常跟踪表" sheetId="4" r:id="rId7"/>
    <sheet name="备货计划表" sheetId="5" r:id="rId8"/>
    <sheet name="库存监控表" sheetId="6" r:id="rId9"/>
    <sheet name="站外计划跟进表" sheetId="7" r:id="rId10"/>
    <sheet name="上评节奏跟进表" sheetId="8" r:id="rId11"/>
    <sheet name="刷单节奏跟进表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a24876ac-be0a-4125-846d-263a077d899a}">
      <text>
        <r>
          <rPr>
            <b val="true"/>
            <i val="false"/>
            <strike val="false"/>
            <sz val="9"/>
            <color rgb="FF000000"/>
          </rPr>
          <t>XH:</t>
        </r>
        <r>
          <rPr>
            <b val="false"/>
            <i val="false"/>
            <strike val="false"/>
            <sz val="9"/>
            <color rgb="FF000000"/>
          </rPr>
          <t xml:space="preserve">
会员折扣</t>
        </r>
      </text>
    </comment>
    <comment ref="F1" authorId="0" shapeId="0" xr:uid="{74e871a2-dfe7-4d3e-b7bd-c3418cf70ac2}">
      <text>
        <r>
          <rPr>
            <b val="true"/>
            <i val="false"/>
            <strike val="false"/>
            <sz val="9"/>
            <color rgb="FF000000"/>
          </rPr>
          <t>XH:</t>
        </r>
        <r>
          <rPr>
            <b val="false"/>
            <i val="false"/>
            <strike val="false"/>
            <sz val="9"/>
            <color rgb="FF000000"/>
          </rPr>
          <t xml:space="preserve">
优惠券
</t>
        </r>
      </text>
    </comment>
    <comment ref="N1" authorId="0" shapeId="0" xr:uid="{b466f7cf-1ba6-425c-b38c-7b923ce37bc9}">
      <text>
        <r>
          <rPr>
            <b val="true"/>
            <i val="false"/>
            <strike val="false"/>
            <sz val="9"/>
            <color rgb="FF000000"/>
          </rPr>
          <t>htn04:</t>
        </r>
        <r>
          <rPr>
            <b val="false"/>
            <i val="false"/>
            <strike val="false"/>
            <sz val="9"/>
            <color rgb="FF000000"/>
          </rPr>
          <t xml:space="preserve">
自然单-广告单
</t>
        </r>
      </text>
    </comment>
    <comment ref="O1" authorId="0" shapeId="0" xr:uid="{4faf9d2b-e6e1-4ae9-ae8d-d8edaf39c1e3}">
      <text>
        <r>
          <rPr>
            <b val="true"/>
            <i val="false"/>
            <strike val="false"/>
            <sz val="9"/>
            <color rgb="FF000000"/>
          </rPr>
          <t>htn04:</t>
        </r>
        <r>
          <rPr>
            <b val="false"/>
            <i val="false"/>
            <strike val="false"/>
            <sz val="9"/>
            <color rgb="FF000000"/>
          </rPr>
          <t xml:space="preserve">
总订单-测评单-站外单
</t>
        </r>
      </text>
    </comment>
    <comment ref="P1" authorId="0" shapeId="0" xr:uid="{dc70a81b-8cf6-4d92-a085-c82ca2507649}">
      <text>
        <r>
          <rPr>
            <b val="false"/>
            <i val="false"/>
            <strike val="false"/>
            <sz val="10"/>
            <color rgb="FF000000"/>
          </rPr>
          <t>所有订单</t>
        </r>
      </text>
    </comment>
    <comment ref="AP2" authorId="0" shapeId="0" xr:uid="{a853b588-ecbd-4cda-8b9c-f79b1da6aa03}">
      <text>
        <r>
          <rPr>
            <b val="false"/>
            <i val="false"/>
            <strike val="false"/>
            <sz val="10"/>
            <color rgb="FF000000"/>
          </rPr>
          <t>单个产品</t>
        </r>
      </text>
    </comment>
    <comment ref="AS2" authorId="0" shapeId="0" xr:uid="{29fa64d5-b013-4750-8875-763d3961ad3e}">
      <text>
        <r>
          <rPr>
            <b val="false"/>
            <i val="false"/>
            <strike val="false"/>
            <sz val="10"/>
            <color rgb="FF000000"/>
          </rPr>
          <t xml:space="preserve">单个产品 头程+产品成本 换算成美金 汇率按照6.8算</t>
        </r>
      </text>
    </comment>
    <comment ref="AU2" authorId="0" shapeId="0" xr:uid="{bd3863a8-35bf-4823-8c65-c2fd4ba78c3f}">
      <text>
        <r>
          <rPr>
            <b val="false"/>
            <i val="false"/>
            <strike val="false"/>
            <sz val="10"/>
            <color rgb="FF000000"/>
          </rPr>
          <t>单个亏损*测评总出单</t>
        </r>
      </text>
    </comment>
    <comment ref="AV2" authorId="0" shapeId="0" xr:uid="{c5df31af-32e1-4841-8c58-d0ba04f9292c}">
      <text>
        <r>
          <rPr>
            <b val="false"/>
            <i val="false"/>
            <strike val="false"/>
            <sz val="10"/>
            <color rgb="FF000000"/>
          </rPr>
          <t>单个产品</t>
        </r>
      </text>
    </comment>
    <comment ref="BB2" authorId="0" shapeId="0" xr:uid="{9adec22a-45fb-43c2-8407-913fe180ef53}">
      <text>
        <r>
          <rPr>
            <b val="true"/>
            <i val="false"/>
            <strike val="false"/>
            <sz val="9"/>
            <color rgb="FF000000"/>
          </rPr>
          <t>Administrator:</t>
        </r>
        <r>
          <rPr>
            <b val="false"/>
            <i val="false"/>
            <strike val="false"/>
            <sz val="9"/>
            <color rgb="FF000000"/>
          </rPr>
          <t xml:space="preserve">
亚马逊仓的库存</t>
        </r>
      </text>
    </comment>
    <comment ref="BC2" authorId="0" shapeId="0" xr:uid="{80086fa8-8574-47b2-9202-2ee065f6a969}">
      <text>
        <r>
          <rPr>
            <b val="true"/>
            <i val="false"/>
            <strike val="false"/>
            <sz val="9"/>
            <color rgb="FF000000"/>
          </rPr>
          <t>Administrator:</t>
        </r>
        <r>
          <rPr>
            <b val="false"/>
            <i val="false"/>
            <strike val="false"/>
            <sz val="9"/>
            <color rgb="FF000000"/>
          </rPr>
          <t xml:space="preserve">
在库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<sst xmlns="http://schemas.openxmlformats.org/spreadsheetml/2006/main" count="400" uniqueCount="400">
  <si>
    <t xml:space="preserve">  </t>
  </si>
  <si>
    <t xml:space="preserve">VC活动价</t>
  </si>
  <si>
    <t xml:space="preserve">汇率</t>
  </si>
  <si>
    <t xml:space="preserve">报价比例</t>
  </si>
  <si>
    <t xml:space="preserve">售价美金</t>
  </si>
  <si>
    <t xml:space="preserve">报价美金</t>
  </si>
  <si>
    <t xml:space="preserve">采购价</t>
  </si>
  <si>
    <t xml:space="preserve">头程</t>
  </si>
  <si>
    <t xml:space="preserve">国内总成本</t>
  </si>
  <si>
    <t xml:space="preserve">装箱数量</t>
  </si>
  <si>
    <t xml:space="preserve">移仓费/个</t>
  </si>
  <si>
    <t xml:space="preserve">换标费
0.5/个</t>
  </si>
  <si>
    <t xml:space="preserve">入库费/箱/1.5</t>
  </si>
  <si>
    <t xml:space="preserve">装箱费
2.5/箱</t>
  </si>
  <si>
    <t xml:space="preserve">箱唛
0.5/张/箱</t>
  </si>
  <si>
    <t xml:space="preserve">出库费
1.5/箱</t>
  </si>
  <si>
    <t xml:space="preserve">自提费
1.5/箱</t>
  </si>
  <si>
    <t xml:space="preserve">入库总费用</t>
  </si>
  <si>
    <t xml:space="preserve">入库单个费用</t>
  </si>
  <si>
    <t xml:space="preserve">利润P0</t>
  </si>
  <si>
    <t xml:space="preserve">回款扣点</t>
  </si>
  <si>
    <t xml:space="preserve">广告费占比</t>
  </si>
  <si>
    <t xml:space="preserve">广告费</t>
  </si>
  <si>
    <t xml:space="preserve">活动促销比例</t>
  </si>
  <si>
    <t xml:space="preserve">活动促销/美金</t>
  </si>
  <si>
    <t xml:space="preserve">最低活动价/美金</t>
  </si>
  <si>
    <t xml:space="preserve">利润P3</t>
  </si>
  <si>
    <t xml:space="preserve">P1--VC</t>
  </si>
  <si>
    <t xml:space="preserve">P1--SC</t>
  </si>
  <si>
    <t xml:space="preserve">P3对应的投资回报率=P3/国内成本</t>
  </si>
  <si>
    <t xml:space="preserve">国内成本占比</t>
  </si>
  <si>
    <t xml:space="preserve">一期回款金额70%/美金</t>
  </si>
  <si>
    <t xml:space="preserve">一期回款毛利P2=回款-国内总成本-海外仓费用</t>
  </si>
  <si>
    <t xml:space="preserve">一期回款比例=一期回款/商品成本</t>
  </si>
  <si>
    <t xml:space="preserve">一期回款比例=一期回款/（国内+海外仓）</t>
  </si>
  <si>
    <t xml:space="preserve">一期投资回报=70^%部分的毛利/成本</t>
  </si>
  <si>
    <t xml:space="preserve">营销费/cost</t>
  </si>
  <si>
    <t xml:space="preserve">精油香薰灯</t>
  </si>
  <si>
    <t xml:space="preserve">SC站内推广</t>
  </si>
  <si>
    <t xml:space="preserve">国家</t>
  </si>
  <si>
    <t xml:space="preserve">有无VAT</t>
  </si>
  <si>
    <t xml:space="preserve">成本价(0边利)</t>
  </si>
  <si>
    <t xml:space="preserve">建议价(20%边利)</t>
  </si>
  <si>
    <t xml:space="preserve">实际定价</t>
  </si>
  <si>
    <t xml:space="preserve">FBA Fee</t>
  </si>
  <si>
    <t xml:space="preserve">佣金比例</t>
  </si>
  <si>
    <t xml:space="preserve">VAT</t>
  </si>
  <si>
    <t xml:space="preserve">预估退货率</t>
  </si>
  <si>
    <t xml:space="preserve">推广费率</t>
  </si>
  <si>
    <t xml:space="preserve">FBA仓储费</t>
  </si>
  <si>
    <t xml:space="preserve">其他费用</t>
  </si>
  <si>
    <t xml:space="preserve">长</t>
  </si>
  <si>
    <t xml:space="preserve">宽</t>
  </si>
  <si>
    <t xml:space="preserve">高</t>
  </si>
  <si>
    <t xml:space="preserve">包装后实重</t>
  </si>
  <si>
    <t xml:space="preserve">体积重</t>
  </si>
  <si>
    <t xml:space="preserve">计费重</t>
  </si>
  <si>
    <t xml:space="preserve">运输方式</t>
  </si>
  <si>
    <t xml:space="preserve">运费单价</t>
  </si>
  <si>
    <t xml:space="preserve">运费</t>
  </si>
  <si>
    <t xml:space="preserve">利润/USD</t>
  </si>
  <si>
    <t xml:space="preserve">利润率</t>
  </si>
  <si>
    <t/>
    <r>
      <rPr>
        <b val="false"/>
        <i val="false"/>
        <strike val="false"/>
        <sz val="9"/>
        <color rgb="FF000000"/>
      </rPr>
      <t>精油香薰灯</t>
    </r>
    <r>
      <rPr>
        <b val="false"/>
        <i val="false"/>
        <strike val="false"/>
        <sz val="9"/>
        <color rgb="FFFF0000"/>
      </rPr>
      <t>日常价</t>
    </r>
  </si>
  <si>
    <t xml:space="preserve">US</t>
  </si>
  <si>
    <t xml:space="preserve">无</t>
  </si>
  <si>
    <t xml:space="preserve">海运</t>
  </si>
  <si>
    <t/>
    <r>
      <rPr>
        <b val="false"/>
        <i val="false"/>
        <strike val="false"/>
        <sz val="9"/>
        <color rgb="FF000000"/>
      </rPr>
      <t>精油香薰灯</t>
    </r>
    <r>
      <rPr>
        <b val="false"/>
        <i val="false"/>
        <strike val="false"/>
        <sz val="9"/>
        <color rgb="FFFF0000"/>
      </rPr>
      <t>活动价</t>
    </r>
  </si>
  <si>
    <t/>
    <r>
      <rPr>
        <b val="false"/>
        <i val="false"/>
        <strike val="false"/>
        <sz val="9"/>
        <color rgb="FF1F2329"/>
      </rPr>
      <t>竞对</t>
    </r>
    <r>
      <rPr>
        <b val="false"/>
        <i val="false"/>
        <strike val="false"/>
        <sz val="9"/>
        <color rgb="FFFF0000"/>
      </rPr>
      <t>日常价</t>
    </r>
  </si>
  <si>
    <t/>
    <r>
      <rPr>
        <b val="false"/>
        <i val="false"/>
        <strike val="false"/>
        <sz val="9"/>
        <color rgb="FF1F2329"/>
      </rPr>
      <t>竞对活动</t>
    </r>
    <r>
      <rPr>
        <b val="false"/>
        <i val="false"/>
        <strike val="false"/>
        <sz val="9"/>
        <color rgb="FFFF0000"/>
      </rPr>
      <t>价</t>
    </r>
  </si>
  <si>
    <t xml:space="preserve">站外推广</t>
  </si>
  <si>
    <t xml:space="preserve">折扣力度</t>
  </si>
  <si>
    <t xml:space="preserve">竞对</t>
  </si>
  <si>
    <t xml:space="preserve">Woot</t>
  </si>
  <si>
    <t xml:space="preserve">利润/RMB</t>
  </si>
  <si>
    <t xml:space="preserve">Woot利润率</t>
  </si>
  <si>
    <t xml:space="preserve">活动价格</t>
  </si>
  <si>
    <t/>
    <r>
      <rPr>
        <b val="true"/>
        <i val="false"/>
        <strike val="false"/>
        <sz val="12"/>
        <color rgb="FF000000"/>
      </rPr>
      <t>里程碑</t>
    </r>
    <r>
      <rPr>
        <b val="true"/>
        <i val="false"/>
        <strike val="false"/>
        <sz val="9"/>
        <color rgb="FF000000"/>
      </rPr>
      <t>（以美金核算）</t>
    </r>
  </si>
  <si>
    <t/>
    <r>
      <rPr>
        <b val="true"/>
        <i val="false"/>
        <strike val="false"/>
        <sz val="9"/>
        <color rgb="FF000000"/>
      </rPr>
      <t>第一阶段（SC推广为主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</si>
  <si>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第二阶段（ po在途，SC/VC过渡期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</si>
  <si>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第三阶段（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</si>
  <si>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第四阶段（ 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 xml:space="preserve">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</si>
  <si>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第五阶段（ 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 xml:space="preserve">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</si>
  <si>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/>
    <r>
      <rPr>
        <b val="true"/>
        <i val="false"/>
        <strike val="false"/>
        <sz val="9"/>
        <color rgb="FF000000"/>
      </rPr>
      <t xml:space="preserve">第六阶段（  VC主推 BD活动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 xml:space="preserve"> </t>
    </r>
    <r>
      <rPr>
        <b val="true"/>
        <i val="false"/>
        <strike val="false"/>
        <sz val="9"/>
        <color rgb="FF000000"/>
      </rPr>
      <t>‎</t>
    </r>
    <r>
      <rPr>
        <b val="true"/>
        <i val="false"/>
        <strike val="false"/>
        <sz val="9"/>
        <color rgb="FF000000"/>
      </rPr>
      <t>）</t>
    </r>
  </si>
  <si>
    <t xml:space="preserve">注意事项</t>
  </si>
  <si>
    <t xml:space="preserve">1. 此阶段为SC售卖，主要目的为完善listing基本面，同时刺激销量来PO单；
2. SC根据推广计划表备足1个月库存，同时VC根据预测销量8周备货量分批次发往海外仓；
3. SC根据以目标为主的运营端流程完善基本面，包括前期评论布局，关键词库建立，网红视频等；
4. 根据推广计划制定营销策略，以达到目标单量从而刺激VCPO来单；
5. 预估VC上架时间，提前至少23天提报BD，一次性把能报的都报上，后续可随时取消和调整；</t>
  </si>
  <si>
    <t xml:space="preserve">1. 后台关注货件入海外仓时间，提前预约入库，提醒仓库人员上架；
2. 一旦入库上架成功，及时通知Spotter业务开启PO接单；
3. 每周一和每周四关注PO来单情况，确认可用库存，24h内完成接单；
4. 关注货件实际提货时间，及实际运输时长及到仓时间；
5. VCPO库存一旦入仓，就会抢走SC购物车，但此时前台处于预售阶段，会影响转化，SC可尝试适当降低价格抢回购物车，降级幅度不得低于VC活动价；
6. 若第一周未来PO单，可同步创建手动订单刺激来PO，注意手动订单上架77天内未卖完会有罚款；</t>
  </si>
  <si>
    <t xml:space="preserve">1. 切换购物车到VC，重新在广告子账号开广告推广，由于广告权重清零，这期间广告效果波动较大，需要盯紧广告预算和转化，尽快调整到稳定的状态；
2. 现在BD时长为28天，中间间隔3天，然后又是28天BD，BD价格为报价的90%（大促及节假日折扣要求为85%）；
3. 根据销量预测，PO来单及现有库存情况及时补货；
4. SC库存保留半个月左右库存，在秒杀间隔期根据库存情况及时调整购物车，或及时从海外仓补货到FBA仓；
5. 关注库存转运及其他导致库存不可售等异常情况；</t>
  </si>
  <si>
    <t xml:space="preserve">1. 持续关注海外仓，VC亚马逊仓，国内到海外仓在途，海外仓到VC亚马逊仓在途库存情况，及时补货保证能接PO单，随时准备发手动订单刺激和补货PO库存；
2. 持续调整广告效果，保证VC亚马逊销量预测持续走高，保证PO单持续不断；
3. 关注库存转运及其他导致库存不可售等异常情况；
4. 关注链接BD状态，变体合并情况导致链接异常；
5. 因为转VC后，售后问题由亚马逊官方负责，需要持续关注客诉问题和每月退货情况变化，防止链接被下架；</t>
  </si>
  <si>
    <t xml:space="preserve">销售周期</t>
  </si>
  <si>
    <t xml:space="preserve">第一周</t>
  </si>
  <si>
    <t xml:space="preserve">第二周</t>
  </si>
  <si>
    <t xml:space="preserve">第三周</t>
  </si>
  <si>
    <t xml:space="preserve">第四周</t>
  </si>
  <si>
    <t xml:space="preserve">具体时间</t>
  </si>
  <si>
    <t xml:space="preserve">日期（自填）</t>
  </si>
  <si>
    <t xml:space="preserve">12.19-12.25</t>
  </si>
  <si>
    <t xml:space="preserve">12.26-01.01</t>
  </si>
  <si>
    <t xml:space="preserve">01.02-01.08</t>
  </si>
  <si>
    <t xml:space="preserve">01.09-01.15</t>
  </si>
  <si>
    <t xml:space="preserve">01.15-01.21</t>
  </si>
  <si>
    <t xml:space="preserve">01.22-01.28</t>
  </si>
  <si>
    <t xml:space="preserve">01.29-02.04</t>
  </si>
  <si>
    <t xml:space="preserve">02.05-02.11</t>
  </si>
  <si>
    <t xml:space="preserve">02.12-02.18</t>
  </si>
  <si>
    <t xml:space="preserve">02.19-02.25</t>
  </si>
  <si>
    <t xml:space="preserve">02.26-03.04</t>
  </si>
  <si>
    <t xml:space="preserve">03.05-03.11</t>
  </si>
  <si>
    <t xml:space="preserve">目标竞对</t>
  </si>
  <si>
    <t/>
    <r>
      <rPr>
        <b val="true"/>
        <i val="false"/>
        <strike val="false"/>
        <sz val="9"/>
        <color rgb="FF000000"/>
      </rPr>
      <t xml:space="preserve">竞对综合信息(附
上链接)</t>
    </r>
    <r>
      <rPr>
        <b val="true"/>
        <i val="false"/>
        <strike val="false"/>
        <sz val="9"/>
        <color rgb="FF380D82"/>
      </rPr>
      <t>（自填）</t>
    </r>
  </si>
  <si>
    <t/>
    <r>
      <rPr>
        <b val="false"/>
        <i val="false"/>
        <strike val="false"/>
        <u val="single"/>
        <sz val="9"/>
        <color theme="10"/>
      </rPr>
      <t xml:space="preserve">1. 竞对第一个月销量为200单；
</t>
    </r>
    <r>
      <rPr>
        <b val="false"/>
        <i val="false"/>
        <strike val="false"/>
        <u val="single"/>
        <sz val="9"/>
        <color theme="10"/>
      </rPr>
      <t xml:space="preserve">2. 竞对第一个月结束时排名从500名到200名；
</t>
    </r>
    <r>
      <rPr>
        <b val="false"/>
        <i val="false"/>
        <strike val="false"/>
        <u val="single"/>
        <sz val="9"/>
        <color theme="10"/>
      </rPr>
      <t xml:space="preserve">3. 竞对第一个月站外效果较好，比较依赖站外，站外效果2-3倍增长，20以内价格可达80单或破百；
</t>
    </r>
    <r>
      <rPr>
        <b val="false"/>
        <i val="false"/>
        <strike val="false"/>
        <u val="single"/>
        <sz val="9"/>
        <color theme="10"/>
      </rPr>
      <t xml:space="preserve">4. 竞对秒杀活动期间活动期间销量提升约1.5倍；
</t>
    </r>
    <r>
      <rPr>
        <b val="false"/>
        <i val="false"/>
        <strike val="false"/>
        <u val="single"/>
        <sz val="9"/>
        <color theme="10"/>
      </rPr>
      <t xml:space="preserve">5. 竞对链接：</t>
    </r>
    <r>
      <rPr>
        <b val="false"/>
        <i val="false"/>
        <strike val="false"/>
        <u val="single"/>
        <sz val="9"/>
        <color theme="10"/>
      </rPr>
      <t>www.amazon.com/dp/B0D6XT3121</t>
    </r>
  </si>
  <si>
    <t xml:space="preserve">1. 竞对第2个月销量为300单；
2. 竞对第2个月结束时排名从200名到150名；
3. 竞对第2个月站外效果较好，比较依赖站外；
4. 竞对秒杀活动期间活动期间销量提升约1.5倍；
5. 竞对链接：www.amazon.com/dp/B0D6XT3121</t>
  </si>
  <si>
    <t xml:space="preserve">1. 竞对第3个月销量为400单；
2. 竞对第3个月结束时排名从180名到140名；
3. 竞对第3个月站外效果较好，比较依赖站外；
4. 竞对秒杀活动期间活动期间销量提升约1.5倍；
5. 竞对链接：www.amazon.com/dp/B0D6XT3121</t>
  </si>
  <si>
    <t xml:space="preserve">1. 竞对第4个月销量为600单；
2. 竞对第4个月结束时排名从140名到100名；
3. 竞对第4个月站外效果较好，比较依赖站外；
4. 竞对秒杀活动期间活动期间销量提升约1.5倍；
5. 竞对链接：www.amazon.com/dp/B0D6XT3121</t>
  </si>
  <si>
    <t xml:space="preserve">1. 竞对第5个月销量为800单；
2. 竞对第5个月结束时排名从100名到60名；
3. 竞对第5个月站外效果较好，比较依赖站外；
4. 竞对秒杀活动期间活动期间销量提升约1.5倍；
5. 竞对链接：www.amazon.com/dp/B0D6XT3121</t>
  </si>
  <si>
    <t xml:space="preserve">1. 竞对第6个月销量为1000单；
2. 竞对第6个月结束时排名从70名到50名；
3. 竞对第6个月站外效果较好，比较依赖站外；
4. 竞对秒杀活动期间活动期间销量提升约1.5倍；
5. 竞对链接：www.amazon.com/dp/B0D6XT3121</t>
  </si>
  <si>
    <t xml:space="preserve">售价</t>
  </si>
  <si>
    <t/>
    <r>
      <rPr>
        <b val="true"/>
        <i val="false"/>
        <strike val="false"/>
        <sz val="9"/>
        <color rgb="FF000000"/>
      </rPr>
      <t>销售定价（日常价）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</si>
  <si>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活动价/促销价</t>
    </r>
    <r>
      <rPr>
        <b val="true"/>
        <i val="false"/>
        <strike val="false"/>
        <sz val="9"/>
        <color rgb="FF7030A0"/>
      </rPr>
      <t>（自填）</t>
    </r>
  </si>
  <si>
    <t xml:space="preserve">\</t>
  </si>
  <si>
    <t xml:space="preserve">产品排名</t>
  </si>
  <si>
    <t/>
    <r>
      <rPr>
        <b val="true"/>
        <i val="false"/>
        <strike val="false"/>
        <sz val="9"/>
        <color rgb="FF000000"/>
      </rPr>
      <t>目标排名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</si>
  <si>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实际排名(取周均值)</t>
    </r>
    <r>
      <rPr>
        <b val="true"/>
        <i val="false"/>
        <strike val="false"/>
        <sz val="9"/>
        <color rgb="FF7030A0"/>
      </rPr>
      <t>（自填）</t>
    </r>
  </si>
  <si>
    <t xml:space="preserve">销量</t>
  </si>
  <si>
    <t/>
    <r>
      <rPr>
        <b val="true"/>
        <i val="false"/>
        <strike val="false"/>
        <sz val="9"/>
        <color rgb="FF000000"/>
      </rPr>
      <t>目标总销售额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</si>
  <si>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实际总销售额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</si>
  <si>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目标总销量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</si>
  <si>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实际总销量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</si>
  <si>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目标日均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</si>
  <si>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实际日均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</si>
  <si>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预计PO单量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</si>
  <si>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实际PO单量</t>
    </r>
    <r>
      <rPr>
        <b val="true"/>
        <i val="false"/>
        <strike val="false"/>
        <sz val="9"/>
        <color rgb="FF7030A0"/>
      </rPr>
      <t>（自填）</t>
    </r>
  </si>
  <si>
    <t xml:space="preserve">利润率</t>
  </si>
  <si>
    <t/>
    <r>
      <rPr>
        <b val="true"/>
        <i val="false"/>
        <strike val="false"/>
        <sz val="9"/>
        <color rgb="FF000000"/>
      </rPr>
      <t>目标利润额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</si>
  <si>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实际利润额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</si>
  <si>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目标利润率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</si>
  <si>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实际利润率</t>
    </r>
    <r>
      <rPr>
        <b val="true"/>
        <i val="false"/>
        <strike val="false"/>
        <sz val="9"/>
        <color rgb="FFC00000"/>
      </rPr>
      <t>（公式）</t>
    </r>
  </si>
  <si>
    <t xml:space="preserve">营销推广</t>
  </si>
  <si>
    <t/>
    <r>
      <rPr>
        <b val="true"/>
        <i val="false"/>
        <strike val="false"/>
        <sz val="9"/>
        <color rgb="FF000000"/>
      </rPr>
      <t>预计广告花费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</si>
  <si>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实际广告花费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</si>
  <si>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预计站外推广花费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</si>
  <si>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实际站外推广花费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</si>
  <si>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预计其他辅助花费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</si>
  <si>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实际其他辅助花费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</si>
  <si>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预计所有营销费用汇总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</si>
  <si>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预计所有营销费用占比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</si>
  <si>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实际所有营销费用汇总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</si>
  <si>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实际所有营销费用占比</t>
    </r>
    <r>
      <rPr>
        <b val="true"/>
        <i val="false"/>
        <strike val="false"/>
        <sz val="9"/>
        <color rgb="FFC00000"/>
      </rPr>
      <t>（公式）</t>
    </r>
  </si>
  <si>
    <t xml:space="preserve">成本中心</t>
  </si>
  <si>
    <t/>
    <r>
      <rPr>
        <b val="true"/>
        <i val="false"/>
        <strike val="false"/>
        <sz val="9"/>
        <color rgb="FF000000"/>
      </rPr>
      <t>预计产品成本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</si>
  <si>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预计产品成本占比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</si>
  <si>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实际产品成本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</si>
  <si>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预计物流成本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</si>
  <si>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实际物流成本</t>
    </r>
    <r>
      <rPr>
        <b val="true"/>
        <i val="false"/>
        <strike val="false"/>
        <sz val="9"/>
        <color rgb="FF0070C0"/>
      </rPr>
      <t>（半公式）</t>
    </r>
  </si>
  <si>
    <t/>
    <r>
      <rPr>
        <b val="true"/>
        <i val="false"/>
        <strike val="false"/>
        <sz val="9"/>
        <color rgb="FF000000"/>
      </rPr>
      <t>预计物流成本占比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</si>
  <si>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预计固定成本</t>
    </r>
    <r>
      <rPr>
        <b val="true"/>
        <i val="false"/>
        <strike val="false"/>
        <sz val="9"/>
        <color rgb="FF7030A0"/>
      </rPr>
      <t>（自填）</t>
    </r>
  </si>
  <si>
    <t xml:space="preserve">库存</t>
  </si>
  <si>
    <t/>
    <r>
      <rPr>
        <b val="true"/>
        <i val="false"/>
        <strike val="false"/>
        <sz val="9"/>
        <color rgb="FF000000"/>
      </rPr>
      <t xml:space="preserve">周总库存盘点
</t>
    </r>
    <r>
      <rPr>
        <b val="true"/>
        <i val="false"/>
        <strike val="false"/>
        <sz val="9"/>
        <color rgb="FF7030A0"/>
      </rPr>
      <t>（自填）</t>
    </r>
  </si>
  <si>
    <t/>
    <r>
      <rPr>
        <b val="true"/>
        <i val="false"/>
        <strike val="false"/>
        <sz val="9"/>
        <color rgb="FF000000"/>
      </rPr>
      <t>总库存资金</t>
    </r>
    <r>
      <rPr>
        <b val="true"/>
        <i val="false"/>
        <strike val="false"/>
        <sz val="9"/>
        <color rgb="FF7030A0"/>
      </rPr>
      <t>（自填）</t>
    </r>
  </si>
  <si>
    <t xml:space="preserve">总预算</t>
  </si>
  <si>
    <t/>
    <r>
      <rPr>
        <b val="true"/>
        <i val="false"/>
        <strike val="false"/>
        <sz val="9"/>
        <color rgb="FF000000"/>
      </rPr>
      <t>预计资金占用</t>
    </r>
    <r>
      <rPr>
        <b val="true"/>
        <i val="false"/>
        <strike val="false"/>
        <sz val="9"/>
        <color rgb="FFC00000"/>
      </rPr>
      <t>（公式）</t>
    </r>
  </si>
  <si>
    <t/>
    <r>
      <rPr>
        <b val="true"/>
        <i val="false"/>
        <strike val="false"/>
        <sz val="9"/>
        <color rgb="FF000000"/>
      </rPr>
      <t>实际资金占用</t>
    </r>
    <r>
      <rPr>
        <b val="true"/>
        <i val="false"/>
        <strike val="false"/>
        <sz val="9"/>
        <color rgb="FFC00000"/>
      </rPr>
      <t>（公式）</t>
    </r>
  </si>
  <si>
    <t xml:space="preserve">时间</t>
  </si>
  <si>
    <t xml:space="preserve">星期</t>
  </si>
  <si>
    <t xml:space="preserve">工作内容</t>
  </si>
  <si>
    <t xml:space="preserve">售价</t>
  </si>
  <si>
    <t xml:space="preserve">PD</t>
  </si>
  <si>
    <t xml:space="preserve">CP</t>
  </si>
  <si>
    <t xml:space="preserve">最低
成交价</t>
  </si>
  <si>
    <t xml:space="preserve">SC最低
成交价毛利率</t>
  </si>
  <si>
    <t xml:space="preserve">VC采购价毛利率</t>
  </si>
  <si>
    <t xml:space="preserve">移动</t>
  </si>
  <si>
    <t xml:space="preserve">PC</t>
  </si>
  <si>
    <t xml:space="preserve">访问</t>
  </si>
  <si>
    <t xml:space="preserve">总转化率</t>
  </si>
  <si>
    <t xml:space="preserve">实际自然订单</t>
  </si>
  <si>
    <t xml:space="preserve">自然订单</t>
  </si>
  <si>
    <t xml:space="preserve">总订单</t>
  </si>
  <si>
    <t xml:space="preserve">测评计划出单</t>
  </si>
  <si>
    <t xml:space="preserve">测评总出单</t>
  </si>
  <si>
    <t xml:space="preserve">测评完成率</t>
  </si>
  <si>
    <t xml:space="preserve">Vine</t>
  </si>
  <si>
    <t xml:space="preserve">销售额</t>
  </si>
  <si>
    <t xml:space="preserve">核心词ABA排名</t>
  </si>
  <si>
    <t xml:space="preserve">sif前三页关键词收录数量</t>
  </si>
  <si>
    <t xml:space="preserve">大类排名</t>
  </si>
  <si>
    <t xml:space="preserve">小类排名</t>
  </si>
  <si>
    <t xml:space="preserve">评分</t>
  </si>
  <si>
    <t xml:space="preserve">广告数据</t>
  </si>
  <si>
    <t xml:space="preserve">毛利数据</t>
  </si>
  <si>
    <t xml:space="preserve">站外</t>
  </si>
  <si>
    <t xml:space="preserve">库存监控</t>
  </si>
  <si>
    <t xml:space="preserve">Waterless Essential Oil Diffuser</t>
  </si>
  <si>
    <t xml:space="preserve">waterless diffuser</t>
  </si>
  <si>
    <t xml:space="preserve">waterless oil diffuser</t>
  </si>
  <si>
    <t xml:space="preserve">曝光</t>
  </si>
  <si>
    <t xml:space="preserve">点击</t>
  </si>
  <si>
    <t xml:space="preserve">点击率</t>
  </si>
  <si>
    <t xml:space="preserve">订单</t>
  </si>
  <si>
    <t xml:space="preserve">CPC</t>
  </si>
  <si>
    <t xml:space="preserve">ACOS</t>
  </si>
  <si>
    <t xml:space="preserve">广告转化</t>
  </si>
  <si>
    <t xml:space="preserve">广告订单占比</t>
  </si>
  <si>
    <t xml:space="preserve">花费（$）</t>
  </si>
  <si>
    <t xml:space="preserve">广告花费占比</t>
  </si>
  <si>
    <t xml:space="preserve">CPA</t>
  </si>
  <si>
    <t xml:space="preserve">广告订单毛利P1$</t>
  </si>
  <si>
    <t xml:space="preserve">自然订单毛利P1$</t>
  </si>
  <si>
    <t xml:space="preserve">总订单毛利P1$</t>
  </si>
  <si>
    <t xml:space="preserve">总订单毛利率P1</t>
  </si>
  <si>
    <t xml:space="preserve">国内总成本$</t>
  </si>
  <si>
    <t xml:space="preserve">回款金额</t>
  </si>
  <si>
    <t xml:space="preserve">测评亏损</t>
  </si>
  <si>
    <t xml:space="preserve">站外毛利$</t>
  </si>
  <si>
    <t xml:space="preserve">站外出单</t>
  </si>
  <si>
    <t xml:space="preserve">站外售价</t>
  </si>
  <si>
    <t xml:space="preserve">站外折扣</t>
  </si>
  <si>
    <t xml:space="preserve">自然流量</t>
  </si>
  <si>
    <t xml:space="preserve">自然转化</t>
  </si>
  <si>
    <t xml:space="preserve">VC仓库存</t>
  </si>
  <si>
    <t xml:space="preserve">海外仓库存</t>
  </si>
  <si>
    <t xml:space="preserve">总库存</t>
  </si>
  <si>
    <t xml:space="preserve">VC可用天数</t>
  </si>
  <si>
    <t xml:space="preserve">备注</t>
  </si>
  <si>
    <t xml:space="preserve">四</t>
  </si>
  <si>
    <t xml:space="preserve">设置71.42刷划线价，开启50%站外</t>
  </si>
  <si>
    <t xml:space="preserve">\</t>
  </si>
  <si>
    <t xml:space="preserve">五</t>
  </si>
  <si>
    <t xml:space="preserve">安排周六补发2个绿色，今晚再另外安排3个站外</t>
  </si>
  <si>
    <t xml:space="preserve">六</t>
  </si>
  <si>
    <t xml:space="preserve">首次安排绿色站外，绿色出39单</t>
  </si>
  <si>
    <t xml:space="preserve">日</t>
  </si>
  <si>
    <t xml:space="preserve">绿色出单20，黑色9单</t>
  </si>
  <si>
    <t xml:space="preserve">一</t>
  </si>
  <si>
    <t xml:space="preserve">安排了5单留评单陆续购买，今日留评单1单</t>
  </si>
  <si>
    <t xml:space="preserve">二</t>
  </si>
  <si>
    <t xml:space="preserve">绿色出单10，黑色5单，圣诞期间站外仍有一定效果，虽然会差一些</t>
  </si>
  <si>
    <t xml:space="preserve">三</t>
  </si>
  <si>
    <t xml:space="preserve">绿色6单，黑色4单，今日增加2个站外</t>
  </si>
  <si>
    <t xml:space="preserve">今日刷2单绿色划线价71.42</t>
  </si>
  <si>
    <t xml:space="preserve">今日留评单1单</t>
  </si>
  <si>
    <t xml:space="preserve">新增2站外</t>
  </si>
  <si>
    <t xml:space="preserve">绿色出30%划线价71.42</t>
  </si>
  <si>
    <t xml:space="preserve">今日绿色9单，黑色7单</t>
  </si>
  <si>
    <t xml:space="preserve">新增3家站外</t>
  </si>
  <si>
    <t xml:space="preserve">站外效果差，安排重新补发，需要增加单量</t>
  </si>
  <si>
    <t xml:space="preserve">今日绿色25单，黑色19单</t>
  </si>
  <si>
    <t xml:space="preserve">今日绿色10单，黑色6单</t>
  </si>
  <si>
    <t xml:space="preserve">今日绿色12单，黑色4单</t>
  </si>
  <si>
    <t xml:space="preserve">今日绿色34单，黑色19单</t>
  </si>
  <si>
    <t xml:space="preserve">今日绿色30单，黑色10单</t>
  </si>
  <si>
    <t xml:space="preserve">黑色站外比重增加，今日黑色29，绿色13</t>
  </si>
  <si>
    <t xml:space="preserve">今日黑色33单，绿色24单</t>
  </si>
  <si>
    <t xml:space="preserve">汇总 这一行不编辑，增加行 插入就行 </t>
  </si>
  <si>
    <t xml:space="preserve">周数据</t>
  </si>
  <si>
    <t xml:space="preserve">基础资料</t>
  </si>
  <si>
    <t xml:space="preserve">库存信息</t>
  </si>
  <si>
    <t xml:space="preserve">备货量参考数据</t>
  </si>
  <si>
    <t xml:space="preserve">发货需求</t>
  </si>
  <si>
    <t xml:space="preserve">申请备货日期</t>
  </si>
  <si>
    <t xml:space="preserve">账号</t>
  </si>
  <si>
    <t xml:space="preserve">站点</t>
  </si>
  <si>
    <t xml:space="preserve">Asin</t>
  </si>
  <si>
    <t xml:space="preserve">系统SKU</t>
  </si>
  <si>
    <t xml:space="preserve">产品中文名</t>
  </si>
  <si>
    <t xml:space="preserve">产品定位</t>
  </si>
  <si>
    <t xml:space="preserve">采购价</t>
  </si>
  <si>
    <t xml:space="preserve">工厂余货（采购中）</t>
  </si>
  <si>
    <t xml:space="preserve">VC在途数量</t>
  </si>
  <si>
    <t xml:space="preserve">海外仓库存数量</t>
  </si>
  <si>
    <t xml:space="preserve">VC亚马逊仓数量</t>
  </si>
  <si>
    <t xml:space="preserve">总库存数量</t>
  </si>
  <si>
    <t xml:space="preserve">一周销量</t>
  </si>
  <si>
    <t xml:space="preserve">两周销量</t>
  </si>
  <si>
    <t xml:space="preserve">当月销量</t>
  </si>
  <si>
    <t xml:space="preserve">当下在售产品的利润率</t>
  </si>
  <si>
    <t xml:space="preserve">产品退款率</t>
  </si>
  <si>
    <t xml:space="preserve">加权销量（日均）</t>
  </si>
  <si>
    <t xml:space="preserve">根据历史数据该产品到货时间段的销量预估（平均/天）</t>
  </si>
  <si>
    <t xml:space="preserve">运输方式</t>
  </si>
  <si>
    <t xml:space="preserve">接收仓</t>
  </si>
  <si>
    <t xml:space="preserve">预计发货时间</t>
  </si>
  <si>
    <t xml:space="preserve">预计到货时间</t>
  </si>
  <si>
    <t xml:space="preserve">运输时间</t>
  </si>
  <si>
    <t xml:space="preserve">采购天数</t>
  </si>
  <si>
    <t xml:space="preserve">上架天数</t>
  </si>
  <si>
    <t xml:space="preserve">安全天数</t>
  </si>
  <si>
    <t xml:space="preserve">在途+在库可售天数</t>
  </si>
  <si>
    <t xml:space="preserve">本次备货可售天数</t>
  </si>
  <si>
    <t xml:space="preserve">备货的合理性</t>
  </si>
  <si>
    <t xml:space="preserve">建议备货数量</t>
  </si>
  <si>
    <t xml:space="preserve">申请备货数量</t>
  </si>
  <si>
    <t xml:space="preserve">申请备货总金额</t>
  </si>
  <si>
    <t xml:space="preserve">历史是否申请过折扣 清库等</t>
  </si>
  <si>
    <t xml:space="preserve">店铺库容</t>
  </si>
  <si>
    <t xml:space="preserve">最终备货数量</t>
  </si>
  <si>
    <t xml:space="preserve">最终的备货金额</t>
  </si>
  <si>
    <t xml:space="preserve">备注</t>
  </si>
  <si>
    <t xml:space="preserve">发货计划（写清楚什么阶段发多少货走什么渠道，一次备货需在一个月内发完）</t>
  </si>
  <si>
    <t xml:space="preserve">VC</t>
  </si>
  <si>
    <t xml:space="preserve">US</t>
  </si>
  <si>
    <t xml:space="preserve">B0DGXLP99T</t>
  </si>
  <si>
    <t xml:space="preserve">HOME-BLT-BX6-US</t>
  </si>
  <si>
    <t xml:space="preserve">精油香薰灯</t>
  </si>
  <si>
    <t xml:space="preserve">战略款</t>
  </si>
  <si>
    <t xml:space="preserve">慢船</t>
  </si>
  <si>
    <t xml:space="preserve">直发海外仓</t>
  </si>
  <si>
    <t xml:space="preserve">否</t>
  </si>
  <si>
    <t xml:space="preserve">-</t>
  </si>
  <si>
    <t xml:space="preserve">计划10.25发货252个慢船，预计11.24到海外仓；（现有库存）
计划11.08发货540个慢船，预计12.10到海外仓；
计划11.14发货540个慢船，预计12.17到海外仓；
</t>
  </si>
  <si>
    <t xml:space="preserve">FBA在途数量</t>
  </si>
  <si>
    <t xml:space="preserve">FBA在库数量</t>
  </si>
  <si>
    <t xml:space="preserve">第三方海外仓数量</t>
  </si>
  <si>
    <t/>
    <r>
      <rPr>
        <b val="false"/>
        <i val="false"/>
        <strike val="false"/>
        <sz val="9"/>
        <color rgb="FF000000"/>
      </rPr>
      <t>发货需求（分别在什么时间段发走多少数量</t>
    </r>
    <r>
      <rPr>
        <b val="false"/>
        <i val="false"/>
        <strike val="false"/>
        <sz val="9"/>
        <color rgb="FFFF0000"/>
      </rPr>
      <t>）/</t>
    </r>
    <r>
      <rPr>
        <b val="true"/>
        <i val="false"/>
        <strike val="false"/>
        <sz val="9"/>
        <color rgb="FFFF0000"/>
      </rPr>
      <t>考虑旺季三倍仓租</t>
    </r>
  </si>
  <si>
    <t xml:space="preserve">SC</t>
  </si>
  <si>
    <t xml:space="preserve">发FBA仓</t>
  </si>
  <si>
    <t xml:space="preserve">计划10.25发货216个慢船，预计11.24到FBA仓；（现有库存）
计划11.08发货300个慢船，预计12.10到FBA仓；</t>
  </si>
  <si>
    <t xml:space="preserve">时间</t>
  </si>
  <si>
    <t xml:space="preserve">VCSKU</t>
  </si>
  <si>
    <t xml:space="preserve">产品名称</t>
  </si>
  <si>
    <t xml:space="preserve">采购</t>
  </si>
  <si>
    <t xml:space="preserve">PO出货</t>
  </si>
  <si>
    <t xml:space="preserve">VC销售</t>
  </si>
  <si>
    <t xml:space="preserve">多渠道出货</t>
  </si>
  <si>
    <t xml:space="preserve">云仓结存</t>
  </si>
  <si>
    <t xml:space="preserve">VC仓结存</t>
  </si>
  <si>
    <t xml:space="preserve">在途</t>
  </si>
  <si>
    <t xml:space="preserve">在途周转周</t>
  </si>
  <si>
    <t xml:space="preserve">运营端</t>
  </si>
  <si>
    <t xml:space="preserve">PO端-实际接单</t>
  </si>
  <si>
    <t xml:space="preserve">预估PO单</t>
  </si>
  <si>
    <t xml:space="preserve">合计周转天数</t>
  </si>
  <si>
    <t xml:space="preserve">渠道天数</t>
  </si>
  <si>
    <t xml:space="preserve">库存是否正常</t>
  </si>
  <si>
    <t xml:space="preserve">7天</t>
  </si>
  <si>
    <t xml:space="preserve">14天</t>
  </si>
  <si>
    <t xml:space="preserve">30天</t>
  </si>
  <si>
    <t xml:space="preserve">日均销量</t>
  </si>
  <si>
    <t xml:space="preserve">可售周转天数</t>
  </si>
  <si>
    <t xml:space="preserve">周均销量</t>
  </si>
  <si>
    <t xml:space="preserve">可售周转周</t>
  </si>
  <si>
    <t xml:space="preserve">预计来PO单</t>
  </si>
  <si>
    <t xml:space="preserve">加权预估PO单</t>
  </si>
  <si>
    <t xml:space="preserve">国内到海外仓天数</t>
  </si>
  <si>
    <t xml:space="preserve">海外仓到VC仓天数</t>
  </si>
  <si>
    <t xml:space="preserve">安全天数</t>
  </si>
  <si>
    <t xml:space="preserve">00131-1610-0740</t>
  </si>
  <si>
    <t xml:space="preserve">车载香薰机</t>
  </si>
  <si>
    <t xml:space="preserve">站外计划出单节奏</t>
  </si>
  <si>
    <t xml:space="preserve">时间</t>
  </si>
  <si>
    <t xml:space="preserve">服务商</t>
  </si>
  <si>
    <t xml:space="preserve">周四</t>
  </si>
  <si>
    <t xml:space="preserve">周五</t>
  </si>
  <si>
    <t xml:space="preserve">周六</t>
  </si>
  <si>
    <t xml:space="preserve">周天</t>
  </si>
  <si>
    <t xml:space="preserve">周一</t>
  </si>
  <si>
    <t xml:space="preserve">周二</t>
  </si>
  <si>
    <t xml:space="preserve">周三</t>
  </si>
  <si>
    <t xml:space="preserve">A出单量</t>
  </si>
  <si>
    <t xml:space="preserve">B出单量</t>
  </si>
  <si>
    <t xml:space="preserve">C出单量</t>
  </si>
  <si>
    <t xml:space="preserve">D出单量</t>
  </si>
  <si>
    <t xml:space="preserve">E出单量</t>
  </si>
  <si>
    <t xml:space="preserve">F出单量</t>
  </si>
  <si>
    <t xml:space="preserve">G出单量</t>
  </si>
  <si>
    <t xml:space="preserve">汇总出单量</t>
  </si>
  <si>
    <t xml:space="preserve">站外投放实际出单节奏</t>
  </si>
  <si>
    <t xml:space="preserve">计划刷单节奏跟进表</t>
  </si>
  <si>
    <t xml:space="preserve">时间</t>
  </si>
  <si>
    <t xml:space="preserve">指标</t>
  </si>
  <si>
    <t xml:space="preserve">周五</t>
  </si>
  <si>
    <t xml:space="preserve">周六</t>
  </si>
  <si>
    <t xml:space="preserve">周天</t>
  </si>
  <si>
    <t xml:space="preserve">周一</t>
  </si>
  <si>
    <t xml:space="preserve">周二</t>
  </si>
  <si>
    <t xml:space="preserve">周三</t>
  </si>
  <si>
    <t xml:space="preserve">周四</t>
  </si>
  <si>
    <t xml:space="preserve">计划刷单数量</t>
  </si>
  <si>
    <t xml:space="preserve">实际刷单数量</t>
  </si>
  <si>
    <t xml:space="preserve">竞对转化率</t>
  </si>
  <si>
    <t xml:space="preserve">类目转化率</t>
  </si>
  <si>
    <t xml:space="preserve">目标转化率</t>
  </si>
  <si>
    <t xml:space="preserve">实际转化率</t>
  </si>
  <si>
    <t xml:space="preserve">是否需要补单</t>
  </si>
  <si>
    <t xml:space="preserve">计划刷单节奏跟进表</t>
  </si>
  <si>
    <t xml:space="preserve">时间</t>
  </si>
  <si>
    <t xml:space="preserve">指标</t>
  </si>
  <si>
    <t xml:space="preserve">周五</t>
  </si>
  <si>
    <t xml:space="preserve">周六</t>
  </si>
  <si>
    <t xml:space="preserve">周天</t>
  </si>
  <si>
    <t xml:space="preserve">周一</t>
  </si>
  <si>
    <t xml:space="preserve">周二</t>
  </si>
  <si>
    <t xml:space="preserve">周三</t>
  </si>
  <si>
    <t xml:space="preserve">周四</t>
  </si>
  <si>
    <t xml:space="preserve">计划刷单数量</t>
  </si>
  <si>
    <t xml:space="preserve">实际刷单数量</t>
  </si>
  <si>
    <t xml:space="preserve">竞对转化率</t>
  </si>
  <si>
    <t xml:space="preserve">类目转化率</t>
  </si>
  <si>
    <t xml:space="preserve">目标转化率</t>
  </si>
  <si>
    <t xml:space="preserve">实际转化率</t>
  </si>
  <si>
    <t xml:space="preserve">是否需要补单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</si>
</sst>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164" formatCode="0.0%"/>
    <numFmt numFmtId="165" formatCode="#,##0.00"/>
    <numFmt numFmtId="166" formatCode="0.00%"/>
    <numFmt numFmtId="167" formatCode="0.00_);\(0.00\)"/>
    <numFmt numFmtId="168" formatCode="0.00_);[Red]\(0.00\)"/>
    <numFmt numFmtId="169" formatCode="0%"/>
    <numFmt numFmtId="170" formatCode="0.00_ "/>
    <numFmt numFmtId="171" formatCode="m&quot;月&quot;d&quot;日&quot;"/>
    <numFmt numFmtId="172" formatCode="\$#,##0.00;\-\$#,##0.00"/>
    <numFmt numFmtId="173" formatCode="0_ "/>
    <numFmt numFmtId="174" formatCode="0.00%"/>
    <numFmt numFmtId="175" formatCode="0"/>
    <numFmt numFmtId="176" formatCode="0.00_ "/>
    <numFmt numFmtId="177" formatCode="m&quot;月&quot;d&quot;日&quot;;@"/>
    <numFmt numFmtId="178" formatCode="0_);[Red]\(0\)"/>
    <numFmt numFmtId="179" formatCode="0.0%"/>
    <numFmt numFmtId="180" formatCode="0.00%"/>
    <numFmt numFmtId="181" formatCode="0_ "/>
    <numFmt numFmtId="182" formatCode="0%"/>
    <numFmt numFmtId="183" formatCode="0.00_ "/>
    <numFmt numFmtId="184" formatCode="0.00_);\(0.00\)"/>
    <numFmt numFmtId="185" formatCode="\$#,##0.00;\-\$#,##0.00"/>
    <numFmt numFmtId="186" formatCode="0.00_);[Red]\(0.00\)"/>
    <numFmt numFmtId="187" formatCode="#,##0"/>
    <numFmt numFmtId="188" formatCode="0.0"/>
    <numFmt numFmtId="189" formatCode="\$#,##0.00_);[Red]\(\$#,##0.00\)"/>
    <numFmt numFmtId="190" formatCode="#,##0.00"/>
    <numFmt numFmtId="191" formatCode="yyyy&quot;年&quot;m&quot;月&quot;d&quot;日&quot;;@"/>
    <numFmt numFmtId="192" formatCode="yyyy/m/d"/>
    <numFmt numFmtId="193" formatCode="0.00%"/>
    <numFmt numFmtId="194" formatCode="0.00_ "/>
    <numFmt numFmtId="195" formatCode="yyyy&quot;年&quot;m&quot;月&quot;d&quot;日&quot;"/>
    <numFmt numFmtId="196" formatCode="0_ "/>
    <numFmt numFmtId="197" formatCode="m&quot;月&quot;d&quot;日&quot;"/>
    <numFmt numFmtId="198" formatCode="m/d"/>
    <numFmt numFmtId="199" formatCode="m&quot;月&quot;d&quot;日&quot;"/>
    <numFmt numFmtId="200" formatCode="0%"/>
    <numFmt numFmtId="201" formatCode="m&quot;月&quot;d&quot;日&quot;"/>
    <numFmt numFmtId="202" formatCode="0%"/>
  </numFmts>
  <fonts count="23">
    <font>
      <sz val="12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1F2329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b val="true"/>
      <sz val="9"/>
      <color rgb="FF380D82"/>
      <name val="Calibri"/>
      <family val="2"/>
      <scheme val="minor"/>
    </font>
    <font>
      <u val="single"/>
      <sz val="9"/>
      <color rgb="FF0563C1"/>
      <name val="Calibri"/>
      <family val="2"/>
      <scheme val="minor"/>
    </font>
    <font>
      <b val="true"/>
      <sz val="9"/>
      <color rgb="FF7030A0"/>
      <name val="Calibri"/>
      <family val="2"/>
      <scheme val="minor"/>
    </font>
    <font>
      <b val="true"/>
      <sz val="9"/>
      <color rgb="FFC00000"/>
      <name val="Calibri"/>
      <family val="2"/>
      <scheme val="minor"/>
    </font>
    <font>
      <b val="true"/>
      <sz val="9"/>
      <color rgb="FF0070C0"/>
      <name val="Calibri"/>
      <family val="2"/>
      <scheme val="minor"/>
    </font>
    <font>
      <b val="true"/>
      <sz val="9"/>
      <color rgb="FF6425D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FF0000"/>
      <name val="Calibri"/>
      <family val="2"/>
      <scheme val="minor"/>
    </font>
    <font>
      <b val="true"/>
      <sz val="9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u val="single"/>
      <sz val="9"/>
      <color rgb="FFFF0000"/>
      <name val="Calibri"/>
      <family val="2"/>
      <scheme val="minor"/>
    </font>
  </fonts>
  <fills count="4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000"/>
        <bgColor/>
      </patternFill>
    </fill>
    <fill>
      <patternFill patternType="solid">
        <fgColor rgb="FF3A5E21"/>
        <bgColor/>
      </patternFill>
    </fill>
    <fill>
      <patternFill patternType="solid">
        <fgColor rgb="FF7030A0"/>
        <bgColor/>
      </patternFill>
    </fill>
    <fill>
      <patternFill patternType="solid">
        <fgColor rgb="FFC00000"/>
        <bgColor/>
      </patternFill>
    </fill>
    <fill>
      <patternFill patternType="solid">
        <fgColor rgb="FFFFF258"/>
        <bgColor/>
      </patternFill>
    </fill>
    <fill>
      <patternFill patternType="solid">
        <fgColor rgb="FFB3ECE7"/>
        <bgColor/>
      </patternFill>
    </fill>
    <fill>
      <patternFill patternType="solid">
        <fgColor rgb="FFF9DBDE"/>
        <bgColor/>
      </patternFill>
    </fill>
    <fill>
      <patternFill patternType="solid">
        <fgColor rgb="FFB5C7EA"/>
        <bgColor/>
      </patternFill>
    </fill>
    <fill>
      <patternFill patternType="solid">
        <fgColor rgb="FFE3F1D9"/>
        <bgColor/>
      </patternFill>
    </fill>
    <fill>
      <patternFill patternType="solid">
        <fgColor rgb="FFFBE6D5"/>
        <bgColor/>
      </patternFill>
    </fill>
    <fill>
      <patternFill patternType="solid">
        <fgColor rgb="FFAD82F7"/>
        <bgColor/>
      </patternFill>
    </fill>
    <fill>
      <patternFill patternType="solid">
        <fgColor rgb="FFD5F2F0"/>
        <bgColor/>
      </patternFill>
    </fill>
    <fill>
      <patternFill patternType="solid">
        <fgColor rgb="FFE3F1D9"/>
        <bgColor/>
      </patternFill>
    </fill>
    <fill>
      <patternFill patternType="solid">
        <fgColor rgb="FFC7E4B3"/>
        <bgColor/>
      </patternFill>
    </fill>
    <fill>
      <patternFill patternType="solid">
        <fgColor rgb="FF70AD46"/>
        <bgColor/>
      </patternFill>
    </fill>
    <fill>
      <patternFill patternType="solid">
        <fgColor rgb="FFFDEADA"/>
        <bgColor/>
      </patternFill>
    </fill>
    <fill>
      <patternFill patternType="solid">
        <fgColor rgb="FF75BD42"/>
        <bgColor/>
      </patternFill>
    </fill>
    <fill>
      <patternFill patternType="solid">
        <fgColor rgb="FFFFFF00"/>
        <bgColor/>
      </patternFill>
    </fill>
    <fill>
      <patternFill patternType="solid">
        <fgColor rgb="FFACE5E1"/>
        <bgColor/>
      </patternFill>
    </fill>
    <fill>
      <patternFill patternType="solid">
        <fgColor rgb="FFF9DBDE"/>
        <bgColor/>
      </patternFill>
    </fill>
    <fill>
      <patternFill patternType="solid">
        <fgColor rgb="FFFFC000"/>
        <bgColor/>
      </patternFill>
    </fill>
    <fill>
      <patternFill patternType="solid">
        <fgColor rgb="FFECE2FE"/>
        <bgColor/>
      </patternFill>
    </fill>
    <fill>
      <patternFill patternType="solid">
        <fgColor rgb="FFFF0000"/>
        <bgColor/>
      </patternFill>
    </fill>
    <fill>
      <patternFill patternType="solid">
        <fgColor rgb="FFCFCFCF"/>
        <bgColor/>
      </patternFill>
    </fill>
    <fill>
      <patternFill patternType="solid">
        <fgColor rgb="FFACE5E1"/>
        <bgColor/>
      </patternFill>
    </fill>
    <fill>
      <patternFill patternType="solid">
        <fgColor rgb="FFFBE6D5"/>
        <bgColor/>
      </patternFill>
    </fill>
    <fill>
      <patternFill patternType="solid">
        <fgColor rgb="FFF4B7BE"/>
        <bgColor/>
      </patternFill>
    </fill>
    <fill>
      <patternFill patternType="solid">
        <fgColor rgb="FFFFFF00"/>
        <bgColor/>
      </patternFill>
    </fill>
    <fill>
      <patternFill patternType="solid">
        <fgColor rgb="FFB5C7EA"/>
        <bgColor/>
      </patternFill>
    </fill>
    <fill>
      <patternFill patternType="solid">
        <fgColor rgb="FFF2BA02"/>
        <bgColor/>
      </patternFill>
    </fill>
    <fill>
      <patternFill patternType="solid">
        <fgColor rgb="FFE3F1D9"/>
        <bgColor/>
      </patternFill>
    </fill>
    <fill>
      <patternFill patternType="solid">
        <fgColor rgb="FFEE822F"/>
        <bgColor/>
      </patternFill>
    </fill>
    <fill>
      <patternFill patternType="solid">
        <fgColor rgb="FFFFC000"/>
        <bgColor/>
      </patternFill>
    </fill>
    <fill>
      <patternFill patternType="solid">
        <fgColor rgb="FF7030A0"/>
        <bgColor/>
      </patternFill>
    </fill>
    <fill>
      <patternFill patternType="solid">
        <fgColor rgb="FFFFF3CA"/>
        <bgColor/>
      </patternFill>
    </fill>
    <fill>
      <patternFill patternType="solid">
        <fgColor rgb="FFDDC8EF"/>
        <bgColor/>
      </patternFill>
    </fill>
    <fill>
      <patternFill patternType="solid">
        <fgColor rgb="FFFFF3CA"/>
        <bgColor/>
      </patternFill>
    </fill>
    <fill>
      <patternFill patternType="solid">
        <fgColor rgb="FFFFF3CA"/>
        <bgColor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2" numFmtId="0" xfId="0">
      <alignment horizontal="center" vertical="center" wrapText="true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true" applyFont="true" applyNumberFormat="true" applyProtection="false" borderId="1" fillId="3" fontId="2" numFmtId="164" xfId="0">
      <alignment horizontal="center" vertical="center" wrapText="true"/>
    </xf>
    <xf applyAlignment="true" applyBorder="false" applyFill="true" applyFont="true" applyNumberFormat="false" applyProtection="false" borderId="1" fillId="5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true" applyProtection="false" borderId="2" fillId="0" fontId="3" numFmtId="165" xfId="0">
      <alignment horizontal="center" vertical="center" wrapText="true"/>
    </xf>
    <xf applyAlignment="true" applyBorder="false" applyFill="false" applyFont="true" applyNumberFormat="true" applyProtection="false" borderId="2" fillId="0" fontId="3" numFmtId="166" xfId="0">
      <alignment horizontal="center" vertical="center" wrapText="true"/>
    </xf>
    <xf applyAlignment="true" applyBorder="false" applyFill="false" applyFont="true" applyNumberFormat="true" applyProtection="false" borderId="2" fillId="0" fontId="3" numFmtId="167" xfId="0">
      <alignment horizontal="center" vertical="center" wrapText="true"/>
    </xf>
    <xf applyAlignment="true" applyBorder="false" applyFill="false" applyFont="true" applyNumberFormat="true" applyProtection="false" borderId="2" fillId="0" fontId="3" numFmtId="168" xfId="0">
      <alignment horizontal="center" vertical="center" wrapText="true"/>
    </xf>
    <xf applyAlignment="true" applyBorder="false" applyFill="false" applyFont="true" applyNumberFormat="true" applyProtection="false" borderId="2" fillId="0" fontId="3" numFmtId="169" xfId="0">
      <alignment horizontal="center" vertical="center" wrapText="true"/>
    </xf>
    <xf applyAlignment="true" applyBorder="false" applyFill="false" applyFont="true" applyNumberFormat="true" applyProtection="false" borderId="2" fillId="0" fontId="3" numFmtId="170" xfId="0">
      <alignment horizontal="center" vertical="center" wrapText="true"/>
    </xf>
    <xf applyAlignment="true" applyBorder="false" applyFill="true" applyFont="true" applyNumberFormat="true" applyProtection="false" borderId="2" fillId="6" fontId="3" numFmtId="17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true" applyProtection="false" borderId="0" fillId="0" fontId="4" numFmtId="165" xfId="0">
      <alignment horizontal="center" vertical="center" wrapText="true"/>
    </xf>
    <xf applyAlignment="true" applyBorder="false" applyFill="false" applyFont="true" applyNumberFormat="true" applyProtection="false" borderId="0" fillId="0" fontId="4" numFmtId="169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true" applyProtection="false" borderId="0" fillId="0" fontId="4" numFmtId="167" xfId="0">
      <alignment horizontal="center" vertical="center" wrapText="true"/>
    </xf>
    <xf applyAlignment="true" applyBorder="false" applyFill="false" applyFont="true" applyNumberFormat="true" applyProtection="false" borderId="0" fillId="0" fontId="4" numFmtId="168" xfId="0">
      <alignment horizontal="center" vertical="center" wrapText="true"/>
    </xf>
    <xf applyAlignment="true" applyBorder="false" applyFill="false" applyFont="true" applyNumberFormat="true" applyProtection="false" borderId="0" fillId="0" fontId="4" numFmtId="170" xfId="0">
      <alignment horizontal="center" vertical="center" wrapText="true"/>
    </xf>
    <xf applyAlignment="true" applyBorder="false" applyFill="false" applyFont="true" applyNumberFormat="true" applyProtection="false" borderId="0" fillId="0" fontId="4" numFmtId="166" xfId="0">
      <alignment horizontal="center"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2" numFmtId="0" xfId="0">
      <alignment horizontal="center" vertical="center" wrapText="true"/>
    </xf>
    <xf applyAlignment="true" applyBorder="false" applyFill="true" applyFont="true" applyNumberFormat="false" applyProtection="false" borderId="2" fillId="4" fontId="2" numFmtId="0" xfId="0">
      <alignment horizontal="center" vertical="center" wrapText="true"/>
    </xf>
    <xf applyAlignment="true" applyBorder="false" applyFill="true" applyFont="true" applyNumberFormat="true" applyProtection="false" borderId="2" fillId="3" fontId="2" numFmtId="164" xfId="0">
      <alignment horizontal="center" vertical="center" wrapText="true"/>
    </xf>
    <xf applyAlignment="true" applyBorder="false" applyFill="true" applyFont="true" applyNumberFormat="false" applyProtection="false" borderId="2" fillId="5" fontId="2" numFmtId="0" xfId="0">
      <alignment horizontal="center" vertical="center" wrapText="true"/>
    </xf>
    <xf applyAlignment="true" applyBorder="false" applyFill="true" applyFont="true" applyNumberFormat="true" applyProtection="false" borderId="2" fillId="6" fontId="3" numFmtId="167" xfId="0">
      <alignment horizontal="center" vertical="center" wrapText="true"/>
    </xf>
    <xf applyAlignment="true" applyBorder="false" applyFill="false" applyFont="true" applyNumberFormat="true" applyProtection="false" borderId="2" fillId="0" fontId="3" numFmtId="164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3" fillId="0" fontId="10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true" applyFont="true" applyNumberFormat="true" applyProtection="false" borderId="3" fillId="7" fontId="1" numFmtId="171" xfId="0">
      <alignment horizontal="center" vertical="center"/>
    </xf>
    <xf applyAlignment="true" applyBorder="false" applyFill="true" applyFont="true" applyNumberFormat="false" applyProtection="false" borderId="3" fillId="7" fontId="10" numFmtId="0" xfId="0">
      <alignment horizontal="center" vertical="center"/>
    </xf>
    <xf applyAlignment="true" applyBorder="false" applyFill="true" applyFont="true" applyNumberFormat="true" applyProtection="false" borderId="3" fillId="8" fontId="1" numFmtId="171" xfId="0">
      <alignment horizontal="center" vertical="center"/>
    </xf>
    <xf applyAlignment="true" applyBorder="false" applyFill="true" applyFont="true" applyNumberFormat="false" applyProtection="false" borderId="3" fillId="8" fontId="10" numFmtId="0" xfId="0">
      <alignment horizontal="center" vertical="center"/>
    </xf>
    <xf applyAlignment="true" applyBorder="false" applyFill="true" applyFont="true" applyNumberFormat="true" applyProtection="false" borderId="3" fillId="9" fontId="1" numFmtId="171" xfId="0">
      <alignment horizontal="center" vertical="center"/>
    </xf>
    <xf applyAlignment="true" applyBorder="false" applyFill="true" applyFont="true" applyNumberFormat="false" applyProtection="false" borderId="3" fillId="9" fontId="10" numFmtId="0" xfId="0">
      <alignment horizontal="center" vertical="center"/>
    </xf>
    <xf applyAlignment="true" applyBorder="false" applyFill="true" applyFont="true" applyNumberFormat="true" applyProtection="false" borderId="3" fillId="10" fontId="1" numFmtId="171" xfId="0">
      <alignment horizontal="center" vertical="center"/>
    </xf>
    <xf applyAlignment="true" applyBorder="false" applyFill="true" applyFont="true" applyNumberFormat="false" applyProtection="false" borderId="3" fillId="10" fontId="10" numFmtId="0" xfId="0">
      <alignment horizontal="center" vertical="center"/>
    </xf>
    <xf applyAlignment="true" applyBorder="false" applyFill="true" applyFont="true" applyNumberFormat="true" applyProtection="false" borderId="3" fillId="11" fontId="1" numFmtId="171" xfId="0">
      <alignment horizontal="center" vertical="center"/>
    </xf>
    <xf applyAlignment="true" applyBorder="false" applyFill="true" applyFont="true" applyNumberFormat="false" applyProtection="false" borderId="3" fillId="11" fontId="10" numFmtId="0" xfId="0">
      <alignment horizontal="center" vertical="center"/>
    </xf>
    <xf applyAlignment="true" applyBorder="false" applyFill="false" applyFont="true" applyNumberFormat="false" applyProtection="false" borderId="3" fillId="0" fontId="10" numFmtId="0" xfId="0">
      <alignment horizontal="center" vertical="center" wrapText="true"/>
    </xf>
    <xf applyAlignment="true" applyBorder="false" applyFill="true" applyFont="true" applyNumberFormat="true" applyProtection="false" borderId="3" fillId="7" fontId="11" numFmtId="171" xfId="0">
      <alignment horizontal="left" vertical="top" wrapText="true"/>
    </xf>
    <xf applyAlignment="true" applyBorder="false" applyFill="true" applyFont="true" applyNumberFormat="true" applyProtection="false" borderId="3" fillId="7" fontId="11" numFmtId="171" xfId="0">
      <alignment horizontal="left" vertical="top"/>
    </xf>
    <xf applyAlignment="true" applyBorder="false" applyFill="true" applyFont="true" applyNumberFormat="true" applyProtection="false" borderId="3" fillId="8" fontId="11" numFmtId="171" xfId="0">
      <alignment horizontal="left" vertical="top" wrapText="true"/>
    </xf>
    <xf applyAlignment="true" applyBorder="false" applyFill="true" applyFont="true" applyNumberFormat="true" applyProtection="false" borderId="3" fillId="8" fontId="11" numFmtId="171" xfId="0">
      <alignment horizontal="left" vertical="top"/>
    </xf>
    <xf applyAlignment="true" applyBorder="false" applyFill="true" applyFont="true" applyNumberFormat="true" applyProtection="false" borderId="3" fillId="9" fontId="11" numFmtId="171" xfId="0">
      <alignment horizontal="left" vertical="top" wrapText="true"/>
    </xf>
    <xf applyAlignment="true" applyBorder="false" applyFill="true" applyFont="true" applyNumberFormat="true" applyProtection="false" borderId="3" fillId="10" fontId="11" numFmtId="171" xfId="0">
      <alignment horizontal="left" vertical="top" wrapText="true"/>
    </xf>
    <xf applyAlignment="true" applyBorder="false" applyFill="true" applyFont="true" applyNumberFormat="true" applyProtection="false" borderId="3" fillId="11" fontId="11" numFmtId="171" xfId="0">
      <alignment horizontal="left" vertical="top" wrapText="true"/>
    </xf>
    <xf applyAlignment="true" applyBorder="false" applyFill="false" applyFont="true" applyNumberFormat="false" applyProtection="false" borderId="0" fillId="0" fontId="1" numFmtId="0" xfId="0">
      <alignment vertical="top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false" applyProtection="false" borderId="3" fillId="12" fontId="1" numFmtId="0" xfId="0">
      <alignment horizontal="center" vertical="center" wrapText="true"/>
    </xf>
    <xf applyAlignment="true" applyBorder="false" applyFill="true" applyFont="true" applyNumberFormat="false" applyProtection="false" borderId="3" fillId="7" fontId="3" numFmtId="0" xfId="0">
      <alignment horizontal="center" vertical="center"/>
    </xf>
    <xf applyAlignment="true" applyBorder="false" applyFill="true" applyFont="true" applyNumberFormat="true" applyProtection="false" borderId="3" fillId="8" fontId="3" numFmtId="171" xfId="0">
      <alignment horizontal="center" vertical="center" wrapText="true"/>
    </xf>
    <xf applyAlignment="true" applyBorder="false" applyFill="true" applyFont="true" applyNumberFormat="true" applyProtection="false" borderId="3" fillId="9" fontId="3" numFmtId="171" xfId="0">
      <alignment horizontal="center" vertical="center"/>
    </xf>
    <xf applyAlignment="true" applyBorder="false" applyFill="true" applyFont="true" applyNumberFormat="true" applyProtection="false" borderId="3" fillId="10" fontId="3" numFmtId="171" xfId="0">
      <alignment horizontal="center" vertical="center"/>
    </xf>
    <xf applyAlignment="true" applyBorder="false" applyFill="true" applyFont="true" applyNumberFormat="true" applyProtection="false" borderId="3" fillId="8" fontId="3" numFmtId="171" xfId="0">
      <alignment horizontal="center" vertical="center"/>
    </xf>
    <xf applyAlignment="true" applyBorder="false" applyFill="true" applyFont="true" applyNumberFormat="true" applyProtection="false" borderId="3" fillId="11" fontId="3" numFmtId="171" xfId="0">
      <alignment horizontal="center" vertical="center"/>
    </xf>
    <xf applyAlignment="true" applyBorder="false" applyFill="true" applyFont="true" applyNumberFormat="false" applyProtection="false" borderId="4" fillId="7" fontId="3" numFmtId="0" xfId="0">
      <alignment horizontal="left" vertical="top" wrapText="true"/>
    </xf>
    <xf applyAlignment="true" applyBorder="false" applyFill="true" applyFont="true" applyNumberFormat="false" applyProtection="false" borderId="5" fillId="7" fontId="3" numFmtId="0" xfId="0">
      <alignment horizontal="left" vertical="top"/>
    </xf>
    <xf applyAlignment="true" applyBorder="false" applyFill="true" applyFont="true" applyNumberFormat="false" applyProtection="false" borderId="6" fillId="7" fontId="3" numFmtId="0" xfId="0">
      <alignment horizontal="left" vertical="top"/>
    </xf>
    <xf applyAlignment="true" applyBorder="false" applyFill="true" applyFont="true" applyNumberFormat="true" applyProtection="false" borderId="3" fillId="8" fontId="3" numFmtId="171" xfId="0">
      <alignment horizontal="left" vertical="center" wrapText="true"/>
    </xf>
    <xf applyAlignment="true" applyBorder="false" applyFill="true" applyFont="true" applyNumberFormat="true" applyProtection="false" borderId="3" fillId="9" fontId="3" numFmtId="171" xfId="0">
      <alignment horizontal="left" vertical="center" wrapText="true"/>
    </xf>
    <xf applyAlignment="true" applyBorder="false" applyFill="true" applyFont="true" applyNumberFormat="true" applyProtection="false" borderId="3" fillId="10" fontId="3" numFmtId="171" xfId="0">
      <alignment horizontal="left" vertical="center" wrapText="true"/>
    </xf>
    <xf applyAlignment="true" applyBorder="false" applyFill="true" applyFont="true" applyNumberFormat="true" applyProtection="false" borderId="3" fillId="10" fontId="3" numFmtId="171" xfId="0">
      <alignment horizontal="left" vertical="center"/>
    </xf>
    <xf applyAlignment="true" applyBorder="false" applyFill="true" applyFont="true" applyNumberFormat="true" applyProtection="false" borderId="3" fillId="8" fontId="3" numFmtId="171" xfId="0">
      <alignment horizontal="left" vertical="center"/>
    </xf>
    <xf applyAlignment="true" applyBorder="false" applyFill="true" applyFont="true" applyNumberFormat="true" applyProtection="false" borderId="3" fillId="11" fontId="3" numFmtId="171" xfId="0">
      <alignment horizontal="left" vertical="center" wrapText="true"/>
    </xf>
    <xf applyAlignment="true" applyBorder="false" applyFill="true" applyFont="true" applyNumberFormat="true" applyProtection="false" borderId="3" fillId="11" fontId="3" numFmtId="171" xfId="0">
      <alignment horizontal="left" vertical="center"/>
    </xf>
    <xf applyAlignment="true" applyBorder="false" applyFill="true" applyFont="true" applyNumberFormat="true" applyProtection="false" borderId="3" fillId="13" fontId="3" numFmtId="172" xfId="0">
      <alignment horizontal="center" vertical="center"/>
    </xf>
    <xf applyAlignment="true" applyBorder="false" applyFill="true" applyFont="true" applyNumberFormat="false" applyProtection="false" borderId="3" fillId="13" fontId="3" numFmtId="0" xfId="0">
      <alignment horizontal="center" vertical="center"/>
    </xf>
    <xf applyAlignment="true" applyBorder="false" applyFill="false" applyFont="true" applyNumberFormat="true" applyProtection="false" borderId="3" fillId="0" fontId="1" numFmtId="173" xfId="0">
      <alignment horizontal="center" vertical="center" wrapText="true"/>
    </xf>
    <xf applyAlignment="true" applyBorder="false" applyFill="true" applyFont="true" applyNumberFormat="true" applyProtection="false" borderId="3" fillId="13" fontId="3" numFmtId="173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true" applyFont="true" applyNumberFormat="true" applyProtection="false" borderId="6" fillId="13" fontId="3" numFmtId="173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true" applyFont="true" applyNumberFormat="true" applyProtection="false" borderId="6" fillId="13" fontId="3" numFmtId="174" xfId="0">
      <alignment horizontal="center" vertical="center" wrapText="true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true" applyFont="true" applyNumberFormat="true" applyProtection="false" borderId="3" fillId="13" fontId="3" numFmtId="174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4" fillId="0" fontId="1" numFmtId="174" xfId="0">
      <alignment horizontal="center" vertical="center"/>
    </xf>
    <xf applyAlignment="true" applyBorder="false" applyFill="false" applyFont="true" applyNumberFormat="true" applyProtection="false" borderId="4" fillId="0" fontId="1" numFmtId="173" xfId="0">
      <alignment horizontal="center" vertical="center"/>
    </xf>
    <xf applyAlignment="true" applyBorder="false" applyFill="false" applyFont="true" applyNumberFormat="true" applyProtection="false" borderId="7" fillId="0" fontId="1" numFmtId="173" xfId="0">
      <alignment horizontal="center" vertical="center" wrapText="true"/>
    </xf>
    <xf applyAlignment="true" applyBorder="false" applyFill="true" applyFont="true" applyNumberFormat="true" applyProtection="false" borderId="3" fillId="13" fontId="3" numFmtId="175" xfId="0">
      <alignment horizontal="center" vertical="center"/>
    </xf>
    <xf applyAlignment="true" applyBorder="false" applyFill="true" applyFont="true" applyNumberFormat="true" applyProtection="false" borderId="3" fillId="13" fontId="3" numFmtId="176" xfId="0">
      <alignment horizontal="center" vertical="center"/>
    </xf>
    <xf applyAlignment="true" applyBorder="false" applyFill="false" applyFont="true" applyNumberFormat="true" applyProtection="false" borderId="0" fillId="0" fontId="15" numFmtId="176" xfId="0">
      <alignment vertical="center"/>
    </xf>
    <xf applyAlignment="true" applyBorder="false" applyFill="true" applyFont="true" applyNumberFormat="true" applyProtection="false" borderId="10" fillId="14" fontId="1" numFmtId="177" xfId="0">
      <alignment horizontal="center" vertical="center" wrapText="true"/>
    </xf>
    <xf applyAlignment="true" applyBorder="false" applyFill="true" applyFont="true" applyNumberFormat="false" applyProtection="false" borderId="10" fillId="14" fontId="1" numFmtId="0" xfId="0">
      <alignment horizontal="center" vertical="center" wrapText="true"/>
    </xf>
    <xf applyAlignment="true" applyBorder="false" applyFill="true" applyFont="true" applyNumberFormat="false" applyProtection="false" borderId="10" fillId="14" fontId="1" numFmtId="0" xfId="0">
      <alignment horizontal="center" vertical="center"/>
    </xf>
    <xf applyAlignment="true" applyBorder="false" applyFill="true" applyFont="true" applyNumberFormat="false" applyProtection="false" borderId="10" fillId="15" fontId="1" numFmtId="0" xfId="0">
      <alignment horizontal="center" vertical="center" wrapText="true"/>
    </xf>
    <xf applyAlignment="true" applyBorder="false" applyFill="true" applyFont="true" applyNumberFormat="true" applyProtection="false" borderId="10" fillId="15" fontId="1" numFmtId="178" xfId="0">
      <alignment horizontal="center" vertical="center" wrapText="true"/>
    </xf>
    <xf applyAlignment="true" applyBorder="false" applyFill="true" applyFont="true" applyNumberFormat="true" applyProtection="false" borderId="10" fillId="15" fontId="1" numFmtId="179" xfId="0">
      <alignment horizontal="center" vertical="center" wrapText="true"/>
    </xf>
    <xf applyAlignment="true" applyBorder="false" applyFill="true" applyFont="true" applyNumberFormat="true" applyProtection="false" borderId="10" fillId="15" fontId="1" numFmtId="180" xfId="0">
      <alignment horizontal="center" vertical="center" wrapText="true"/>
    </xf>
    <xf applyAlignment="true" applyBorder="false" applyFill="true" applyFont="true" applyNumberFormat="false" applyProtection="false" borderId="10" fillId="15" fontId="17" numFmtId="0" xfId="0">
      <alignment horizontal="center" vertical="center" wrapText="true"/>
    </xf>
    <xf applyAlignment="true" applyBorder="false" applyFill="true" applyFont="true" applyNumberFormat="true" applyProtection="false" borderId="10" fillId="15" fontId="17" numFmtId="180" xfId="0">
      <alignment horizontal="center" vertical="center" wrapText="true"/>
    </xf>
    <xf applyAlignment="true" applyBorder="false" applyFill="true" applyFont="true" applyNumberFormat="true" applyProtection="false" borderId="10" fillId="15" fontId="17" numFmtId="181" xfId="0">
      <alignment horizontal="center" vertical="center" wrapText="true"/>
    </xf>
    <xf applyAlignment="true" applyBorder="false" applyFill="true" applyFont="true" applyNumberFormat="false" applyProtection="false" borderId="10" fillId="16" fontId="1" numFmtId="0" xfId="0">
      <alignment horizontal="center" vertical="center" wrapText="true"/>
    </xf>
    <xf applyAlignment="true" applyBorder="false" applyFill="true" applyFont="true" applyNumberFormat="true" applyProtection="false" borderId="10" fillId="16" fontId="17" numFmtId="182" xfId="0">
      <alignment horizontal="center" vertical="center" wrapText="true"/>
    </xf>
    <xf applyAlignment="true" applyBorder="false" applyFill="true" applyFont="true" applyNumberFormat="true" applyProtection="false" borderId="10" fillId="15" fontId="17" numFmtId="183" xfId="0">
      <alignment horizontal="center" vertical="center" wrapText="true"/>
    </xf>
    <xf applyAlignment="true" applyBorder="false" applyFill="true" applyFont="true" applyNumberFormat="false" applyProtection="false" borderId="10" fillId="15" fontId="19" numFmtId="0" xfId="0">
      <alignment horizontal="center" vertical="center" wrapText="true"/>
    </xf>
    <xf applyAlignment="true" applyBorder="false" applyFill="true" applyFont="true" applyNumberFormat="false" applyProtection="false" borderId="10" fillId="17" fontId="1" numFmtId="0" xfId="0">
      <alignment horizontal="center" vertical="center" wrapText="true"/>
    </xf>
    <xf applyAlignment="true" applyBorder="false" applyFill="true" applyFont="true" applyNumberFormat="false" applyProtection="false" borderId="10" fillId="18" fontId="1" numFmtId="0" xfId="0">
      <alignment horizontal="center" vertical="center" wrapText="true"/>
    </xf>
    <xf applyAlignment="true" applyBorder="false" applyFill="true" applyFont="true" applyNumberFormat="true" applyProtection="false" borderId="10" fillId="18" fontId="1" numFmtId="184" xfId="0">
      <alignment horizontal="center" vertical="center" wrapText="true"/>
    </xf>
    <xf applyAlignment="true" applyBorder="false" applyFill="true" applyFont="true" applyNumberFormat="true" applyProtection="false" borderId="10" fillId="19" fontId="1" numFmtId="185" xfId="0">
      <alignment horizontal="center" vertical="center" wrapText="true"/>
    </xf>
    <xf applyAlignment="true" applyBorder="false" applyFill="true" applyFont="true" applyNumberFormat="true" applyProtection="false" borderId="10" fillId="20" fontId="1" numFmtId="183" xfId="0">
      <alignment horizontal="center" vertical="center" wrapText="true"/>
    </xf>
    <xf applyAlignment="true" applyBorder="false" applyFill="true" applyFont="true" applyNumberFormat="false" applyProtection="false" borderId="11" fillId="21" fontId="1" numFmtId="0" xfId="0">
      <alignment horizontal="center" vertical="center" wrapText="true"/>
    </xf>
    <xf applyAlignment="true" applyBorder="false" applyFill="true" applyFont="true" applyNumberFormat="true" applyProtection="false" borderId="10" fillId="18" fontId="17" numFmtId="180" xfId="0">
      <alignment horizontal="center" vertical="center" wrapText="true"/>
    </xf>
    <xf applyAlignment="true" applyBorder="false" applyFill="true" applyFont="true" applyNumberFormat="true" applyProtection="false" borderId="10" fillId="18" fontId="17" numFmtId="186" xfId="0">
      <alignment horizontal="center" vertical="center" wrapText="true"/>
    </xf>
    <xf applyAlignment="true" applyBorder="false" applyFill="true" applyFont="true" applyNumberFormat="true" applyProtection="false" borderId="10" fillId="18" fontId="17" numFmtId="182" xfId="0">
      <alignment horizontal="center" vertical="center" wrapText="true"/>
    </xf>
    <xf applyAlignment="true" applyBorder="false" applyFill="true" applyFont="true" applyNumberFormat="true" applyProtection="false" borderId="10" fillId="18" fontId="17" numFmtId="184" xfId="0">
      <alignment horizontal="center" vertical="center" wrapText="true"/>
    </xf>
    <xf applyAlignment="true" applyBorder="false" applyFill="true" applyFont="true" applyNumberFormat="true" applyProtection="false" borderId="10" fillId="19" fontId="17" numFmtId="185" xfId="0">
      <alignment horizontal="center" vertical="center" wrapText="true"/>
    </xf>
    <xf applyAlignment="true" applyBorder="false" applyFill="true" applyFont="true" applyNumberFormat="true" applyProtection="false" borderId="10" fillId="19" fontId="20" numFmtId="185" xfId="0">
      <alignment horizontal="center" vertical="center" wrapText="true"/>
    </xf>
    <xf applyAlignment="true" applyBorder="false" applyFill="true" applyFont="true" applyNumberFormat="true" applyProtection="false" borderId="10" fillId="22" fontId="17" numFmtId="185" xfId="0">
      <alignment horizontal="center" vertical="center" wrapText="true"/>
    </xf>
    <xf applyAlignment="true" applyBorder="false" applyFill="true" applyFont="true" applyNumberFormat="false" applyProtection="false" borderId="10" fillId="19" fontId="17" numFmtId="0" xfId="0">
      <alignment horizontal="center" vertical="center" wrapText="true"/>
    </xf>
    <xf applyAlignment="true" applyBorder="false" applyFill="true" applyFont="true" applyNumberFormat="true" applyProtection="false" borderId="10" fillId="19" fontId="20" numFmtId="183" xfId="0">
      <alignment horizontal="center" vertical="center" wrapText="true"/>
    </xf>
    <xf applyAlignment="true" applyBorder="false" applyFill="true" applyFont="true" applyNumberFormat="true" applyProtection="false" borderId="10" fillId="19" fontId="17" numFmtId="181" xfId="0">
      <alignment horizontal="center" vertical="center" wrapText="true"/>
    </xf>
    <xf applyAlignment="true" applyBorder="false" applyFill="true" applyFont="true" applyNumberFormat="true" applyProtection="false" borderId="10" fillId="19" fontId="1" numFmtId="181" xfId="0">
      <alignment horizontal="center" vertical="center" wrapText="true"/>
    </xf>
    <xf applyAlignment="true" applyBorder="false" applyFill="true" applyFont="true" applyNumberFormat="true" applyProtection="false" borderId="12" fillId="20" fontId="1" numFmtId="183" xfId="0">
      <alignment horizontal="center" vertical="center" wrapText="true"/>
    </xf>
    <xf applyAlignment="true" applyBorder="false" applyFill="true" applyFont="true" applyNumberFormat="false" applyProtection="false" borderId="12" fillId="20" fontId="1" numFmtId="0" xfId="0">
      <alignment horizontal="center" vertical="center" wrapText="true"/>
    </xf>
    <xf applyAlignment="true" applyBorder="false" applyFill="true" applyFont="true" applyNumberFormat="false" applyProtection="false" borderId="10" fillId="20" fontId="1" numFmtId="0" xfId="0">
      <alignment horizontal="center" vertical="center" wrapText="true"/>
    </xf>
    <xf applyAlignment="true" applyBorder="false" applyFill="true" applyFont="true" applyNumberFormat="true" applyProtection="false" borderId="10" fillId="20" fontId="1" numFmtId="180" xfId="0">
      <alignment horizontal="center" vertical="center" wrapText="true"/>
    </xf>
    <xf applyAlignment="true" applyBorder="false" applyFill="true" applyFont="true" applyNumberFormat="false" applyProtection="false" borderId="10" fillId="20" fontId="17" numFmtId="0" xfId="0">
      <alignment horizontal="center" vertical="center" wrapText="true"/>
    </xf>
    <xf applyAlignment="true" applyBorder="false" applyFill="true" applyFont="true" applyNumberFormat="true" applyProtection="false" borderId="10" fillId="20" fontId="17" numFmtId="180" xfId="0">
      <alignment horizontal="center" vertical="center" wrapText="true"/>
    </xf>
    <xf applyAlignment="true" applyBorder="false" applyFill="true" applyFont="true" applyNumberFormat="false" applyProtection="false" borderId="13" fillId="21" fontId="1" numFmtId="0" xfId="0">
      <alignment horizontal="center" vertical="center" wrapText="true"/>
    </xf>
    <xf applyAlignment="true" applyBorder="false" applyFill="true" applyFont="true" applyNumberFormat="false" applyProtection="false" borderId="10" fillId="21" fontId="1" numFmtId="0" xfId="0">
      <alignment horizontal="center" vertical="center" wrapText="true"/>
    </xf>
    <xf applyAlignment="true" applyBorder="false" applyFill="false" applyFont="true" applyNumberFormat="true" applyProtection="false" borderId="10" fillId="0" fontId="3" numFmtId="177" xfId="0">
      <alignment horizontal="center" vertical="center"/>
    </xf>
    <xf applyAlignment="true" applyBorder="false" applyFill="false" applyFont="true" applyNumberFormat="false" applyProtection="false" borderId="10" fillId="0" fontId="3" numFmtId="0" xfId="0">
      <alignment horizontal="center" vertical="center"/>
    </xf>
    <xf applyAlignment="true" applyBorder="false" applyFill="false" applyFont="true" applyNumberFormat="false" applyProtection="false" borderId="10" fillId="0" fontId="3" numFmtId="0" xfId="0">
      <alignment horizontal="left" vertical="center"/>
    </xf>
    <xf applyAlignment="true" applyBorder="false" applyFill="false" applyFont="true" applyNumberFormat="true" applyProtection="false" borderId="10" fillId="0" fontId="3" numFmtId="182" xfId="0">
      <alignment horizontal="center" vertical="center"/>
    </xf>
    <xf applyAlignment="true" applyBorder="false" applyFill="false" applyFont="true" applyNumberFormat="true" applyProtection="false" borderId="10" fillId="0" fontId="3" numFmtId="179" xfId="0">
      <alignment horizontal="center" vertical="center"/>
    </xf>
    <xf applyAlignment="true" applyBorder="false" applyFill="false" applyFont="true" applyNumberFormat="true" applyProtection="false" borderId="10" fillId="0" fontId="3" numFmtId="180" xfId="0">
      <alignment horizontal="center" vertical="center"/>
    </xf>
    <xf applyAlignment="true" applyBorder="false" applyFill="false" applyFont="true" applyNumberFormat="true" applyProtection="false" borderId="10" fillId="0" fontId="3" numFmtId="181" xfId="0">
      <alignment horizontal="center" vertical="center"/>
    </xf>
    <xf applyAlignment="true" applyBorder="false" applyFill="false" applyFont="true" applyNumberFormat="true" applyProtection="false" borderId="10" fillId="0" fontId="3" numFmtId="183" xfId="0">
      <alignment horizontal="center" vertical="center"/>
    </xf>
    <xf applyAlignment="true" applyBorder="false" applyFill="false" applyFont="true" applyNumberFormat="true" applyProtection="false" borderId="10" fillId="0" fontId="3" numFmtId="187" xfId="0">
      <alignment horizontal="center" vertical="center"/>
    </xf>
    <xf applyAlignment="true" applyBorder="false" applyFill="false" applyFont="true" applyNumberFormat="true" applyProtection="false" borderId="12" fillId="0" fontId="3" numFmtId="188" xfId="0">
      <alignment horizontal="center" vertical="center"/>
    </xf>
    <xf applyAlignment="true" applyBorder="false" applyFill="false" applyFont="true" applyNumberFormat="true" applyProtection="false" borderId="14" fillId="0" fontId="3" numFmtId="187" xfId="0">
      <alignment horizontal="center" vertical="center" wrapText="true"/>
    </xf>
    <xf applyAlignment="true" applyBorder="false" applyFill="false" applyFont="true" applyNumberFormat="false" applyProtection="false" borderId="14" fillId="0" fontId="3" numFmtId="0" xfId="0">
      <alignment horizontal="center" vertical="center"/>
    </xf>
    <xf applyAlignment="true" applyBorder="false" applyFill="false" applyFont="true" applyNumberFormat="true" applyProtection="false" borderId="14" fillId="0" fontId="3" numFmtId="180" xfId="0">
      <alignment horizontal="center" vertical="center" wrapText="true"/>
    </xf>
    <xf applyAlignment="true" applyBorder="false" applyFill="false" applyFont="true" applyNumberFormat="true" applyProtection="false" borderId="14" fillId="0" fontId="3" numFmtId="189" xfId="0">
      <alignment horizontal="center" vertical="center" wrapText="true"/>
    </xf>
    <xf applyAlignment="true" applyBorder="false" applyFill="false" applyFont="true" applyNumberFormat="true" applyProtection="false" borderId="14" fillId="0" fontId="3" numFmtId="182" xfId="0">
      <alignment horizontal="center" vertical="center" wrapText="true"/>
    </xf>
    <xf applyAlignment="true" applyBorder="false" applyFill="false" applyFont="true" applyNumberFormat="true" applyProtection="false" borderId="14" fillId="0" fontId="3" numFmtId="180" xfId="0">
      <alignment horizontal="center" vertical="center"/>
    </xf>
    <xf applyAlignment="true" applyBorder="false" applyFill="false" applyFont="true" applyNumberFormat="true" applyProtection="false" borderId="14" fillId="0" fontId="3" numFmtId="189" xfId="0">
      <alignment horizontal="center" vertical="center"/>
    </xf>
    <xf applyAlignment="true" applyBorder="false" applyFill="false" applyFont="true" applyNumberFormat="true" applyProtection="false" borderId="14" fillId="0" fontId="3" numFmtId="182" xfId="0">
      <alignment horizontal="center" vertical="center"/>
    </xf>
    <xf applyAlignment="true" applyBorder="false" applyFill="false" applyFont="true" applyNumberFormat="true" applyProtection="false" borderId="14" fillId="0" fontId="3" numFmtId="190" xfId="0">
      <alignment horizontal="center" vertical="center"/>
    </xf>
    <xf applyAlignment="true" applyBorder="false" applyFill="false" applyFont="true" applyNumberFormat="true" applyProtection="false" borderId="15" fillId="0" fontId="3" numFmtId="185" xfId="0">
      <alignment horizontal="center" vertical="center"/>
    </xf>
    <xf applyAlignment="true" applyBorder="false" applyFill="false" applyFont="true" applyNumberFormat="true" applyProtection="false" borderId="10" fillId="0" fontId="3" numFmtId="185" xfId="0">
      <alignment horizontal="center" vertical="center"/>
    </xf>
    <xf applyAlignment="true" applyBorder="false" applyFill="false" applyFont="true" applyNumberFormat="true" applyProtection="false" borderId="14" fillId="0" fontId="3" numFmtId="185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12" fillId="0" fontId="3" numFmtId="0" xfId="0">
      <alignment horizontal="center" vertical="center"/>
    </xf>
    <xf applyAlignment="true" applyBorder="false" applyFill="false" applyFont="true" applyNumberFormat="true" applyProtection="false" borderId="10" fillId="0" fontId="3" numFmtId="187" xfId="0">
      <alignment horizontal="center" vertical="center" wrapText="true"/>
    </xf>
    <xf applyAlignment="true" applyBorder="false" applyFill="false" applyFont="true" applyNumberFormat="true" applyProtection="false" borderId="10" fillId="0" fontId="3" numFmtId="189" xfId="0">
      <alignment horizontal="center" vertical="center" wrapText="true"/>
    </xf>
    <xf applyAlignment="true" applyBorder="false" applyFill="false" applyFont="true" applyNumberFormat="true" applyProtection="false" borderId="10" fillId="0" fontId="3" numFmtId="180" xfId="0">
      <alignment horizontal="center" vertical="center" wrapText="true"/>
    </xf>
    <xf applyAlignment="true" applyBorder="false" applyFill="false" applyFont="true" applyNumberFormat="true" applyProtection="false" borderId="10" fillId="0" fontId="3" numFmtId="184" xfId="0">
      <alignment horizontal="center" vertical="center"/>
    </xf>
    <xf applyAlignment="true" applyBorder="false" applyFill="false" applyFont="true" applyNumberFormat="true" applyProtection="false" borderId="10" fillId="0" fontId="1" numFmtId="185" xfId="0">
      <alignment horizontal="center" vertical="center"/>
    </xf>
    <xf applyAlignment="true" applyBorder="false" applyFill="true" applyFont="true" applyNumberFormat="true" applyProtection="false" borderId="14" fillId="23" fontId="20" numFmtId="177" xfId="0">
      <alignment horizontal="center" vertical="center"/>
    </xf>
    <xf applyAlignment="true" applyBorder="false" applyFill="true" applyFont="true" applyNumberFormat="false" applyProtection="false" borderId="10" fillId="23" fontId="3" numFmtId="0" xfId="0">
      <alignment horizontal="center" vertical="center"/>
    </xf>
    <xf applyAlignment="true" applyBorder="false" applyFill="true" applyFont="true" applyNumberFormat="true" applyProtection="false" borderId="10" fillId="23" fontId="3" numFmtId="182" xfId="0">
      <alignment horizontal="center" vertical="center"/>
    </xf>
    <xf applyAlignment="true" applyBorder="false" applyFill="true" applyFont="true" applyNumberFormat="true" applyProtection="false" borderId="10" fillId="23" fontId="3" numFmtId="183" xfId="0">
      <alignment horizontal="center" vertical="center"/>
    </xf>
    <xf applyAlignment="true" applyBorder="false" applyFill="true" applyFont="true" applyNumberFormat="true" applyProtection="false" borderId="10" fillId="23" fontId="3" numFmtId="181" xfId="0">
      <alignment horizontal="center" vertical="center"/>
    </xf>
    <xf applyAlignment="true" applyBorder="false" applyFill="true" applyFont="true" applyNumberFormat="true" applyProtection="false" borderId="10" fillId="23" fontId="3" numFmtId="187" xfId="0">
      <alignment horizontal="center" vertical="center"/>
    </xf>
    <xf applyAlignment="true" applyBorder="false" applyFill="true" applyFont="true" applyNumberFormat="true" applyProtection="false" borderId="10" fillId="23" fontId="3" numFmtId="180" xfId="0">
      <alignment horizontal="center" vertical="center"/>
    </xf>
    <xf applyAlignment="true" applyBorder="false" applyFill="true" applyFont="true" applyNumberFormat="true" applyProtection="false" borderId="10" fillId="23" fontId="3" numFmtId="189" xfId="0">
      <alignment horizontal="center" vertical="center"/>
    </xf>
    <xf applyAlignment="true" applyBorder="false" applyFill="true" applyFont="true" applyNumberFormat="true" applyProtection="false" borderId="10" fillId="23" fontId="3" numFmtId="185" xfId="0">
      <alignment horizontal="center" vertical="center"/>
    </xf>
    <xf applyAlignment="true" applyBorder="false" applyFill="true" applyFont="true" applyNumberFormat="false" applyProtection="false" borderId="0" fillId="23" fontId="3" numFmtId="0" xfId="0">
      <alignment vertical="center"/>
    </xf>
    <xf applyAlignment="true" applyBorder="false" applyFill="false" applyFont="true" applyNumberFormat="true" applyProtection="false" borderId="10" fillId="0" fontId="3" numFmtId="182" xfId="0">
      <alignment horizontal="center" vertical="center" wrapText="true"/>
    </xf>
    <xf applyAlignment="true" applyBorder="false" applyFill="false" applyFont="true" applyNumberFormat="true" applyProtection="false" borderId="0" fillId="0" fontId="3" numFmtId="177" xfId="0">
      <alignment horizontal="center" vertical="center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82" xfId="0">
      <alignment horizontal="center" vertical="center"/>
    </xf>
    <xf applyAlignment="true" applyBorder="false" applyFill="false" applyFont="true" applyNumberFormat="true" applyProtection="false" borderId="0" fillId="0" fontId="3" numFmtId="183" xfId="0">
      <alignment horizontal="center" vertical="center"/>
    </xf>
    <xf applyAlignment="true" applyBorder="false" applyFill="false" applyFont="true" applyNumberFormat="true" applyProtection="false" borderId="0" fillId="0" fontId="3" numFmtId="181" xfId="0">
      <alignment horizontal="center" vertical="center"/>
    </xf>
    <xf applyAlignment="true" applyBorder="false" applyFill="true" applyFont="true" applyNumberFormat="true" applyProtection="false" borderId="0" fillId="24" fontId="3" numFmtId="181" xfId="0">
      <alignment horizontal="center" vertical="center"/>
    </xf>
    <xf applyAlignment="true" applyBorder="false" applyFill="false" applyFont="true" applyNumberFormat="true" applyProtection="false" borderId="0" fillId="0" fontId="3" numFmtId="18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true" applyProtection="false" borderId="0" fillId="0" fontId="3" numFmtId="180" xfId="0">
      <alignment horizontal="center" vertical="center" wrapText="true"/>
    </xf>
    <xf applyAlignment="true" applyBorder="false" applyFill="false" applyFont="true" applyNumberFormat="true" applyProtection="false" borderId="0" fillId="0" fontId="3" numFmtId="189" xfId="0">
      <alignment horizontal="center" vertical="center" wrapText="true"/>
    </xf>
    <xf applyAlignment="true" applyBorder="false" applyFill="false" applyFont="true" applyNumberFormat="true" applyProtection="false" borderId="0" fillId="0" fontId="3" numFmtId="182" xfId="0">
      <alignment horizontal="center" vertical="center" wrapText="true"/>
    </xf>
    <xf applyAlignment="true" applyBorder="false" applyFill="false" applyFont="true" applyNumberFormat="true" applyProtection="false" borderId="0" fillId="0" fontId="3" numFmtId="185" xfId="0">
      <alignment horizontal="center" vertical="center"/>
    </xf>
    <xf applyAlignment="true" applyBorder="false" applyFill="false" applyFont="true" applyNumberFormat="true" applyProtection="false" borderId="0" fillId="0" fontId="1" numFmtId="185" xfId="0">
      <alignment horizontal="center" vertical="center"/>
    </xf>
    <xf applyAlignment="true" applyBorder="false" applyFill="false" applyFont="true" applyNumberFormat="true" applyProtection="false" borderId="0" fillId="0" fontId="3" numFmtId="180" xfId="0">
      <alignment horizontal="center" vertical="center"/>
    </xf>
    <xf applyAlignment="true" applyBorder="false" applyFill="false" applyFont="true" applyNumberFormat="true" applyProtection="false" borderId="0" fillId="0" fontId="1" numFmtId="17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true" applyProtection="false" borderId="0" fillId="0" fontId="1" numFmtId="182" xfId="0">
      <alignment horizontal="center" vertical="center"/>
    </xf>
    <xf applyAlignment="true" applyBorder="false" applyFill="false" applyFont="true" applyNumberFormat="true" applyProtection="false" borderId="0" fillId="0" fontId="1" numFmtId="183" xfId="0">
      <alignment horizontal="center" vertical="center"/>
    </xf>
    <xf applyAlignment="true" applyBorder="false" applyFill="false" applyFont="true" applyNumberFormat="true" applyProtection="false" borderId="0" fillId="0" fontId="1" numFmtId="187" xfId="0">
      <alignment horizontal="center" vertical="center"/>
    </xf>
    <xf applyAlignment="true" applyBorder="false" applyFill="false" applyFont="true" applyNumberFormat="true" applyProtection="false" borderId="0" fillId="0" fontId="1" numFmtId="180" xfId="0">
      <alignment horizontal="center" vertical="center" wrapText="true"/>
    </xf>
    <xf applyAlignment="true" applyBorder="false" applyFill="false" applyFont="true" applyNumberFormat="true" applyProtection="false" borderId="0" fillId="0" fontId="1" numFmtId="189" xfId="0">
      <alignment horizontal="center" vertical="center" wrapText="true"/>
    </xf>
    <xf applyAlignment="true" applyBorder="false" applyFill="false" applyFont="true" applyNumberFormat="true" applyProtection="false" borderId="0" fillId="0" fontId="1" numFmtId="182" xfId="0">
      <alignment horizontal="center" vertical="center" wrapText="true"/>
    </xf>
    <xf applyAlignment="true" applyBorder="false" applyFill="false" applyFont="true" applyNumberFormat="true" applyProtection="false" borderId="0" fillId="0" fontId="1" numFmtId="181" xfId="0">
      <alignment horizontal="center" vertical="center"/>
    </xf>
    <xf applyAlignment="true" applyBorder="false" applyFill="false" applyFont="true" applyNumberFormat="true" applyProtection="false" borderId="0" fillId="0" fontId="1" numFmtId="180" xfId="0">
      <alignment horizontal="center" vertical="center"/>
    </xf>
    <xf applyAlignment="true" applyBorder="false" applyFill="true" applyFont="true" applyNumberFormat="false" applyProtection="false" borderId="16" fillId="25" fontId="3" numFmtId="0" xfId="0">
      <alignment horizontal="center" vertical="bottom" wrapText="true"/>
    </xf>
    <xf applyAlignment="true" applyBorder="false" applyFill="true" applyFont="true" applyNumberFormat="false" applyProtection="false" borderId="17" fillId="25" fontId="3" numFmtId="0" xfId="0">
      <alignment horizontal="center" vertical="bottom"/>
    </xf>
    <xf applyAlignment="true" applyBorder="false" applyFill="true" applyFont="true" applyNumberFormat="false" applyProtection="false" borderId="17" fillId="25" fontId="3" numFmtId="0" xfId="0">
      <alignment horizontal="center" vertical="bottom" wrapText="true"/>
    </xf>
    <xf applyAlignment="true" applyBorder="false" applyFill="true" applyFont="true" applyNumberFormat="false" applyProtection="false" borderId="17" fillId="25" fontId="3" numFmtId="0" xfId="0">
      <alignment horizontal="left" vertical="bottom"/>
    </xf>
    <xf applyAlignment="true" applyBorder="false" applyFill="true" applyFont="true" applyNumberFormat="false" applyProtection="false" borderId="18" fillId="25" fontId="3" numFmtId="0" xfId="0">
      <alignment horizontal="center" vertical="bottom"/>
    </xf>
    <xf applyAlignment="true" applyBorder="false" applyFill="true" applyFont="true" applyNumberFormat="false" applyProtection="false" borderId="16" fillId="26" fontId="3" numFmtId="0" xfId="0">
      <alignment horizontal="center" vertical="bottom"/>
    </xf>
    <xf applyAlignment="true" applyBorder="false" applyFill="true" applyFont="true" applyNumberFormat="false" applyProtection="false" borderId="17" fillId="26" fontId="3" numFmtId="0" xfId="0">
      <alignment horizontal="center" vertical="bottom"/>
    </xf>
    <xf applyAlignment="true" applyBorder="false" applyFill="true" applyFont="true" applyNumberFormat="false" applyProtection="false" borderId="18" fillId="26" fontId="3" numFmtId="0" xfId="0">
      <alignment horizontal="center" vertical="bottom"/>
    </xf>
    <xf applyAlignment="true" applyBorder="false" applyFill="true" applyFont="true" applyNumberFormat="false" applyProtection="false" borderId="19" fillId="27" fontId="3" numFmtId="0" xfId="0">
      <alignment horizontal="center" vertical="bottom"/>
    </xf>
    <xf applyAlignment="true" applyBorder="false" applyFill="true" applyFont="true" applyNumberFormat="false" applyProtection="false" borderId="19" fillId="27" fontId="3" numFmtId="0" xfId="0">
      <alignment horizontal="center" vertical="bottom" wrapText="true"/>
    </xf>
    <xf applyAlignment="true" applyBorder="false" applyFill="true" applyFont="true" applyNumberFormat="true" applyProtection="false" borderId="19" fillId="27" fontId="3" numFmtId="191" xfId="0">
      <alignment horizontal="center" vertical="bottom" wrapText="true"/>
    </xf>
    <xf applyAlignment="true" applyBorder="false" applyFill="true" applyFont="true" applyNumberFormat="false" applyProtection="false" borderId="19" fillId="28" fontId="1" numFmtId="0" xfId="0">
      <alignment horizontal="center" vertical="center" wrapText="true"/>
    </xf>
    <xf applyAlignment="true" applyBorder="false" applyFill="true" applyFont="true" applyNumberFormat="false" applyProtection="false" borderId="20" fillId="25" fontId="3" numFmtId="0" xfId="0">
      <alignment horizontal="center" vertical="center" wrapText="true"/>
    </xf>
    <xf applyAlignment="true" applyBorder="false" applyFill="true" applyFont="true" applyNumberFormat="false" applyProtection="false" borderId="20" fillId="25" fontId="22" numFmtId="0" xfId="0">
      <alignment horizontal="center" vertical="center" wrapText="true"/>
    </xf>
    <xf applyAlignment="true" applyBorder="false" applyFill="true" applyFont="true" applyNumberFormat="false" applyProtection="false" borderId="20" fillId="29" fontId="3" numFmtId="0" xfId="0">
      <alignment horizontal="center" vertical="center" wrapText="true"/>
    </xf>
    <xf applyAlignment="true" applyBorder="false" applyFill="true" applyFont="true" applyNumberFormat="false" applyProtection="false" borderId="20" fillId="26" fontId="22" numFmtId="0" xfId="0">
      <alignment horizontal="center" vertical="center" wrapText="true"/>
    </xf>
    <xf applyAlignment="true" applyBorder="false" applyFill="true" applyFont="true" applyNumberFormat="false" applyProtection="false" borderId="20" fillId="26" fontId="3" numFmtId="0" xfId="0">
      <alignment horizontal="center" vertical="center" wrapText="true"/>
    </xf>
    <xf applyAlignment="true" applyBorder="false" applyFill="true" applyFont="true" applyNumberFormat="false" applyProtection="false" borderId="20" fillId="30" fontId="3" numFmtId="0" xfId="0">
      <alignment horizontal="center" vertical="center" wrapText="true"/>
    </xf>
    <xf applyAlignment="true" applyBorder="false" applyFill="true" applyFont="true" applyNumberFormat="false" applyProtection="false" borderId="20" fillId="27" fontId="22" numFmtId="0" xfId="0">
      <alignment horizontal="center" vertical="center" wrapText="true"/>
    </xf>
    <xf applyAlignment="true" applyBorder="false" applyFill="true" applyFont="true" applyNumberFormat="false" applyProtection="false" borderId="20" fillId="27" fontId="3" numFmtId="0" xfId="0">
      <alignment horizontal="center" vertical="center" wrapText="true"/>
    </xf>
    <xf applyAlignment="true" applyBorder="false" applyFill="true" applyFont="true" applyNumberFormat="true" applyProtection="false" borderId="20" fillId="27" fontId="22" numFmtId="191" xfId="0">
      <alignment horizontal="center" vertical="center" wrapText="true"/>
    </xf>
    <xf applyAlignment="true" applyBorder="false" applyFill="true" applyFont="true" applyNumberFormat="false" applyProtection="false" borderId="20" fillId="31" fontId="22" numFmtId="0" xfId="0">
      <alignment horizontal="center" vertical="center" wrapText="true"/>
    </xf>
    <xf applyAlignment="true" applyBorder="false" applyFill="true" applyFont="true" applyNumberFormat="false" applyProtection="false" borderId="20" fillId="28" fontId="3" numFmtId="0" xfId="0">
      <alignment horizontal="center" vertical="center" wrapText="true"/>
    </xf>
    <xf applyAlignment="true" applyBorder="false" applyFill="true" applyFont="true" applyNumberFormat="true" applyProtection="false" borderId="20" fillId="32" fontId="3" numFmtId="192" xfId="0">
      <alignment horizontal="center" vertical="center" wrapText="true"/>
    </xf>
    <xf applyAlignment="true" applyBorder="false" applyFill="true" applyFont="true" applyNumberFormat="false" applyProtection="false" borderId="20" fillId="33" fontId="1" numFmtId="0" xfId="0">
      <alignment horizontal="center" vertical="center"/>
    </xf>
    <xf applyAlignment="true" applyBorder="false" applyFill="true" applyFont="true" applyNumberFormat="false" applyProtection="false" borderId="20" fillId="32" fontId="3" numFmtId="0" xfId="0">
      <alignment horizontal="center" vertical="center"/>
    </xf>
    <xf applyAlignment="true" applyBorder="false" applyFill="true" applyFont="true" applyNumberFormat="false" applyProtection="false" borderId="20" fillId="32" fontId="3" numFmtId="0" xfId="0">
      <alignment horizontal="center" vertical="center" wrapText="true"/>
    </xf>
    <xf applyAlignment="true" applyBorder="false" applyFill="true" applyFont="true" applyNumberFormat="false" applyProtection="false" borderId="20" fillId="32" fontId="3" numFmtId="0" xfId="0">
      <alignment horizontal="left" vertical="center" wrapText="true"/>
    </xf>
    <xf applyAlignment="true" applyBorder="false" applyFill="true" applyFont="true" applyNumberFormat="true" applyProtection="false" borderId="20" fillId="32" fontId="3" numFmtId="193" xfId="0">
      <alignment horizontal="center" vertical="center"/>
    </xf>
    <xf applyAlignment="true" applyBorder="false" applyFill="true" applyFont="true" applyNumberFormat="true" applyProtection="false" borderId="20" fillId="32" fontId="3" numFmtId="194" xfId="0">
      <alignment horizontal="center" vertical="center"/>
    </xf>
    <xf applyAlignment="true" applyBorder="false" applyFill="true" applyFont="true" applyNumberFormat="false" applyProtection="false" borderId="20" fillId="32" fontId="3" numFmtId="0" xfId="0">
      <alignment horizontal="left" vertical="center"/>
    </xf>
    <xf applyAlignment="true" applyBorder="false" applyFill="true" applyFont="true" applyNumberFormat="true" applyProtection="false" borderId="20" fillId="32" fontId="3" numFmtId="195" xfId="0">
      <alignment horizontal="center" vertical="center" wrapText="true"/>
    </xf>
    <xf applyAlignment="true" applyBorder="false" applyFill="true" applyFont="true" applyNumberFormat="true" applyProtection="false" borderId="20" fillId="32" fontId="3" numFmtId="191" xfId="0">
      <alignment horizontal="center" vertical="center" wrapText="true"/>
    </xf>
    <xf applyAlignment="true" applyBorder="false" applyFill="true" applyFont="true" applyNumberFormat="true" applyProtection="false" borderId="20" fillId="32" fontId="6" numFmtId="196" xfId="0">
      <alignment horizontal="center" vertical="center"/>
    </xf>
    <xf applyAlignment="true" applyBorder="false" applyFill="true" applyFont="true" applyNumberFormat="true" applyProtection="false" borderId="20" fillId="32" fontId="3" numFmtId="196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 wrapText="true"/>
    </xf>
    <xf applyAlignment="true" applyBorder="false" applyFill="false" applyFont="true" applyNumberFormat="true" applyProtection="false" borderId="22" fillId="0" fontId="1" numFmtId="197" xfId="0">
      <alignment horizontal="center" vertical="center"/>
    </xf>
    <xf applyAlignment="true" applyBorder="false" applyFill="false" applyFont="true" applyNumberFormat="true" applyProtection="false" borderId="23" fillId="0" fontId="1" numFmtId="197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center" vertical="center" wrapText="true"/>
    </xf>
    <xf applyAlignment="true" applyBorder="false" applyFill="false" applyFont="true" applyNumberFormat="false" applyProtection="false" borderId="21" fillId="0" fontId="3" numFmtId="0" xfId="0">
      <alignment horizontal="center" vertical="center"/>
    </xf>
    <xf applyAlignment="true" applyBorder="false" applyFill="true" applyFont="true" applyNumberFormat="false" applyProtection="false" borderId="21" fillId="34" fontId="1" numFmtId="0" xfId="0">
      <alignment horizontal="center" vertical="center"/>
    </xf>
    <xf applyAlignment="true" applyBorder="false" applyFill="true" applyFont="true" applyNumberFormat="false" applyProtection="false" borderId="21" fillId="35" fontId="1" numFmtId="0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horizontal="left" vertical="center"/>
    </xf>
    <xf applyAlignment="true" applyBorder="false" applyFill="false" applyFont="true" applyNumberFormat="true" applyProtection="false" borderId="21" fillId="0" fontId="3" numFmtId="197" xfId="0">
      <alignment horizontal="center" vertical="center"/>
    </xf>
    <xf applyAlignment="true" applyBorder="false" applyFill="false" applyFont="true" applyNumberFormat="false" applyProtection="false" borderId="21" fillId="0" fontId="3" numFmtId="0" xfId="0">
      <alignment vertical="center"/>
    </xf>
    <xf applyAlignment="true" applyBorder="false" applyFill="true" applyFont="true" applyNumberFormat="false" applyProtection="false" borderId="24" fillId="36" fontId="1" numFmtId="0" xfId="0">
      <alignment horizontal="center" vertical="center" wrapText="true"/>
    </xf>
    <xf applyAlignment="true" applyBorder="false" applyFill="false" applyFont="true" applyNumberFormat="true" applyProtection="false" borderId="24" fillId="0" fontId="3" numFmtId="198" xfId="0">
      <alignment horizontal="center" vertical="center" wrapText="true"/>
    </xf>
    <xf applyAlignment="true" applyBorder="false" applyFill="false" applyFont="true" applyNumberFormat="false" applyProtection="false" borderId="24" fillId="0" fontId="3" numFmtId="0" xfId="0">
      <alignment horizontal="center" vertical="center" wrapText="true"/>
    </xf>
    <xf applyAlignment="true" applyBorder="false" applyFill="false" applyFont="true" applyNumberFormat="false" applyProtection="false" borderId="24" fillId="0" fontId="15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24" fillId="37" fontId="1" numFmtId="0" xfId="0">
      <alignment horizontal="center" vertical="center" wrapText="true"/>
    </xf>
    <xf applyAlignment="true" applyBorder="false" applyFill="false" applyFont="true" applyNumberFormat="false" applyProtection="false" borderId="24" fillId="0" fontId="15" numFmtId="0" xfId="0">
      <alignment horizontal="center" vertical="center"/>
    </xf>
    <xf applyAlignment="true" applyBorder="false" applyFill="true" applyFont="true" applyNumberFormat="false" applyProtection="false" borderId="25" fillId="38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25" fillId="0" fontId="3" numFmtId="0" xfId="0">
      <alignment horizontal="center" vertical="center"/>
    </xf>
    <xf applyAlignment="true" applyBorder="false" applyFill="false" applyFont="true" applyNumberFormat="true" applyProtection="false" borderId="25" fillId="0" fontId="3" numFmtId="199" xfId="0">
      <alignment horizontal="center" vertical="center"/>
    </xf>
    <xf applyAlignment="true" applyBorder="false" applyFill="false" applyFont="true" applyNumberFormat="false" applyProtection="false" borderId="26" fillId="0" fontId="3" numFmtId="0" xfId="0">
      <alignment horizontal="center" vertical="center"/>
    </xf>
    <xf applyAlignment="true" applyBorder="false" applyFill="false" applyFont="true" applyNumberFormat="true" applyProtection="false" borderId="27" fillId="0" fontId="3" numFmtId="200" xfId="0">
      <alignment horizontal="center" vertical="center"/>
    </xf>
    <xf applyAlignment="true" applyBorder="false" applyFill="false" applyFont="true" applyNumberFormat="true" applyProtection="false" borderId="28" fillId="0" fontId="3" numFmtId="200" xfId="0">
      <alignment horizontal="center" vertical="center" wrapText="true"/>
    </xf>
    <xf applyAlignment="true" applyBorder="false" applyFill="false" applyFont="true" applyNumberFormat="true" applyProtection="false" borderId="25" fillId="0" fontId="3" numFmtId="200" xfId="0">
      <alignment horizontal="center" vertical="center"/>
    </xf>
    <xf applyAlignment="true" applyBorder="false" applyFill="false" applyFont="true" applyNumberFormat="false" applyProtection="false" borderId="25" fillId="0" fontId="15" numFmtId="0" xfId="0">
      <alignment horizontal="center" vertical="center"/>
    </xf>
    <xf applyAlignment="true" applyBorder="false" applyFill="true" applyFont="true" applyNumberFormat="false" applyProtection="false" borderId="29" fillId="39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29" fillId="0" fontId="3" numFmtId="0" xfId="0">
      <alignment horizontal="center" vertical="center"/>
    </xf>
    <xf applyAlignment="true" applyBorder="false" applyFill="false" applyFont="true" applyNumberFormat="true" applyProtection="false" borderId="29" fillId="0" fontId="3" numFmtId="201" xfId="0">
      <alignment horizontal="center" vertical="center"/>
    </xf>
    <xf applyAlignment="true" applyBorder="false" applyFill="false" applyFont="true" applyNumberFormat="false" applyProtection="false" borderId="30" fillId="0" fontId="3" numFmtId="0" xfId="0">
      <alignment horizontal="center" vertical="center"/>
    </xf>
    <xf applyAlignment="true" applyBorder="false" applyFill="false" applyFont="true" applyNumberFormat="true" applyProtection="false" borderId="31" fillId="0" fontId="3" numFmtId="202" xfId="0">
      <alignment horizontal="center" vertical="center"/>
    </xf>
    <xf applyAlignment="true" applyBorder="false" applyFill="false" applyFont="true" applyNumberFormat="true" applyProtection="false" borderId="32" fillId="0" fontId="3" numFmtId="202" xfId="0">
      <alignment horizontal="center" vertical="center" wrapText="true"/>
    </xf>
    <xf applyAlignment="true" applyBorder="false" applyFill="false" applyFont="true" applyNumberFormat="true" applyProtection="false" borderId="29" fillId="0" fontId="3" numFmtId="202" xfId="0">
      <alignment horizontal="center" vertical="center"/>
    </xf>
    <xf applyAlignment="true" applyBorder="false" applyFill="false" applyFont="true" applyNumberFormat="false" applyProtection="false" borderId="29" fillId="0" fontId="15" numFmtId="0" xfId="0">
      <alignment horizontal="center" vertical="center"/>
    </xf>
  </cellXfs>
  <cellStyles count="1">
    <cellStyle builtinId="0" name="Normal" xfId="0"/>
  </cellStyles>
  <dxfs count="5"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://www.amazon.com/dp/B0D6XT3121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7" min="7" style="0" width="10.6"/>
    <col collapsed="false" customWidth="true" hidden="false" max="15" min="15" style="0" width="12.6"/>
    <col collapsed="false" customWidth="true" hidden="false" max="23" min="23" style="0" width="10.6"/>
    <col collapsed="false" customWidth="true" hidden="false" max="31" min="31" style="0" width="15.8"/>
    <col collapsed="false" customWidth="true" hidden="false" max="6" min="6" style="0" width="12.6"/>
    <col collapsed="false" customWidth="true" hidden="false" max="14" min="14" style="0" width="12.6"/>
    <col collapsed="false" customWidth="true" hidden="false" max="22" min="22" style="0" width="11.533333333333333"/>
    <col collapsed="false" customWidth="true" hidden="false" max="30" min="30" style="0" width="15.8"/>
    <col collapsed="false" customWidth="true" hidden="false" max="5" min="5" style="0" width="13.666666666666666"/>
    <col collapsed="false" customWidth="true" hidden="false" max="13" min="13" style="0" width="12.6"/>
    <col collapsed="false" customWidth="true" hidden="false" max="21" min="21" style="0" width="11.533333333333333"/>
    <col collapsed="false" customWidth="true" hidden="false" max="29" min="29" style="0" width="15.8"/>
    <col collapsed="false" customWidth="true" hidden="false" max="36" min="36" style="0" width="15.8"/>
    <col collapsed="false" customWidth="true" hidden="false" max="4" min="4" style="0" width="9.533333333333333"/>
    <col collapsed="false" customWidth="true" hidden="false" max="12" min="12" style="0" width="12.6"/>
    <col collapsed="false" customWidth="true" hidden="false" max="20" min="20" style="0" width="10.6"/>
    <col collapsed="false" customWidth="true" hidden="false" max="28" min="28" style="0" width="12.6"/>
    <col collapsed="false" customWidth="true" hidden="false" max="35" min="35" style="0" width="16.866666666666667"/>
    <col collapsed="false" customWidth="true" hidden="false" max="3" min="3" style="0" width="10.6"/>
    <col collapsed="false" customWidth="true" hidden="false" max="11" min="11" style="0" width="11.533333333333333"/>
    <col collapsed="false" customWidth="true" hidden="false" max="19" min="19" style="0" width="10.6"/>
    <col collapsed="false" customWidth="true" hidden="false" max="27" min="27" style="0" width="11.533333333333333"/>
    <col collapsed="false" customWidth="true" hidden="false" max="34" min="34" style="0" width="17.933333333333334"/>
    <col collapsed="false" customWidth="true" hidden="false" max="2" min="2" style="0" width="10.6"/>
    <col collapsed="false" customWidth="true" hidden="false" max="10" min="10" style="0" width="12.6"/>
    <col collapsed="false" customWidth="true" hidden="false" max="18" min="18" style="0" width="9.533333333333333"/>
    <col collapsed="false" customWidth="true" hidden="false" max="26" min="26" style="0" width="11.533333333333333"/>
    <col collapsed="false" customWidth="true" hidden="false" max="33" min="33" style="0" width="16.866666666666667"/>
    <col collapsed="false" customWidth="true" hidden="false" max="1" min="1" style="0" width="16.866666666666667"/>
    <col collapsed="false" customWidth="true" hidden="false" max="9" min="9" style="0" width="12.6"/>
    <col collapsed="false" customWidth="true" hidden="false" max="17" min="17" style="0" width="10.6"/>
    <col collapsed="false" customWidth="true" hidden="false" max="25" min="25" style="0" width="11.533333333333333"/>
    <col collapsed="false" customWidth="true" hidden="false" max="8" min="8" style="0" width="12.6"/>
    <col collapsed="false" customWidth="true" hidden="false" max="16" min="16" style="0" width="10.6"/>
    <col collapsed="false" customWidth="true" hidden="false" max="24" min="24" style="0" width="11.533333333333333"/>
    <col collapsed="false" customWidth="true" hidden="false" max="32" min="32" style="0" width="18.866666666666667"/>
  </cols>
  <sheetData>
    <row customHeight="true" ht="54.81481481481481" r="1">
      <c r="A1" s="1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4" t="s">
        <v>14</v>
      </c>
      <c r="O1" s="2" t="s">
        <v>15</v>
      </c>
      <c r="P1" s="2" t="s">
        <v>16</v>
      </c>
      <c r="Q1" s="3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3" t="s">
        <v>25</v>
      </c>
      <c r="Z1" s="5" t="s">
        <v>26</v>
      </c>
      <c r="AA1" s="5" t="s">
        <v>27</v>
      </c>
      <c r="AB1" s="5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</row>
    <row customHeight="true" ht="37.77777777777778" r="2">
      <c r="A2" s="6" t="s">
        <v>37</v>
      </c>
      <c r="B2" s="7">
        <v>6.8</v>
      </c>
      <c r="C2" s="8">
        <v>0.6578</v>
      </c>
      <c r="D2" s="6">
        <v>44.43</v>
      </c>
      <c r="E2" s="9">
        <f>D2*C2</f>
      </c>
      <c r="F2" s="9">
        <v>89</v>
      </c>
      <c r="G2" s="9">
        <v>4.05</v>
      </c>
      <c r="H2" s="9">
        <f>SUM(F2:G2)</f>
      </c>
      <c r="I2" s="6">
        <v>36</v>
      </c>
      <c r="J2" s="10">
        <v>0</v>
      </c>
      <c r="K2" s="10">
        <v>0</v>
      </c>
      <c r="L2" s="10">
        <v>1.5</v>
      </c>
      <c r="M2" s="10">
        <v>0</v>
      </c>
      <c r="N2" s="10">
        <v>1</v>
      </c>
      <c r="O2" s="10">
        <v>1.5</v>
      </c>
      <c r="P2" s="10">
        <v>1.5</v>
      </c>
      <c r="Q2" s="10">
        <f>SUM(L2:P2)+(J2+K2)*I2</f>
      </c>
      <c r="R2" s="10">
        <f>Q2/I2*B2</f>
      </c>
      <c r="S2" s="10">
        <f>E2*B2-H2-R2</f>
      </c>
      <c r="T2" s="11">
        <v>0.02</v>
      </c>
      <c r="U2" s="11">
        <v>0.1</v>
      </c>
      <c r="V2" s="12">
        <f>D2*U2*B2</f>
      </c>
      <c r="W2" s="11">
        <v>0.1</v>
      </c>
      <c r="X2" s="12">
        <f>D2*W2</f>
      </c>
      <c r="Y2" s="13">
        <f>D2-X2</f>
      </c>
      <c r="Z2" s="10">
        <f>S2-E2*T2*B2-V2-X2*B2</f>
      </c>
      <c r="AA2" s="8">
        <f>Z2/(E2*B2)</f>
      </c>
      <c r="AB2" s="8">
        <f>Z2/(D2*B2)</f>
      </c>
      <c r="AC2" s="8">
        <f>Z2/H2</f>
      </c>
      <c r="AD2" s="8">
        <f>H2/B2/E2</f>
      </c>
      <c r="AE2" s="10">
        <f>E2*0.7</f>
      </c>
      <c r="AF2" s="10">
        <f>AE2*B2-R2-H2</f>
      </c>
      <c r="AG2" s="8">
        <f>AE2*B2/H2</f>
      </c>
      <c r="AH2" s="8">
        <f>AE2*B2/(H2+R2)</f>
      </c>
      <c r="AI2" s="8">
        <f>AF2/H2</f>
      </c>
      <c r="AJ2" s="8">
        <f>(V2/B2+X2)/E2</f>
      </c>
    </row>
    <row customHeight="true" ht="28.148148148148145" r="3">
      <c r="A3" s="14"/>
      <c r="B3" s="15"/>
      <c r="C3" s="16"/>
      <c r="D3" s="17"/>
      <c r="E3" s="18"/>
      <c r="F3" s="18"/>
      <c r="G3" s="18"/>
      <c r="H3" s="18"/>
      <c r="I3" s="17"/>
      <c r="J3" s="19"/>
      <c r="K3" s="19"/>
      <c r="L3" s="19"/>
      <c r="M3" s="19"/>
      <c r="N3" s="19"/>
      <c r="O3" s="19"/>
      <c r="P3" s="19"/>
      <c r="Q3" s="19"/>
      <c r="R3" s="19"/>
      <c r="S3" s="19"/>
      <c r="T3" s="16"/>
      <c r="U3" s="16"/>
      <c r="V3" s="20"/>
      <c r="W3" s="16"/>
      <c r="X3" s="20"/>
      <c r="Y3" s="20"/>
      <c r="Z3" s="19"/>
      <c r="AA3" s="21"/>
      <c r="AB3" s="21"/>
      <c r="AC3" s="21"/>
      <c r="AD3" s="21"/>
      <c r="AE3" s="19"/>
      <c r="AF3" s="19"/>
      <c r="AG3" s="21"/>
      <c r="AH3" s="21"/>
      <c r="AI3" s="21"/>
      <c r="AJ3" s="21"/>
    </row>
    <row customHeight="true" ht="34.81481481481481" r="4">
      <c r="A4" s="22" t="s">
        <v>38</v>
      </c>
      <c r="B4" s="23" t="s">
        <v>2</v>
      </c>
      <c r="C4" s="23" t="s">
        <v>39</v>
      </c>
      <c r="D4" s="23" t="s">
        <v>40</v>
      </c>
      <c r="E4" s="23" t="s">
        <v>41</v>
      </c>
      <c r="F4" s="23" t="s">
        <v>42</v>
      </c>
      <c r="G4" s="24" t="s">
        <v>43</v>
      </c>
      <c r="H4" s="23" t="s">
        <v>6</v>
      </c>
      <c r="I4" s="23" t="s">
        <v>44</v>
      </c>
      <c r="J4" s="23" t="s">
        <v>45</v>
      </c>
      <c r="K4" s="23" t="s">
        <v>46</v>
      </c>
      <c r="L4" s="23" t="s">
        <v>47</v>
      </c>
      <c r="M4" s="24" t="s">
        <v>48</v>
      </c>
      <c r="N4" s="25" t="s">
        <v>49</v>
      </c>
      <c r="O4" s="23" t="s">
        <v>50</v>
      </c>
      <c r="P4" s="23" t="s">
        <v>51</v>
      </c>
      <c r="Q4" s="23" t="s">
        <v>52</v>
      </c>
      <c r="R4" s="23" t="s">
        <v>53</v>
      </c>
      <c r="S4" s="23" t="s">
        <v>54</v>
      </c>
      <c r="T4" s="23" t="s">
        <v>55</v>
      </c>
      <c r="U4" s="23" t="s">
        <v>56</v>
      </c>
      <c r="V4" s="23" t="s">
        <v>57</v>
      </c>
      <c r="W4" s="23" t="s">
        <v>58</v>
      </c>
      <c r="X4" s="23" t="s">
        <v>59</v>
      </c>
      <c r="Y4" s="26" t="s">
        <v>60</v>
      </c>
      <c r="Z4" s="26" t="s">
        <v>61</v>
      </c>
    </row>
    <row customHeight="true" ht="33.33333333333333" r="5">
      <c r="A5" s="6" t="s">
        <v>62</v>
      </c>
      <c r="B5" s="7">
        <v>6.8</v>
      </c>
      <c r="C5" s="6" t="s">
        <v>63</v>
      </c>
      <c r="D5" s="6" t="s">
        <v>64</v>
      </c>
      <c r="E5" s="9">
        <f t="shared" ref="E5:E8" si="1">IF(D5="有",(H5/B5+I5+X5/B5)/(0.99999-J5-K5-L5-M5),(H5/B5+I5+X5/B5)/(0.99999-J5-L5-M5))</f>
      </c>
      <c r="F5" s="9">
        <f t="shared" ref="F5:F8" si="6">IF(D5="有",(H5/B5+I5+X5/B5)/(0.8-J5-K5-L5-M5-N5-O5),(H5/B5+I5+X5/B5)/(0.8-J5-L5-M5-N5-O5))</f>
      </c>
      <c r="G5" s="27">
        <v>49.99</v>
      </c>
      <c r="H5" s="9">
        <v>89</v>
      </c>
      <c r="I5" s="6">
        <v>5.4</v>
      </c>
      <c r="J5" s="11">
        <v>0.15</v>
      </c>
      <c r="K5" s="11">
        <v>0</v>
      </c>
      <c r="L5" s="11">
        <v>0.03</v>
      </c>
      <c r="M5" s="11">
        <v>0.25</v>
      </c>
      <c r="N5" s="28">
        <v>0.003</v>
      </c>
      <c r="O5" s="11">
        <v>0.02</v>
      </c>
      <c r="P5" s="9">
        <v>10</v>
      </c>
      <c r="Q5" s="9">
        <v>10</v>
      </c>
      <c r="R5" s="9">
        <v>15</v>
      </c>
      <c r="S5" s="9">
        <v>0.45</v>
      </c>
      <c r="T5" s="12">
        <f t="shared" ref="T5:T8" si="4">P5*Q5*R5/6000</f>
      </c>
      <c r="U5" s="12">
        <f t="shared" ref="U5:U8" si="10">MAX(S5:T5)</f>
      </c>
      <c r="V5" s="12" t="s">
        <v>65</v>
      </c>
      <c r="W5" s="12">
        <v>9</v>
      </c>
      <c r="X5" s="12">
        <f t="shared" ref="X5:X8" si="8">U5*W5</f>
      </c>
      <c r="Y5" s="12">
        <f t="shared" ref="Y5:Y8" si="0">G5-SUM(J5:O5)*G5-I5-H5/B5-X5/B5</f>
      </c>
      <c r="Z5" s="28">
        <f t="shared" ref="Z5:Z8" si="12">Y5/G5</f>
      </c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customHeight="true" ht="33.33333333333333" r="6">
      <c r="A6" s="6" t="s">
        <v>66</v>
      </c>
      <c r="B6" s="7">
        <v>6.8</v>
      </c>
      <c r="C6" s="6" t="s">
        <v>63</v>
      </c>
      <c r="D6" s="6" t="s">
        <v>64</v>
      </c>
      <c r="E6" s="9">
        <f t="shared" si="1"/>
      </c>
      <c r="F6" s="9">
        <f t="shared" si="6"/>
      </c>
      <c r="G6" s="9">
        <v>39.99</v>
      </c>
      <c r="H6" s="9">
        <v>89</v>
      </c>
      <c r="I6" s="6">
        <v>5.4</v>
      </c>
      <c r="J6" s="11">
        <v>0.15</v>
      </c>
      <c r="K6" s="11">
        <v>0</v>
      </c>
      <c r="L6" s="11">
        <v>0.03</v>
      </c>
      <c r="M6" s="11">
        <v>0.2</v>
      </c>
      <c r="N6" s="28">
        <v>0.003</v>
      </c>
      <c r="O6" s="11">
        <v>0.02</v>
      </c>
      <c r="P6" s="9">
        <v>10</v>
      </c>
      <c r="Q6" s="9">
        <v>10</v>
      </c>
      <c r="R6" s="9">
        <v>15</v>
      </c>
      <c r="S6" s="9">
        <v>0.45</v>
      </c>
      <c r="T6" s="12">
        <f t="shared" si="4"/>
      </c>
      <c r="U6" s="12">
        <f t="shared" si="10"/>
      </c>
      <c r="V6" s="12" t="s">
        <v>65</v>
      </c>
      <c r="W6" s="12">
        <v>9</v>
      </c>
      <c r="X6" s="12">
        <f t="shared" si="8"/>
      </c>
      <c r="Y6" s="12">
        <f t="shared" si="0"/>
      </c>
      <c r="Z6" s="28">
        <f t="shared" si="12"/>
      </c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customHeight="true" ht="30.370370370370367" r="7">
      <c r="A7" s="6" t="s">
        <v>67</v>
      </c>
      <c r="B7" s="7">
        <v>6.8</v>
      </c>
      <c r="C7" s="6" t="s">
        <v>63</v>
      </c>
      <c r="D7" s="6" t="s">
        <v>64</v>
      </c>
      <c r="E7" s="9">
        <f t="shared" si="1"/>
      </c>
      <c r="F7" s="9">
        <f t="shared" si="6"/>
      </c>
      <c r="G7" s="9">
        <v>49.99</v>
      </c>
      <c r="H7" s="9">
        <v>89</v>
      </c>
      <c r="I7" s="6">
        <v>5.4</v>
      </c>
      <c r="J7" s="11">
        <v>0.15</v>
      </c>
      <c r="K7" s="11">
        <v>0</v>
      </c>
      <c r="L7" s="11">
        <v>0.03</v>
      </c>
      <c r="M7" s="11">
        <v>0.25</v>
      </c>
      <c r="N7" s="28">
        <v>0.003</v>
      </c>
      <c r="O7" s="11">
        <v>0.02</v>
      </c>
      <c r="P7" s="9">
        <v>10</v>
      </c>
      <c r="Q7" s="9">
        <v>10</v>
      </c>
      <c r="R7" s="9">
        <v>15</v>
      </c>
      <c r="S7" s="9">
        <v>0.45</v>
      </c>
      <c r="T7" s="12">
        <f t="shared" si="4"/>
      </c>
      <c r="U7" s="12">
        <f t="shared" si="10"/>
      </c>
      <c r="V7" s="12" t="s">
        <v>65</v>
      </c>
      <c r="W7" s="12">
        <v>9</v>
      </c>
      <c r="X7" s="12">
        <f t="shared" si="8"/>
      </c>
      <c r="Y7" s="12">
        <f t="shared" si="0"/>
      </c>
      <c r="Z7" s="28">
        <f t="shared" si="12"/>
      </c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customHeight="true" ht="30.370370370370367" r="8">
      <c r="A8" s="6" t="s">
        <v>68</v>
      </c>
      <c r="B8" s="7">
        <v>6.8</v>
      </c>
      <c r="C8" s="6" t="s">
        <v>63</v>
      </c>
      <c r="D8" s="6" t="s">
        <v>64</v>
      </c>
      <c r="E8" s="9">
        <f t="shared" si="1"/>
      </c>
      <c r="F8" s="9">
        <f t="shared" si="6"/>
      </c>
      <c r="G8" s="9">
        <v>37.99</v>
      </c>
      <c r="H8" s="9">
        <v>89</v>
      </c>
      <c r="I8" s="6">
        <v>5.4</v>
      </c>
      <c r="J8" s="11">
        <v>0.15</v>
      </c>
      <c r="K8" s="11">
        <v>0</v>
      </c>
      <c r="L8" s="11">
        <v>0.03</v>
      </c>
      <c r="M8" s="11">
        <v>0.2</v>
      </c>
      <c r="N8" s="28">
        <v>0.003</v>
      </c>
      <c r="O8" s="11">
        <v>0.02</v>
      </c>
      <c r="P8" s="9">
        <v>10</v>
      </c>
      <c r="Q8" s="9">
        <v>10</v>
      </c>
      <c r="R8" s="9">
        <v>15</v>
      </c>
      <c r="S8" s="9">
        <v>0.45</v>
      </c>
      <c r="T8" s="12">
        <f t="shared" si="4"/>
      </c>
      <c r="U8" s="12">
        <f t="shared" si="10"/>
      </c>
      <c r="V8" s="12" t="s">
        <v>65</v>
      </c>
      <c r="W8" s="12">
        <v>9</v>
      </c>
      <c r="X8" s="12">
        <f t="shared" si="8"/>
      </c>
      <c r="Y8" s="12">
        <f t="shared" si="0"/>
      </c>
      <c r="Z8" s="28">
        <f t="shared" si="12"/>
      </c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customHeight="true" ht="30.370370370370367" r="9"/>
    <row customHeight="true" ht="37.03703703703704" r="10">
      <c r="A10" s="1" t="s">
        <v>69</v>
      </c>
      <c r="B10" s="2" t="s">
        <v>2</v>
      </c>
      <c r="C10" s="2" t="s">
        <v>39</v>
      </c>
      <c r="D10" s="2" t="s">
        <v>40</v>
      </c>
      <c r="E10" s="2" t="s">
        <v>41</v>
      </c>
      <c r="F10" s="2" t="s">
        <v>42</v>
      </c>
      <c r="G10" s="3" t="s">
        <v>43</v>
      </c>
      <c r="H10" s="2" t="s">
        <v>6</v>
      </c>
      <c r="I10" s="2" t="s">
        <v>44</v>
      </c>
      <c r="J10" s="2" t="s">
        <v>45</v>
      </c>
      <c r="K10" s="2" t="s">
        <v>46</v>
      </c>
      <c r="L10" s="2" t="s">
        <v>47</v>
      </c>
      <c r="M10" s="3" t="s">
        <v>70</v>
      </c>
      <c r="N10" s="4" t="s">
        <v>49</v>
      </c>
      <c r="O10" s="2" t="s">
        <v>50</v>
      </c>
      <c r="P10" s="2" t="s">
        <v>51</v>
      </c>
      <c r="Q10" s="2" t="s">
        <v>52</v>
      </c>
      <c r="R10" s="2" t="s">
        <v>53</v>
      </c>
      <c r="S10" s="2" t="s">
        <v>54</v>
      </c>
      <c r="T10" s="2" t="s">
        <v>55</v>
      </c>
      <c r="U10" s="2" t="s">
        <v>56</v>
      </c>
      <c r="V10" s="2" t="s">
        <v>57</v>
      </c>
      <c r="W10" s="2" t="s">
        <v>58</v>
      </c>
      <c r="X10" s="2" t="s">
        <v>59</v>
      </c>
      <c r="Y10" s="5" t="s">
        <v>60</v>
      </c>
      <c r="Z10" s="5" t="s">
        <v>61</v>
      </c>
    </row>
    <row customHeight="true" ht="33.33333333333333" r="11">
      <c r="A11" s="6" t="s">
        <v>37</v>
      </c>
      <c r="B11" s="7">
        <v>6.8</v>
      </c>
      <c r="C11" s="6" t="s">
        <v>63</v>
      </c>
      <c r="D11" s="6" t="s">
        <v>64</v>
      </c>
      <c r="E11" s="9">
        <f t="shared" ref="E11:E12" si="3">H11/B11+I11+X11/B11+(G11*(1-M11)*(J11+L11+N11+O11))</f>
      </c>
      <c r="F11" s="9">
        <f t="shared" ref="F11:F12" si="2">(H11/B11+I11+X11/B11+(G11*(1-M11)*(J11+L11+N11+O11)))/0.8</f>
      </c>
      <c r="G11" s="27">
        <v>49.99</v>
      </c>
      <c r="H11" s="9">
        <v>89</v>
      </c>
      <c r="I11" s="6">
        <v>5.4</v>
      </c>
      <c r="J11" s="11">
        <v>0.15</v>
      </c>
      <c r="K11" s="11">
        <v>0</v>
      </c>
      <c r="L11" s="11">
        <v>0.03</v>
      </c>
      <c r="M11" s="11">
        <v>0.5</v>
      </c>
      <c r="N11" s="28">
        <v>0.003</v>
      </c>
      <c r="O11" s="11">
        <v>0.02</v>
      </c>
      <c r="P11" s="9">
        <v>10</v>
      </c>
      <c r="Q11" s="9">
        <v>10</v>
      </c>
      <c r="R11" s="9">
        <v>15</v>
      </c>
      <c r="S11" s="9">
        <v>0.45</v>
      </c>
      <c r="T11" s="12">
        <f t="shared" ref="T11:T12" si="5">P11*Q11*R11/6000</f>
      </c>
      <c r="U11" s="12">
        <f t="shared" ref="U11:U12" si="11">MAX(S11:T11)</f>
      </c>
      <c r="V11" s="12" t="s">
        <v>65</v>
      </c>
      <c r="W11" s="12">
        <v>9</v>
      </c>
      <c r="X11" s="12">
        <f t="shared" ref="X11:X12" si="9">U11*W11</f>
      </c>
      <c r="Y11" s="12">
        <f t="shared" ref="Y11:Y12" si="7">(G11*(1-M11))-H11/B11-I11-X11/B11-(J11+L11+N11+O11)*(G11*(1-M11))</f>
      </c>
      <c r="Z11" s="28">
        <f t="shared" ref="Z11:Z12" si="13">Y11/G11</f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customHeight="true" ht="33.33333333333333" r="12">
      <c r="A12" s="6" t="s">
        <v>71</v>
      </c>
      <c r="B12" s="7">
        <v>6.8</v>
      </c>
      <c r="C12" s="6" t="s">
        <v>63</v>
      </c>
      <c r="D12" s="6" t="s">
        <v>64</v>
      </c>
      <c r="E12" s="9">
        <f t="shared" si="3"/>
      </c>
      <c r="F12" s="9">
        <f t="shared" si="2"/>
      </c>
      <c r="G12" s="9">
        <v>39.99</v>
      </c>
      <c r="H12" s="9">
        <v>89</v>
      </c>
      <c r="I12" s="6">
        <v>5.4</v>
      </c>
      <c r="J12" s="11">
        <v>0.15</v>
      </c>
      <c r="K12" s="11">
        <v>0</v>
      </c>
      <c r="L12" s="11">
        <v>0.03</v>
      </c>
      <c r="M12" s="11">
        <v>0.5</v>
      </c>
      <c r="N12" s="28">
        <v>0.003</v>
      </c>
      <c r="O12" s="11">
        <v>0.02</v>
      </c>
      <c r="P12" s="9">
        <v>10</v>
      </c>
      <c r="Q12" s="9">
        <v>10</v>
      </c>
      <c r="R12" s="9">
        <v>15</v>
      </c>
      <c r="S12" s="9">
        <v>0.45</v>
      </c>
      <c r="T12" s="12">
        <f t="shared" si="5"/>
      </c>
      <c r="U12" s="12">
        <f t="shared" si="11"/>
      </c>
      <c r="V12" s="12" t="s">
        <v>65</v>
      </c>
      <c r="W12" s="12">
        <v>9</v>
      </c>
      <c r="X12" s="12">
        <f t="shared" si="9"/>
      </c>
      <c r="Y12" s="12">
        <f t="shared" si="7"/>
      </c>
      <c r="Z12" s="28">
        <f t="shared" si="13"/>
      </c>
    </row>
    <row customHeight="true" ht="23.703703703703702" r="13"/>
    <row customHeight="true" ht="24.444444444444443" r="14"/>
    <row customHeight="true" ht="35.55555555555555" r="15">
      <c r="A15" s="22" t="s">
        <v>72</v>
      </c>
      <c r="B15" s="2" t="s">
        <v>2</v>
      </c>
      <c r="C15" s="2" t="s">
        <v>3</v>
      </c>
      <c r="D15" s="2" t="s">
        <v>4</v>
      </c>
      <c r="E15" s="3" t="s">
        <v>5</v>
      </c>
      <c r="F15" s="2" t="s">
        <v>6</v>
      </c>
      <c r="G15" s="2" t="s">
        <v>7</v>
      </c>
      <c r="H15" s="2" t="s">
        <v>8</v>
      </c>
      <c r="I15" s="2" t="s">
        <v>21</v>
      </c>
      <c r="J15" s="2" t="s">
        <v>22</v>
      </c>
      <c r="K15" s="5" t="s">
        <v>73</v>
      </c>
      <c r="L15" s="5" t="s">
        <v>74</v>
      </c>
      <c r="M15" s="4" t="s">
        <v>75</v>
      </c>
    </row>
    <row customHeight="true" ht="42.22222222222222" r="16">
      <c r="A16" s="6" t="s">
        <v>37</v>
      </c>
      <c r="B16" s="7">
        <v>6.8</v>
      </c>
      <c r="C16" s="11">
        <v>0.44</v>
      </c>
      <c r="D16" s="6">
        <v>44.43</v>
      </c>
      <c r="E16" s="9">
        <f>D16*C16</f>
      </c>
      <c r="F16" s="9">
        <v>89</v>
      </c>
      <c r="G16" s="9">
        <v>4.05</v>
      </c>
      <c r="H16" s="9">
        <f>SUM(F16:G16)</f>
      </c>
      <c r="I16" s="11">
        <v>0.15</v>
      </c>
      <c r="J16" s="12">
        <f>D16*B16*I16</f>
      </c>
      <c r="K16" s="10">
        <f>E16*B16-H16-J16</f>
      </c>
      <c r="L16" s="8">
        <f>K16/(D16*B16)</f>
      </c>
      <c r="M16" s="9">
        <f>D16*0.9</f>
      </c>
      <c r="N16" s="30"/>
      <c r="O16" s="30"/>
      <c r="P16" s="30"/>
      <c r="Q16" s="30"/>
      <c r="R16" s="30"/>
      <c r="S16" s="30"/>
      <c r="T16" s="30"/>
      <c r="U16" s="30"/>
      <c r="V16" s="29"/>
      <c r="W16" s="29"/>
      <c r="X16" s="29"/>
    </row>
    <row customHeight="true" ht="44.44444444444444" r="17"/>
    <row customHeight="true" ht="21.48148148148148" r="18"/>
    <row customHeight="true" ht="21.48148148148148" r="19"/>
    <row customHeight="true" ht="44.44444444444444" r="20"/>
  </sheetData>
  <dataValidations count="2">
    <dataValidation allowBlank="true" errorStyle="stop" showErrorMessage="true" sqref="C5:C8 C11:C12" type="list">
      <formula1>"US,CA,UK,DE,IT,ES,FR,JP,AU,IN"</formula1>
    </dataValidation>
    <dataValidation allowBlank="true" errorStyle="stop" showErrorMessage="true" sqref="D5:D8 D11:D12" type="list">
      <formula1>"有,无"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5" xSplit="2" ySplit="4"/>
    </sheetView>
  </sheetViews>
  <sheetFormatPr defaultRowHeight="16"/>
  <cols>
    <col collapsed="false" customWidth="true" hidden="false" max="3" min="3" style="0" width="15.8"/>
    <col collapsed="false" customWidth="true" hidden="false" max="7" min="7" style="0" width="15.8"/>
    <col collapsed="false" customWidth="true" hidden="false" max="11" min="11" style="0" width="15.8"/>
    <col collapsed="false" customWidth="true" hidden="false" max="15" min="15" style="0" width="15.8"/>
    <col collapsed="false" customWidth="true" hidden="false" max="20" min="20" style="0" width="15.8"/>
    <col collapsed="false" customWidth="true" hidden="false" max="24" min="24" style="0" width="15.8"/>
    <col collapsed="false" customWidth="true" hidden="false" max="2" min="2" style="0" width="16.866666666666667"/>
    <col collapsed="false" customWidth="true" hidden="false" max="6" min="6" style="0" width="15.8"/>
    <col collapsed="false" customWidth="true" hidden="false" max="10" min="10" style="0" width="15.8"/>
    <col collapsed="false" customWidth="true" hidden="false" max="14" min="14" style="0" width="15.8"/>
    <col collapsed="false" customWidth="true" hidden="false" max="19" min="19" style="0" width="15.8"/>
    <col collapsed="false" customWidth="true" hidden="false" max="23" min="23" style="0" width="15.8"/>
    <col collapsed="false" customWidth="true" hidden="false" max="27" min="27" style="0" width="21"/>
    <col collapsed="false" customWidth="true" hidden="false" max="1" min="1" style="0" width="12.6"/>
    <col collapsed="false" customWidth="true" hidden="false" max="5" min="5" style="0" width="15.8"/>
    <col collapsed="false" customWidth="true" hidden="false" max="9" min="9" style="0" width="15.8"/>
    <col collapsed="false" customWidth="true" hidden="false" max="13" min="13" style="0" width="15.8"/>
    <col collapsed="false" customWidth="true" hidden="false" max="18" min="18" style="0" width="15.8"/>
    <col collapsed="false" customWidth="true" hidden="false" max="22" min="22" style="0" width="15.8"/>
    <col collapsed="false" customWidth="true" hidden="false" max="26" min="26" style="0" width="15.8"/>
    <col collapsed="false" customWidth="true" hidden="false" max="4" min="4" style="0" width="15.8"/>
    <col collapsed="false" customWidth="true" hidden="false" max="8" min="8" style="0" width="15.8"/>
    <col collapsed="false" customWidth="true" hidden="false" max="12" min="12" style="0" width="15.8"/>
    <col collapsed="false" customWidth="true" hidden="false" max="16" min="16" style="0" width="15.8"/>
    <col collapsed="false" customWidth="true" hidden="false" max="17" min="17" style="0" width="15.8"/>
    <col collapsed="false" customWidth="true" hidden="false" max="21" min="21" style="0" width="15.8"/>
    <col collapsed="false" customWidth="true" hidden="false" max="25" min="25" style="0" width="15.8"/>
  </cols>
  <sheetData>
    <row customHeight="true" ht="31.11111111111111" r="1">
      <c r="A1" s="31" t="s">
        <v>76</v>
      </c>
      <c r="B1" s="32"/>
      <c r="C1" s="33" t="s">
        <v>77</v>
      </c>
      <c r="D1" s="34"/>
      <c r="E1" s="34"/>
      <c r="F1" s="34"/>
      <c r="G1" s="35" t="s">
        <v>78</v>
      </c>
      <c r="H1" s="36"/>
      <c r="I1" s="36"/>
      <c r="J1" s="36"/>
      <c r="K1" s="37" t="s">
        <v>79</v>
      </c>
      <c r="L1" s="38"/>
      <c r="M1" s="38"/>
      <c r="N1" s="38"/>
      <c r="O1" s="39" t="s">
        <v>80</v>
      </c>
      <c r="P1" s="40"/>
      <c r="Q1" s="40"/>
      <c r="R1" s="40"/>
      <c r="S1" s="35" t="s">
        <v>81</v>
      </c>
      <c r="T1" s="36"/>
      <c r="U1" s="36"/>
      <c r="V1" s="36"/>
      <c r="W1" s="41" t="s">
        <v>82</v>
      </c>
      <c r="X1" s="42"/>
      <c r="Y1" s="42"/>
      <c r="Z1" s="42"/>
    </row>
    <row customHeight="true" ht="33.33333333333333" r="2">
      <c r="A2" s="31" t="s">
        <v>83</v>
      </c>
      <c r="B2" s="43"/>
      <c r="C2" s="44" t="s">
        <v>84</v>
      </c>
      <c r="D2" s="45"/>
      <c r="E2" s="45"/>
      <c r="F2" s="45"/>
      <c r="G2" s="46" t="s">
        <v>85</v>
      </c>
      <c r="H2" s="47"/>
      <c r="I2" s="47"/>
      <c r="J2" s="47"/>
      <c r="K2" s="48" t="s">
        <v>86</v>
      </c>
      <c r="L2" s="48"/>
      <c r="M2" s="48"/>
      <c r="N2" s="48"/>
      <c r="O2" s="49" t="s">
        <v>87</v>
      </c>
      <c r="P2" s="49"/>
      <c r="Q2" s="49"/>
      <c r="R2" s="49"/>
      <c r="S2" s="46" t="s">
        <v>87</v>
      </c>
      <c r="T2" s="46"/>
      <c r="U2" s="46"/>
      <c r="V2" s="46"/>
      <c r="W2" s="50" t="s">
        <v>87</v>
      </c>
      <c r="X2" s="50"/>
      <c r="Y2" s="50"/>
      <c r="Z2" s="50"/>
      <c r="AA2" s="51"/>
    </row>
    <row customHeight="true" ht="23.703703703703702" r="3">
      <c r="A3" s="52" t="s">
        <v>88</v>
      </c>
      <c r="B3" s="32"/>
      <c r="C3" s="33" t="s">
        <v>89</v>
      </c>
      <c r="D3" s="33" t="s">
        <v>90</v>
      </c>
      <c r="E3" s="33" t="s">
        <v>91</v>
      </c>
      <c r="F3" s="33" t="s">
        <v>92</v>
      </c>
      <c r="G3" s="35" t="s">
        <v>89</v>
      </c>
      <c r="H3" s="35" t="s">
        <v>90</v>
      </c>
      <c r="I3" s="35" t="s">
        <v>91</v>
      </c>
      <c r="J3" s="35" t="s">
        <v>92</v>
      </c>
      <c r="K3" s="37" t="s">
        <v>89</v>
      </c>
      <c r="L3" s="37" t="s">
        <v>90</v>
      </c>
      <c r="M3" s="37" t="s">
        <v>91</v>
      </c>
      <c r="N3" s="37" t="s">
        <v>92</v>
      </c>
      <c r="O3" s="39" t="s">
        <v>89</v>
      </c>
      <c r="P3" s="39" t="s">
        <v>90</v>
      </c>
      <c r="Q3" s="39" t="s">
        <v>91</v>
      </c>
      <c r="R3" s="39" t="s">
        <v>92</v>
      </c>
      <c r="S3" s="35" t="s">
        <v>89</v>
      </c>
      <c r="T3" s="35" t="s">
        <v>90</v>
      </c>
      <c r="U3" s="35" t="s">
        <v>91</v>
      </c>
      <c r="V3" s="35" t="s">
        <v>92</v>
      </c>
      <c r="W3" s="41" t="s">
        <v>89</v>
      </c>
      <c r="X3" s="41" t="s">
        <v>90</v>
      </c>
      <c r="Y3" s="41" t="s">
        <v>91</v>
      </c>
      <c r="Z3" s="41" t="s">
        <v>92</v>
      </c>
    </row>
    <row customHeight="true" ht="23.703703703703702" r="4">
      <c r="A4" s="52" t="s">
        <v>93</v>
      </c>
      <c r="B4" s="53" t="s">
        <v>94</v>
      </c>
      <c r="C4" s="54" t="s">
        <v>95</v>
      </c>
      <c r="D4" s="54" t="s">
        <v>96</v>
      </c>
      <c r="E4" s="54" t="s">
        <v>97</v>
      </c>
      <c r="F4" s="54" t="s">
        <v>98</v>
      </c>
      <c r="G4" s="55" t="s">
        <v>99</v>
      </c>
      <c r="H4" s="55" t="s">
        <v>100</v>
      </c>
      <c r="I4" s="55" t="s">
        <v>101</v>
      </c>
      <c r="J4" s="55" t="s">
        <v>102</v>
      </c>
      <c r="K4" s="56" t="s">
        <v>103</v>
      </c>
      <c r="L4" s="56" t="s">
        <v>104</v>
      </c>
      <c r="M4" s="56" t="s">
        <v>105</v>
      </c>
      <c r="N4" s="56" t="s">
        <v>106</v>
      </c>
      <c r="O4" s="57"/>
      <c r="P4" s="57"/>
      <c r="Q4" s="57"/>
      <c r="R4" s="57"/>
      <c r="S4" s="58"/>
      <c r="T4" s="58"/>
      <c r="U4" s="58"/>
      <c r="V4" s="58"/>
      <c r="W4" s="59"/>
      <c r="X4" s="59"/>
      <c r="Y4" s="59"/>
      <c r="Z4" s="59"/>
    </row>
    <row customHeight="true" ht="94.81481481481481" r="5">
      <c r="A5" s="52" t="s">
        <v>107</v>
      </c>
      <c r="B5" s="32" t="s">
        <v>108</v>
      </c>
      <c r="C5" s="60" t="s">
        <v>109</v>
      </c>
      <c r="D5" s="61"/>
      <c r="E5" s="61"/>
      <c r="F5" s="62"/>
      <c r="G5" s="63" t="s">
        <v>110</v>
      </c>
      <c r="H5" s="63"/>
      <c r="I5" s="63"/>
      <c r="J5" s="63"/>
      <c r="K5" s="64" t="s">
        <v>111</v>
      </c>
      <c r="L5" s="64"/>
      <c r="M5" s="64"/>
      <c r="N5" s="64"/>
      <c r="O5" s="65" t="s">
        <v>112</v>
      </c>
      <c r="P5" s="66"/>
      <c r="Q5" s="66"/>
      <c r="R5" s="66"/>
      <c r="S5" s="63" t="s">
        <v>113</v>
      </c>
      <c r="T5" s="67"/>
      <c r="U5" s="67"/>
      <c r="V5" s="67"/>
      <c r="W5" s="68" t="s">
        <v>114</v>
      </c>
      <c r="X5" s="69"/>
      <c r="Y5" s="69"/>
      <c r="Z5" s="69"/>
    </row>
    <row customHeight="true" ht="35.55555555555555" r="6">
      <c r="A6" s="52" t="s">
        <v>115</v>
      </c>
      <c r="B6" s="32" t="s">
        <v>116</v>
      </c>
      <c r="C6" s="70">
        <v>49.99</v>
      </c>
      <c r="D6" s="70">
        <v>49.99</v>
      </c>
      <c r="E6" s="70">
        <v>49.99</v>
      </c>
      <c r="F6" s="70">
        <v>49.99</v>
      </c>
      <c r="G6" s="70">
        <v>49.99</v>
      </c>
      <c r="H6" s="70">
        <v>49.99</v>
      </c>
      <c r="I6" s="70">
        <v>49.99</v>
      </c>
      <c r="J6" s="70">
        <v>49.99</v>
      </c>
      <c r="K6" s="70">
        <v>44.43</v>
      </c>
      <c r="L6" s="70">
        <v>44.43</v>
      </c>
      <c r="M6" s="70">
        <v>44.43</v>
      </c>
      <c r="N6" s="70">
        <v>44.43</v>
      </c>
      <c r="O6" s="70">
        <v>44.43</v>
      </c>
      <c r="P6" s="70">
        <v>44.43</v>
      </c>
      <c r="Q6" s="70">
        <v>44.43</v>
      </c>
      <c r="R6" s="70">
        <v>44.43</v>
      </c>
      <c r="S6" s="70">
        <v>44.43</v>
      </c>
      <c r="T6" s="70">
        <v>44.43</v>
      </c>
      <c r="U6" s="70">
        <v>44.43</v>
      </c>
      <c r="V6" s="70">
        <v>44.43</v>
      </c>
      <c r="W6" s="70">
        <v>44.43</v>
      </c>
      <c r="X6" s="70">
        <v>44.43</v>
      </c>
      <c r="Y6" s="70">
        <v>44.43</v>
      </c>
      <c r="Z6" s="70">
        <v>44.43</v>
      </c>
    </row>
    <row customHeight="true" ht="35.55555555555555" r="7">
      <c r="A7" s="52"/>
      <c r="B7" s="32" t="s">
        <v>117</v>
      </c>
      <c r="C7" s="70" t="s">
        <v>118</v>
      </c>
      <c r="D7" s="70" t="s">
        <v>118</v>
      </c>
      <c r="E7" s="70" t="s">
        <v>118</v>
      </c>
      <c r="F7" s="70" t="s">
        <v>118</v>
      </c>
      <c r="G7" s="70" t="s">
        <v>118</v>
      </c>
      <c r="H7" s="70" t="s">
        <v>118</v>
      </c>
      <c r="I7" s="70" t="s">
        <v>118</v>
      </c>
      <c r="J7" s="70" t="s">
        <v>118</v>
      </c>
      <c r="K7" s="70">
        <f>K6*0.9</f>
      </c>
      <c r="L7" s="70">
        <f>L6*0.9</f>
      </c>
      <c r="M7" s="70">
        <f>M6*0.9</f>
      </c>
      <c r="N7" s="70">
        <f>N6*0.9</f>
      </c>
      <c r="O7" s="70">
        <f>O6*0.9</f>
      </c>
      <c r="P7" s="70">
        <f>P6*0.9</f>
      </c>
      <c r="Q7" s="70">
        <f>Q6*0.9</f>
      </c>
      <c r="R7" s="70">
        <f>R6*0.9</f>
      </c>
      <c r="S7" s="70">
        <f>S6*0.9</f>
      </c>
      <c r="T7" s="70">
        <f>T6*0.9</f>
      </c>
      <c r="U7" s="70">
        <f>U6*0.9</f>
      </c>
      <c r="V7" s="70">
        <f>V6*0.9</f>
      </c>
      <c r="W7" s="70">
        <f>W6*0.9</f>
      </c>
      <c r="X7" s="70">
        <f>X6*0.9</f>
      </c>
      <c r="Y7" s="70">
        <f>Y6*0.9</f>
      </c>
      <c r="Z7" s="70">
        <f>Z6*0.9</f>
      </c>
    </row>
    <row customHeight="true" ht="35.55555555555555" r="8">
      <c r="A8" s="52" t="s">
        <v>119</v>
      </c>
      <c r="B8" s="32" t="s">
        <v>120</v>
      </c>
      <c r="C8" s="71">
        <v>500</v>
      </c>
      <c r="D8" s="71">
        <v>300</v>
      </c>
      <c r="E8" s="71">
        <v>280</v>
      </c>
      <c r="F8" s="71">
        <v>250</v>
      </c>
      <c r="G8" s="71">
        <v>220</v>
      </c>
      <c r="H8" s="71">
        <v>210</v>
      </c>
      <c r="I8" s="71">
        <v>190</v>
      </c>
      <c r="J8" s="71">
        <v>180</v>
      </c>
      <c r="K8" s="71">
        <v>160</v>
      </c>
      <c r="L8" s="71">
        <v>150</v>
      </c>
      <c r="M8" s="71">
        <v>145</v>
      </c>
      <c r="N8" s="71">
        <v>140</v>
      </c>
      <c r="O8" s="71">
        <v>130</v>
      </c>
      <c r="P8" s="71">
        <v>120</v>
      </c>
      <c r="Q8" s="71">
        <v>100</v>
      </c>
      <c r="R8" s="71">
        <v>95</v>
      </c>
      <c r="S8" s="71">
        <v>90</v>
      </c>
      <c r="T8" s="71">
        <v>80</v>
      </c>
      <c r="U8" s="71">
        <v>70</v>
      </c>
      <c r="V8" s="71">
        <v>65</v>
      </c>
      <c r="W8" s="71">
        <v>60</v>
      </c>
      <c r="X8" s="71">
        <v>55</v>
      </c>
      <c r="Y8" s="71">
        <v>52</v>
      </c>
      <c r="Z8" s="71">
        <v>50</v>
      </c>
    </row>
    <row customHeight="true" ht="35.55555555555555" r="9">
      <c r="A9" s="52"/>
      <c r="B9" s="32" t="s">
        <v>121</v>
      </c>
      <c r="C9" s="71">
        <v>306</v>
      </c>
      <c r="D9" s="71">
        <v>180</v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customHeight="true" ht="35.55555555555555" r="10">
      <c r="A10" s="52" t="s">
        <v>122</v>
      </c>
      <c r="B10" s="72" t="s">
        <v>123</v>
      </c>
      <c r="C10" s="73">
        <f>C6*C12</f>
      </c>
      <c r="D10" s="73">
        <f>D6*D12</f>
      </c>
      <c r="E10" s="73">
        <f>E6*E12</f>
      </c>
      <c r="F10" s="73">
        <f>F6*F12</f>
      </c>
      <c r="G10" s="73">
        <f>G6*G12</f>
      </c>
      <c r="H10" s="73">
        <f>H6*H12</f>
      </c>
      <c r="I10" s="73">
        <f>I6*I12</f>
      </c>
      <c r="J10" s="73">
        <f>J6*J12</f>
      </c>
      <c r="K10" s="73">
        <f>K6*K12</f>
      </c>
      <c r="L10" s="73">
        <f>L6*L12</f>
      </c>
      <c r="M10" s="73">
        <f>M6*M12</f>
      </c>
      <c r="N10" s="73">
        <f>N6*N12</f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customHeight="true" ht="35.55555555555555" r="11">
      <c r="A11" s="52"/>
      <c r="B11" s="72" t="s">
        <v>124</v>
      </c>
      <c r="C11" s="73">
        <v>6898.62</v>
      </c>
      <c r="D11" s="73">
        <v>6749</v>
      </c>
      <c r="E11" s="73">
        <v>6749</v>
      </c>
      <c r="F11" s="73">
        <v>6749</v>
      </c>
      <c r="G11" s="73">
        <v>6749</v>
      </c>
      <c r="H11" s="73">
        <v>6749</v>
      </c>
      <c r="I11" s="73"/>
      <c r="J11" s="73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customHeight="true" ht="35.55555555555555" r="12">
      <c r="A12" s="52"/>
      <c r="B12" s="72" t="s">
        <v>125</v>
      </c>
      <c r="C12" s="73">
        <v>70</v>
      </c>
      <c r="D12" s="73">
        <v>84</v>
      </c>
      <c r="E12" s="73">
        <v>90</v>
      </c>
      <c r="F12" s="73">
        <v>105</v>
      </c>
      <c r="G12" s="73">
        <v>120</v>
      </c>
      <c r="H12" s="73">
        <v>140</v>
      </c>
      <c r="I12" s="73">
        <v>150</v>
      </c>
      <c r="J12" s="73">
        <v>160</v>
      </c>
      <c r="K12" s="73">
        <v>175</v>
      </c>
      <c r="L12" s="73">
        <v>190</v>
      </c>
      <c r="M12" s="73">
        <v>200</v>
      </c>
      <c r="N12" s="73">
        <v>210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customHeight="true" ht="35.55555555555555" r="13">
      <c r="A13" s="52"/>
      <c r="B13" s="72" t="s">
        <v>126</v>
      </c>
      <c r="C13" s="73">
        <v>138</v>
      </c>
      <c r="D13" s="73">
        <v>135</v>
      </c>
      <c r="E13" s="73"/>
      <c r="F13" s="73"/>
      <c r="G13" s="73"/>
      <c r="H13" s="73"/>
      <c r="I13" s="73"/>
      <c r="J13" s="73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customHeight="true" ht="35.55555555555555" r="14">
      <c r="A14" s="52"/>
      <c r="B14" s="72" t="s">
        <v>127</v>
      </c>
      <c r="C14" s="73">
        <f t="shared" ref="C14:C15" si="0">C12/7</f>
      </c>
      <c r="D14" s="73">
        <f t="shared" ref="D14:D15" si="1">D12/7</f>
      </c>
      <c r="E14" s="73">
        <f>E12/7</f>
      </c>
      <c r="F14" s="73">
        <f>F12/7</f>
      </c>
      <c r="G14" s="73">
        <f>G12/7</f>
      </c>
      <c r="H14" s="73">
        <f>H12/7</f>
      </c>
      <c r="I14" s="73">
        <f>I12/7</f>
      </c>
      <c r="J14" s="73">
        <f>J12/7</f>
      </c>
      <c r="K14" s="73">
        <f>K12/7</f>
      </c>
      <c r="L14" s="73">
        <f>L12/7</f>
      </c>
      <c r="M14" s="73">
        <f>M12/7</f>
      </c>
      <c r="N14" s="73">
        <f>N12/7</f>
      </c>
      <c r="O14" s="73">
        <f>O12/7</f>
      </c>
      <c r="P14" s="73">
        <f>P12/7</f>
      </c>
      <c r="Q14" s="73">
        <f>Q12/7</f>
      </c>
      <c r="R14" s="73">
        <f>R12/7</f>
      </c>
      <c r="S14" s="73">
        <f>S12/7</f>
      </c>
      <c r="T14" s="73">
        <f>T12/7</f>
      </c>
      <c r="U14" s="73">
        <f>U12/7</f>
      </c>
      <c r="V14" s="73">
        <f>V12/7</f>
      </c>
      <c r="W14" s="73">
        <f>W12/7</f>
      </c>
      <c r="X14" s="73">
        <f>X12/7</f>
      </c>
      <c r="Y14" s="73">
        <f>Y12/7</f>
      </c>
      <c r="Z14" s="73">
        <f>Z12/7</f>
      </c>
    </row>
    <row customHeight="true" ht="35.55555555555555" r="15">
      <c r="A15" s="52"/>
      <c r="B15" s="72" t="s">
        <v>128</v>
      </c>
      <c r="C15" s="73">
        <f t="shared" si="0"/>
      </c>
      <c r="D15" s="73">
        <f t="shared" si="1"/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customHeight="true" ht="35.55555555555555" r="16">
      <c r="A16" s="52"/>
      <c r="B16" s="72" t="s">
        <v>129</v>
      </c>
      <c r="C16" s="73" t="s">
        <v>118</v>
      </c>
      <c r="D16" s="73" t="s">
        <v>118</v>
      </c>
      <c r="E16" s="73" t="s">
        <v>118</v>
      </c>
      <c r="F16" s="73" t="s">
        <v>118</v>
      </c>
      <c r="G16" s="73">
        <v>360</v>
      </c>
      <c r="H16" s="73"/>
      <c r="I16" s="73"/>
      <c r="J16" s="73"/>
      <c r="K16" s="73">
        <v>600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customHeight="true" ht="35.55555555555555" r="17">
      <c r="A17" s="52"/>
      <c r="B17" s="72" t="s">
        <v>130</v>
      </c>
      <c r="C17" s="73" t="s">
        <v>118</v>
      </c>
      <c r="D17" s="73" t="s">
        <v>118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customHeight="true" ht="35.55555555555555" r="18">
      <c r="A18" s="74" t="s">
        <v>131</v>
      </c>
      <c r="B18" s="72" t="s">
        <v>132</v>
      </c>
      <c r="C18" s="75">
        <f>C10*C20</f>
      </c>
      <c r="D18" s="75">
        <f>D10*D20</f>
      </c>
      <c r="E18" s="75">
        <f>E10*E20</f>
      </c>
      <c r="F18" s="75">
        <f>F10*F20</f>
      </c>
      <c r="G18" s="75">
        <f>G10*G20</f>
      </c>
      <c r="H18" s="75">
        <f>H10*H20</f>
      </c>
      <c r="I18" s="75">
        <f>I10*I20</f>
      </c>
      <c r="J18" s="75">
        <f>J10*J20</f>
      </c>
      <c r="K18" s="75">
        <f>K10*K20</f>
      </c>
      <c r="L18" s="75">
        <f>L10*L20</f>
      </c>
      <c r="M18" s="75">
        <f>M10*M20</f>
      </c>
      <c r="N18" s="75">
        <f>N10*N20</f>
      </c>
      <c r="O18" s="75">
        <f>O10*O20</f>
      </c>
      <c r="P18" s="75">
        <f>P10*P20</f>
      </c>
      <c r="Q18" s="75">
        <f>Q10*Q20</f>
      </c>
      <c r="R18" s="75">
        <f>R10*R20</f>
      </c>
      <c r="S18" s="75">
        <f>S10*S20</f>
      </c>
      <c r="T18" s="75">
        <f>T10*T20</f>
      </c>
      <c r="U18" s="75">
        <f>U10*U20</f>
      </c>
      <c r="V18" s="75">
        <f>V10*V20</f>
      </c>
      <c r="W18" s="75">
        <f>W10*W20</f>
      </c>
      <c r="X18" s="75">
        <f>X10*X20</f>
      </c>
      <c r="Y18" s="75">
        <f>Y10*Y20</f>
      </c>
      <c r="Z18" s="75">
        <f>Z10*Z20</f>
      </c>
    </row>
    <row customHeight="true" ht="35.55555555555555" r="19">
      <c r="A19" s="76"/>
      <c r="B19" s="72" t="s">
        <v>133</v>
      </c>
      <c r="C19" s="75">
        <v>219.66</v>
      </c>
      <c r="D19" s="75">
        <v>830</v>
      </c>
      <c r="E19" s="75">
        <v>830</v>
      </c>
      <c r="F19" s="75">
        <v>830</v>
      </c>
      <c r="G19" s="75">
        <v>830</v>
      </c>
      <c r="H19" s="75"/>
      <c r="I19" s="75"/>
      <c r="J19" s="75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customHeight="true" ht="35.55555555555555" r="20">
      <c r="A20" s="76"/>
      <c r="B20" s="32" t="s">
        <v>134</v>
      </c>
      <c r="C20" s="77">
        <v>0.02</v>
      </c>
      <c r="D20" s="77">
        <v>0.02</v>
      </c>
      <c r="E20" s="77">
        <v>0.05</v>
      </c>
      <c r="F20" s="77">
        <v>0.05</v>
      </c>
      <c r="G20" s="77">
        <v>0.1</v>
      </c>
      <c r="H20" s="77">
        <v>0.1</v>
      </c>
      <c r="I20" s="77">
        <v>0.15</v>
      </c>
      <c r="J20" s="77">
        <v>0.15</v>
      </c>
      <c r="K20" s="77">
        <v>0.15</v>
      </c>
      <c r="L20" s="77">
        <v>0.15</v>
      </c>
      <c r="M20" s="77">
        <v>0.165</v>
      </c>
      <c r="N20" s="77">
        <v>0.165</v>
      </c>
      <c r="O20" s="77">
        <v>0.125</v>
      </c>
      <c r="P20" s="77">
        <v>0.125</v>
      </c>
      <c r="Q20" s="77">
        <v>0.125</v>
      </c>
      <c r="R20" s="77">
        <v>0.125</v>
      </c>
      <c r="S20" s="77">
        <v>0.125</v>
      </c>
      <c r="T20" s="77">
        <v>0.125</v>
      </c>
      <c r="U20" s="77">
        <v>0.125</v>
      </c>
      <c r="V20" s="77">
        <v>0.125</v>
      </c>
      <c r="W20" s="77">
        <v>0.125</v>
      </c>
      <c r="X20" s="77">
        <v>0.125</v>
      </c>
      <c r="Y20" s="77">
        <v>0.125</v>
      </c>
      <c r="Z20" s="77">
        <v>0.125</v>
      </c>
    </row>
    <row customHeight="true" ht="35.55555555555555" r="21">
      <c r="A21" s="78"/>
      <c r="B21" s="32" t="s">
        <v>135</v>
      </c>
      <c r="C21" s="79">
        <f>C13/C11</f>
      </c>
      <c r="D21" s="79">
        <f>D13/D11</f>
      </c>
      <c r="E21" s="79">
        <f>E13/E11</f>
      </c>
      <c r="F21" s="79">
        <f>F13/F11</f>
      </c>
      <c r="G21" s="79">
        <f>G13/G11</f>
      </c>
      <c r="H21" s="79">
        <f>H13/H11</f>
      </c>
      <c r="I21" s="79">
        <f>I13/I11</f>
      </c>
      <c r="J21" s="79">
        <f>J13/J11</f>
      </c>
      <c r="K21" s="79">
        <f>K13/K11</f>
      </c>
      <c r="L21" s="79">
        <f>L13/L11</f>
      </c>
      <c r="M21" s="79">
        <f>M13/M11</f>
      </c>
      <c r="N21" s="79">
        <f>N13/N11</f>
      </c>
      <c r="O21" s="79">
        <f>O13/O11</f>
      </c>
      <c r="P21" s="79">
        <f>P13/P11</f>
      </c>
      <c r="Q21" s="79">
        <f>Q13/Q11</f>
      </c>
      <c r="R21" s="79">
        <f>R13/R11</f>
      </c>
      <c r="S21" s="79">
        <f>S13/S11</f>
      </c>
      <c r="T21" s="79">
        <f>T13/T11</f>
      </c>
      <c r="U21" s="79">
        <f>U13/U11</f>
      </c>
      <c r="V21" s="79">
        <f>V13/V11</f>
      </c>
      <c r="W21" s="79">
        <f>W13/W11</f>
      </c>
      <c r="X21" s="79">
        <f>X13/X11</f>
      </c>
      <c r="Y21" s="79">
        <f>Y13/Y11</f>
      </c>
      <c r="Z21" s="79">
        <f>Z13/Z11</f>
      </c>
    </row>
    <row customHeight="true" ht="35.55555555555555" r="22">
      <c r="A22" s="52" t="s">
        <v>136</v>
      </c>
      <c r="B22" s="80" t="s">
        <v>137</v>
      </c>
      <c r="C22" s="73">
        <v>0</v>
      </c>
      <c r="D22" s="73">
        <v>0</v>
      </c>
      <c r="E22" s="73">
        <f>E10*0.18</f>
      </c>
      <c r="F22" s="73">
        <f>F10*0.15</f>
      </c>
      <c r="G22" s="73">
        <f>G10*0.15</f>
      </c>
      <c r="H22" s="73">
        <f>H10*0.15</f>
      </c>
      <c r="I22" s="73">
        <f>I10*0.15</f>
      </c>
      <c r="J22" s="73">
        <f>J10*0.15</f>
      </c>
      <c r="K22" s="73">
        <f>K10*0.15</f>
      </c>
      <c r="L22" s="73">
        <f>L10*0.15</f>
      </c>
      <c r="M22" s="73">
        <f>M10*0.15</f>
      </c>
      <c r="N22" s="73">
        <f>N10*0.15</f>
      </c>
      <c r="O22" s="73">
        <f>O10*0.15</f>
      </c>
      <c r="P22" s="73">
        <f>P10*0.15</f>
      </c>
      <c r="Q22" s="73">
        <f>Q10*0.15</f>
      </c>
      <c r="R22" s="73">
        <f>R10*0.15</f>
      </c>
      <c r="S22" s="73">
        <f>S10*0.15</f>
      </c>
      <c r="T22" s="73">
        <f>T10*0.15</f>
      </c>
      <c r="U22" s="73">
        <f>U10*0.15</f>
      </c>
      <c r="V22" s="73">
        <f>V10*0.15</f>
      </c>
      <c r="W22" s="73">
        <f>W10*0.15</f>
      </c>
      <c r="X22" s="73">
        <f>X10*0.15</f>
      </c>
      <c r="Y22" s="73">
        <f>Y10*0.15</f>
      </c>
      <c r="Z22" s="73">
        <f>Z10*0.15</f>
      </c>
    </row>
    <row customHeight="true" ht="35.55555555555555" r="23">
      <c r="A23" s="81"/>
      <c r="B23" s="80" t="s">
        <v>138</v>
      </c>
      <c r="C23" s="73">
        <v>0</v>
      </c>
      <c r="D23" s="73">
        <v>0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customHeight="true" ht="35.55555555555555" r="24">
      <c r="A24" s="81"/>
      <c r="B24" s="80" t="s">
        <v>139</v>
      </c>
      <c r="C24" s="75">
        <f>1800/6.8</f>
      </c>
      <c r="D24" s="75">
        <f>1500/6.8</f>
      </c>
      <c r="E24" s="75">
        <f>1800/6.8</f>
      </c>
      <c r="F24" s="75">
        <f>1800/6.8</f>
      </c>
      <c r="G24" s="73">
        <f>900/6.8</f>
      </c>
      <c r="H24" s="73">
        <f>900/6.8</f>
      </c>
      <c r="I24" s="73">
        <f>900/6.8</f>
      </c>
      <c r="J24" s="73">
        <f>900/6.8</f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  <c r="Z24" s="73">
        <v>0</v>
      </c>
    </row>
    <row customHeight="true" ht="35.55555555555555" r="25">
      <c r="A25" s="81"/>
      <c r="B25" s="80" t="s">
        <v>140</v>
      </c>
      <c r="C25" s="73">
        <v>353</v>
      </c>
      <c r="D25" s="73">
        <v>342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customHeight="true" ht="35.55555555555555" r="26">
      <c r="A26" s="82"/>
      <c r="B26" s="80" t="s">
        <v>141</v>
      </c>
      <c r="C26" s="75">
        <f>200/6.8</f>
      </c>
      <c r="D26" s="75">
        <f>2000/6.8</f>
      </c>
      <c r="E26" s="75">
        <f>600/6.8</f>
      </c>
      <c r="F26" s="75">
        <f>400/6.8</f>
      </c>
      <c r="G26" s="73">
        <v>0</v>
      </c>
      <c r="H26" s="73">
        <v>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  <c r="Z26" s="73">
        <v>0</v>
      </c>
    </row>
    <row customHeight="true" ht="35.55555555555555" r="27">
      <c r="A27" s="82"/>
      <c r="B27" s="80" t="s">
        <v>142</v>
      </c>
      <c r="C27" s="73">
        <v>29</v>
      </c>
      <c r="D27" s="73">
        <v>0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customHeight="true" ht="35.55555555555555" r="28">
      <c r="A28" s="82"/>
      <c r="B28" s="80" t="s">
        <v>143</v>
      </c>
      <c r="C28" s="73">
        <f>C22+C24+C26</f>
      </c>
      <c r="D28" s="73">
        <f>D22+D24+D26</f>
      </c>
      <c r="E28" s="73">
        <f>E22+E24+E26</f>
      </c>
      <c r="F28" s="73">
        <f>F22+F24+F26</f>
      </c>
      <c r="G28" s="73">
        <f>G22+G24+G26</f>
      </c>
      <c r="H28" s="73">
        <f>H22+H24+H26</f>
      </c>
      <c r="I28" s="73">
        <f>I22+I24+I26</f>
      </c>
      <c r="J28" s="73">
        <f>J22+J24+J26</f>
      </c>
      <c r="K28" s="73">
        <f>K22+K24+K26</f>
      </c>
      <c r="L28" s="73">
        <f>L22+L24+L26</f>
      </c>
      <c r="M28" s="73">
        <f>M22+M24+M26</f>
      </c>
      <c r="N28" s="73">
        <f>N22+N24+N26</f>
      </c>
      <c r="O28" s="73">
        <f>O22+O24+O26</f>
      </c>
      <c r="P28" s="73">
        <f>P22+P24+P26</f>
      </c>
      <c r="Q28" s="73">
        <f>Q22+Q24+Q26</f>
      </c>
      <c r="R28" s="73">
        <f>R22+R24+R26</f>
      </c>
      <c r="S28" s="73">
        <f>S22+S24+S26</f>
      </c>
      <c r="T28" s="73">
        <f>T22+T24+T26</f>
      </c>
      <c r="U28" s="73">
        <f>U22+U24+U26</f>
      </c>
      <c r="V28" s="73">
        <f>V22+V24+V26</f>
      </c>
      <c r="W28" s="73">
        <f>W22+W24+W26</f>
      </c>
      <c r="X28" s="73">
        <f>X22+X24+X26</f>
      </c>
      <c r="Y28" s="73">
        <f>Y22+Y24+Y26</f>
      </c>
      <c r="Z28" s="73">
        <f>Z22+Z24+Z26</f>
      </c>
    </row>
    <row customHeight="true" ht="35.55555555555555" r="29">
      <c r="A29" s="82"/>
      <c r="B29" s="80" t="s">
        <v>144</v>
      </c>
      <c r="C29" s="79">
        <f>C28/C10</f>
      </c>
      <c r="D29" s="79">
        <f>D28/D10</f>
      </c>
      <c r="E29" s="79">
        <f>E28/E10</f>
      </c>
      <c r="F29" s="79">
        <f>F28/F10</f>
      </c>
      <c r="G29" s="79">
        <f>G28/G10</f>
      </c>
      <c r="H29" s="79">
        <f>H28/H10</f>
      </c>
      <c r="I29" s="79">
        <f>I28/I10</f>
      </c>
      <c r="J29" s="79">
        <f>J28/J10</f>
      </c>
      <c r="K29" s="79">
        <f>K28/K10</f>
      </c>
      <c r="L29" s="79">
        <f>L28/L10</f>
      </c>
      <c r="M29" s="79">
        <f>M28/M10</f>
      </c>
      <c r="N29" s="79">
        <f>N28/N10</f>
      </c>
      <c r="O29" s="79">
        <f>O28/O10</f>
      </c>
      <c r="P29" s="79">
        <f>P28/P10</f>
      </c>
      <c r="Q29" s="79">
        <f>Q28/Q10</f>
      </c>
      <c r="R29" s="79">
        <f>R28/R10</f>
      </c>
      <c r="S29" s="79">
        <f>S28/S10</f>
      </c>
      <c r="T29" s="79">
        <f>T28/T10</f>
      </c>
      <c r="U29" s="79">
        <f>U28/U10</f>
      </c>
      <c r="V29" s="79">
        <f>V28/V10</f>
      </c>
      <c r="W29" s="79">
        <f>W28/W10</f>
      </c>
      <c r="X29" s="79">
        <f>X28/X10</f>
      </c>
      <c r="Y29" s="79">
        <f>Y28/Y10</f>
      </c>
      <c r="Z29" s="79">
        <f>Z28/Z10</f>
      </c>
    </row>
    <row customHeight="true" ht="35.55555555555555" r="30">
      <c r="A30" s="82"/>
      <c r="B30" s="80" t="s">
        <v>145</v>
      </c>
      <c r="C30" s="71">
        <f>C23+C25+C27</f>
      </c>
      <c r="D30" s="71">
        <f>D23+D25+D27</f>
      </c>
      <c r="E30" s="71">
        <f>E23+E25+E27</f>
      </c>
      <c r="F30" s="71">
        <f>F23+F25+F27</f>
      </c>
      <c r="G30" s="71">
        <f>G23+G25+G27</f>
      </c>
      <c r="H30" s="71">
        <f>H23+H25+H27</f>
      </c>
      <c r="I30" s="71">
        <f>I23+I25+I27</f>
      </c>
      <c r="J30" s="71">
        <f>J23+J25+J27</f>
      </c>
      <c r="K30" s="71">
        <f>K23+K25+K27</f>
      </c>
      <c r="L30" s="71">
        <f>L23+L25+L27</f>
      </c>
      <c r="M30" s="71">
        <f>M23+M25+M27</f>
      </c>
      <c r="N30" s="71">
        <f>N23+N25+N27</f>
      </c>
      <c r="O30" s="71">
        <f>O23+O25+O27</f>
      </c>
      <c r="P30" s="71">
        <f>P23+P25+P27</f>
      </c>
      <c r="Q30" s="71">
        <f>Q23+Q25+Q27</f>
      </c>
      <c r="R30" s="71">
        <f>R23+R25+R27</f>
      </c>
      <c r="S30" s="71">
        <f>S23+S25+S27</f>
      </c>
      <c r="T30" s="71">
        <f>T23+T25+T27</f>
      </c>
      <c r="U30" s="71">
        <f>U23+U25+U27</f>
      </c>
      <c r="V30" s="71">
        <f>V23+V25+V27</f>
      </c>
      <c r="W30" s="71">
        <f>W23+W25+W27</f>
      </c>
      <c r="X30" s="71">
        <f>X23+X25+X27</f>
      </c>
      <c r="Y30" s="71">
        <f>Y23+Y25+Y27</f>
      </c>
      <c r="Z30" s="71">
        <f>Z23+Z25+Z27</f>
      </c>
    </row>
    <row customHeight="true" ht="35.55555555555555" r="31">
      <c r="A31" s="82"/>
      <c r="B31" s="80" t="s">
        <v>146</v>
      </c>
      <c r="C31" s="79">
        <f>C30/C11</f>
      </c>
      <c r="D31" s="79">
        <f>D30/D11</f>
      </c>
      <c r="E31" s="79">
        <f>E30/E11</f>
      </c>
      <c r="F31" s="79">
        <f>F30/F11</f>
      </c>
      <c r="G31" s="79">
        <f>G30/G11</f>
      </c>
      <c r="H31" s="79">
        <f>H30/H11</f>
      </c>
      <c r="I31" s="79">
        <f>I30/I11</f>
      </c>
      <c r="J31" s="79">
        <f>J30/J11</f>
      </c>
      <c r="K31" s="79">
        <f>K30/K11</f>
      </c>
      <c r="L31" s="79">
        <f>L30/L11</f>
      </c>
      <c r="M31" s="79">
        <f>M30/M11</f>
      </c>
      <c r="N31" s="79">
        <f>N30/N11</f>
      </c>
      <c r="O31" s="79">
        <f>O30/O11</f>
      </c>
      <c r="P31" s="79">
        <f>P30/P11</f>
      </c>
      <c r="Q31" s="79">
        <f>Q30/Q11</f>
      </c>
      <c r="R31" s="79">
        <f>R30/R11</f>
      </c>
      <c r="S31" s="79">
        <f>S30/S11</f>
      </c>
      <c r="T31" s="79">
        <f>T30/T11</f>
      </c>
      <c r="U31" s="79">
        <f>U30/U11</f>
      </c>
      <c r="V31" s="79">
        <f>V30/V11</f>
      </c>
      <c r="W31" s="79">
        <f>W30/W11</f>
      </c>
      <c r="X31" s="79">
        <f>X30/X11</f>
      </c>
      <c r="Y31" s="79">
        <f>Y30/Y11</f>
      </c>
      <c r="Z31" s="79">
        <f>Z30/Z11</f>
      </c>
    </row>
    <row customHeight="true" ht="35.55555555555555" r="32">
      <c r="A32" s="82" t="s">
        <v>147</v>
      </c>
      <c r="B32" s="80" t="s">
        <v>148</v>
      </c>
      <c r="C32" s="73">
        <f>89*C12/6.8</f>
      </c>
      <c r="D32" s="73">
        <f>89*D12/6.8</f>
      </c>
      <c r="E32" s="73">
        <f>89*E12/6.8</f>
      </c>
      <c r="F32" s="73">
        <f>89*F12/6.8</f>
      </c>
      <c r="G32" s="73">
        <f>89*G12/6.8</f>
      </c>
      <c r="H32" s="73">
        <f>89*H12/6.8</f>
      </c>
      <c r="I32" s="73">
        <f>89*I12/6.8</f>
      </c>
      <c r="J32" s="73">
        <f>89*J12/6.8</f>
      </c>
      <c r="K32" s="73">
        <f>89*K12/6.8</f>
      </c>
      <c r="L32" s="73">
        <f>89*L12/6.8</f>
      </c>
      <c r="M32" s="73">
        <f>89*M12/6.8</f>
      </c>
      <c r="N32" s="73">
        <f>89*N12/6.8</f>
      </c>
      <c r="O32" s="73">
        <f>89*O12/6.8</f>
      </c>
      <c r="P32" s="73">
        <f>89*P12/6.8</f>
      </c>
      <c r="Q32" s="73">
        <f>89*Q12/6.8</f>
      </c>
      <c r="R32" s="73">
        <f>89*R12/6.8</f>
      </c>
      <c r="S32" s="73">
        <f>89*S12/6.8</f>
      </c>
      <c r="T32" s="73">
        <f>89*T12/6.8</f>
      </c>
      <c r="U32" s="73">
        <f>89*U12/6.8</f>
      </c>
      <c r="V32" s="73">
        <f>89*V12/6.8</f>
      </c>
      <c r="W32" s="73">
        <f>89*W12/6.8</f>
      </c>
      <c r="X32" s="73">
        <f>89*X12/6.8</f>
      </c>
      <c r="Y32" s="73">
        <f>89*Y12/6.8</f>
      </c>
      <c r="Z32" s="73">
        <f>89*Z12/6.8</f>
      </c>
    </row>
    <row customHeight="true" ht="35.55555555555555" r="33">
      <c r="A33" s="82"/>
      <c r="B33" s="80" t="s">
        <v>149</v>
      </c>
      <c r="C33" s="79">
        <f>C32/C10</f>
      </c>
      <c r="D33" s="79">
        <f>D32/D10</f>
      </c>
      <c r="E33" s="79">
        <f>E32/E10</f>
      </c>
      <c r="F33" s="79">
        <f>F32/F10</f>
      </c>
      <c r="G33" s="79">
        <f>G32/G10</f>
      </c>
      <c r="H33" s="79">
        <f>H32/H10</f>
      </c>
      <c r="I33" s="79">
        <f>I32/I10</f>
      </c>
      <c r="J33" s="79">
        <f>J32/J10</f>
      </c>
      <c r="K33" s="79">
        <f>K32/K10</f>
      </c>
      <c r="L33" s="79">
        <f>L32/L10</f>
      </c>
      <c r="M33" s="79">
        <f>M32/M10</f>
      </c>
      <c r="N33" s="79">
        <f>N32/N10</f>
      </c>
      <c r="O33" s="79">
        <f>O32/O10</f>
      </c>
      <c r="P33" s="79">
        <f>P32/P10</f>
      </c>
      <c r="Q33" s="79">
        <f>Q32/Q10</f>
      </c>
      <c r="R33" s="79">
        <f>R32/R10</f>
      </c>
      <c r="S33" s="79">
        <f>S32/S10</f>
      </c>
      <c r="T33" s="79">
        <f>T32/T10</f>
      </c>
      <c r="U33" s="79">
        <f>U32/U10</f>
      </c>
      <c r="V33" s="79">
        <f>V32/V10</f>
      </c>
      <c r="W33" s="79">
        <f>W32/W10</f>
      </c>
      <c r="X33" s="79">
        <f>X32/X10</f>
      </c>
      <c r="Y33" s="79">
        <f>Y32/Y10</f>
      </c>
      <c r="Z33" s="79">
        <f>Z32/Z10</f>
      </c>
    </row>
    <row customHeight="true" ht="35.55555555555555" r="34">
      <c r="A34" s="82"/>
      <c r="B34" s="80" t="s">
        <v>150</v>
      </c>
      <c r="C34" s="73">
        <f>89*C13/6.8</f>
      </c>
      <c r="D34" s="73">
        <f>70*D13/6.8</f>
      </c>
      <c r="E34" s="73">
        <f>70*E13/6.8</f>
      </c>
      <c r="F34" s="73">
        <f>70*F13/6.8</f>
      </c>
      <c r="G34" s="73">
        <f>70*G13/6.8</f>
      </c>
      <c r="H34" s="73">
        <f>70*H13/6.8</f>
      </c>
      <c r="I34" s="73">
        <f>70*I13/6.8</f>
      </c>
      <c r="J34" s="73">
        <f>70*J13/6.8</f>
      </c>
      <c r="K34" s="73">
        <f>70*K13/6.8</f>
      </c>
      <c r="L34" s="73">
        <f>70*L13/6.8</f>
      </c>
      <c r="M34" s="73">
        <f>70*M13/6.8</f>
      </c>
      <c r="N34" s="73">
        <f>70*N13/6.8</f>
      </c>
      <c r="O34" s="73">
        <f>70*O13/6.8</f>
      </c>
      <c r="P34" s="73">
        <f>70*P13/6.8</f>
      </c>
      <c r="Q34" s="73">
        <f>70*Q13/6.8</f>
      </c>
      <c r="R34" s="73">
        <f>70*R13/6.8</f>
      </c>
      <c r="S34" s="73">
        <f>70*S13/6.8</f>
      </c>
      <c r="T34" s="73">
        <f>70*T13/6.8</f>
      </c>
      <c r="U34" s="73">
        <f>70*U13/6.8</f>
      </c>
      <c r="V34" s="73">
        <f>70*V13/6.8</f>
      </c>
      <c r="W34" s="73">
        <f>70*W13/6.8</f>
      </c>
      <c r="X34" s="73">
        <f>70*X13/6.8</f>
      </c>
      <c r="Y34" s="73">
        <f>70*Y13/6.8</f>
      </c>
      <c r="Z34" s="73">
        <f>70*Z13/6.8</f>
      </c>
    </row>
    <row customHeight="true" ht="35.55555555555555" r="35">
      <c r="A35" s="83"/>
      <c r="B35" s="84" t="s">
        <v>151</v>
      </c>
      <c r="C35" s="73">
        <f>4.05*C12/6.8+5.1*C12</f>
      </c>
      <c r="D35" s="73">
        <f>4.05*D12/6.8+5.1*D12</f>
      </c>
      <c r="E35" s="73">
        <f>4.05*E12/6.8+5.1*E12</f>
      </c>
      <c r="F35" s="73">
        <f>4.05*F12/6.8+5.1*F12</f>
      </c>
      <c r="G35" s="73">
        <f>4.05*G12/6.8+5.1*G12</f>
      </c>
      <c r="H35" s="73">
        <f>4.05*H12/6.8+5.1*H12</f>
      </c>
      <c r="I35" s="73">
        <f>4.05*I12/6.8+5.1*I12</f>
      </c>
      <c r="J35" s="73">
        <f>4.05*J12/6.8+5.1*J12</f>
      </c>
      <c r="K35" s="73">
        <f>4.05*K12/6.8+5.1*K12</f>
      </c>
      <c r="L35" s="73">
        <f>4.05*L12/6.8+5.1*L12</f>
      </c>
      <c r="M35" s="73">
        <f>4.05*M12/6.8+5.1*M12</f>
      </c>
      <c r="N35" s="73">
        <f>4.05*N12/6.8+5.1*N12</f>
      </c>
      <c r="O35" s="73">
        <f>4.05*O12/6.8+5.1*O12</f>
      </c>
      <c r="P35" s="73">
        <f>4.05*P12/6.8+5.1*P12</f>
      </c>
      <c r="Q35" s="73">
        <f>4.05*Q12/6.8+5.1*Q12</f>
      </c>
      <c r="R35" s="73">
        <f>4.05*R12/6.8+5.1*R12</f>
      </c>
      <c r="S35" s="73">
        <f>4.05*S12/6.8+5.1*S12</f>
      </c>
      <c r="T35" s="73">
        <f>4.05*T12/6.8+5.1*T12</f>
      </c>
      <c r="U35" s="73">
        <f>4.05*U12/6.8+5.1*U12</f>
      </c>
      <c r="V35" s="73">
        <f>4.05*V12/6.8+5.1*V12</f>
      </c>
      <c r="W35" s="73">
        <f>4.05*W12/6.8+5.1*W12</f>
      </c>
      <c r="X35" s="73">
        <f>4.05*X12/6.8+5.1*X12</f>
      </c>
      <c r="Y35" s="73">
        <f>4.05*Y12/6.8+5.1*Y12</f>
      </c>
      <c r="Z35" s="73">
        <f>4.05*Z12/6.8+5.1*Z12</f>
      </c>
    </row>
    <row customHeight="true" ht="35.55555555555555" r="36">
      <c r="A36" s="82"/>
      <c r="B36" s="80" t="s">
        <v>152</v>
      </c>
      <c r="C36" s="85">
        <f>10.32*C13/6.8+6.62*C13</f>
      </c>
      <c r="D36" s="71">
        <f>10.32*D13/6.8+6.62*D13</f>
      </c>
      <c r="E36" s="71">
        <f>10.32*E13/6.8+6.62*E13</f>
      </c>
      <c r="F36" s="71">
        <f>10.32*F13/6.8+6.62*F13</f>
      </c>
      <c r="G36" s="71">
        <f>10.32*G13/6.8+6.62*G13</f>
      </c>
      <c r="H36" s="71">
        <f>10.32*H13/6.8+6.62*H13</f>
      </c>
      <c r="I36" s="71">
        <f>10.32*I13/6.8+6.62*I13</f>
      </c>
      <c r="J36" s="71">
        <f>10.32*J13/6.8+6.62*J13</f>
      </c>
      <c r="K36" s="71">
        <f>10.32*K13/6.8+6.62*K13</f>
      </c>
      <c r="L36" s="71">
        <f>10.32*L13/6.8+6.62*L13</f>
      </c>
      <c r="M36" s="71">
        <f>10.32*M13/6.8+6.62*M13</f>
      </c>
      <c r="N36" s="71">
        <f>10.32*N13/6.8+6.62*N13</f>
      </c>
      <c r="O36" s="71">
        <f>10.32*O13/6.8+6.62*O13</f>
      </c>
      <c r="P36" s="71">
        <f>10.32*P13/6.8+6.62*P13</f>
      </c>
      <c r="Q36" s="71">
        <f>10.32*Q13/6.8+6.62*Q13</f>
      </c>
      <c r="R36" s="71">
        <f>10.32*R13/6.8+6.62*R13</f>
      </c>
      <c r="S36" s="71">
        <f>10.32*S13/6.8+6.62*S13</f>
      </c>
      <c r="T36" s="71">
        <f>10.32*T13/6.8+6.62*T13</f>
      </c>
      <c r="U36" s="71">
        <f>10.32*U13/6.8+6.62*U13</f>
      </c>
      <c r="V36" s="71">
        <f>10.32*V13/6.8+6.62*V13</f>
      </c>
      <c r="W36" s="71">
        <f>10.32*W13/6.8+6.62*W13</f>
      </c>
      <c r="X36" s="71">
        <f>10.32*X13/6.8+6.62*X13</f>
      </c>
      <c r="Y36" s="71">
        <f>10.32*Y13/6.8+6.62*Y13</f>
      </c>
      <c r="Z36" s="71">
        <f>10.32*Z13/6.8+6.62*Z13</f>
      </c>
    </row>
    <row customHeight="true" ht="35.55555555555555" r="37">
      <c r="A37" s="82"/>
      <c r="B37" s="80" t="s">
        <v>153</v>
      </c>
      <c r="C37" s="79">
        <f>C35/C10</f>
      </c>
      <c r="D37" s="79">
        <f>D35/D10</f>
      </c>
      <c r="E37" s="79">
        <f>E35/E10</f>
      </c>
      <c r="F37" s="79">
        <f>F35/F10</f>
      </c>
      <c r="G37" s="79">
        <f>G35/G10</f>
      </c>
      <c r="H37" s="79">
        <f>H35/H10</f>
      </c>
      <c r="I37" s="79">
        <f>I35/I10</f>
      </c>
      <c r="J37" s="79">
        <f>J35/J10</f>
      </c>
      <c r="K37" s="79">
        <f>K35/K10</f>
      </c>
      <c r="L37" s="79">
        <f>L35/L10</f>
      </c>
      <c r="M37" s="79">
        <f>M35/M10</f>
      </c>
      <c r="N37" s="79">
        <f>N35/N10</f>
      </c>
      <c r="O37" s="79">
        <f>O35/O10</f>
      </c>
      <c r="P37" s="79">
        <f>P35/P10</f>
      </c>
      <c r="Q37" s="79">
        <f>Q35/Q10</f>
      </c>
      <c r="R37" s="79">
        <f>R35/R10</f>
      </c>
      <c r="S37" s="79">
        <f>S35/S10</f>
      </c>
      <c r="T37" s="79">
        <f>T35/T10</f>
      </c>
      <c r="U37" s="79">
        <f>U35/U10</f>
      </c>
      <c r="V37" s="79">
        <f>V35/V10</f>
      </c>
      <c r="W37" s="79">
        <f>W35/W10</f>
      </c>
      <c r="X37" s="79">
        <f>X35/X10</f>
      </c>
      <c r="Y37" s="79">
        <f>Y35/Y10</f>
      </c>
      <c r="Z37" s="79">
        <f>Z35/Z10</f>
      </c>
    </row>
    <row customHeight="true" ht="35.55555555555555" r="38">
      <c r="A38" s="82"/>
      <c r="B38" s="80" t="s">
        <v>154</v>
      </c>
      <c r="C38" s="73">
        <f>C32+C34</f>
      </c>
      <c r="D38" s="73">
        <f>D32+D34</f>
      </c>
      <c r="E38" s="73">
        <f>E32+E34</f>
      </c>
      <c r="F38" s="73">
        <f>F32+F34</f>
      </c>
      <c r="G38" s="73">
        <f>G32+G34</f>
      </c>
      <c r="H38" s="73">
        <f>H32+H34</f>
      </c>
      <c r="I38" s="73">
        <f>I32+I34</f>
      </c>
      <c r="J38" s="73">
        <f>J32+J34</f>
      </c>
      <c r="K38" s="73">
        <f>K32+K34</f>
      </c>
      <c r="L38" s="73">
        <f>L32+L34</f>
      </c>
      <c r="M38" s="73">
        <f>M32+M34</f>
      </c>
      <c r="N38" s="73">
        <f>N32+N34</f>
      </c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customHeight="true" ht="51.11111111111111" r="39">
      <c r="A39" s="52" t="s">
        <v>155</v>
      </c>
      <c r="B39" s="32" t="s">
        <v>156</v>
      </c>
      <c r="C39" s="71">
        <v>500</v>
      </c>
      <c r="D39" s="71">
        <f>C39-C12</f>
      </c>
      <c r="E39" s="71">
        <f>D39-D12</f>
      </c>
      <c r="F39" s="71">
        <f>E39-E12</f>
      </c>
      <c r="G39" s="71">
        <f>F39-F12</f>
      </c>
      <c r="H39" s="71">
        <f>G39-G12</f>
      </c>
      <c r="I39" s="71">
        <f>H39-H12</f>
      </c>
      <c r="J39" s="71">
        <f>I39-I12</f>
      </c>
      <c r="K39" s="71">
        <v>800</v>
      </c>
      <c r="L39" s="71">
        <f>K39-J12</f>
      </c>
      <c r="M39" s="71">
        <f>L39-K12</f>
      </c>
      <c r="N39" s="71">
        <f>M39-L12</f>
      </c>
      <c r="O39" s="71">
        <f>N39-M12</f>
      </c>
      <c r="P39" s="71">
        <f>O39-N12</f>
      </c>
      <c r="Q39" s="71">
        <f>P39-O12</f>
      </c>
      <c r="R39" s="71">
        <f>Q39-P12</f>
      </c>
      <c r="S39" s="71">
        <f>R39-Q12</f>
      </c>
      <c r="T39" s="71">
        <f>S39-R12</f>
      </c>
      <c r="U39" s="71">
        <f>T39-S12</f>
      </c>
      <c r="V39" s="71">
        <f>U39-T12</f>
      </c>
      <c r="W39" s="71">
        <v>800</v>
      </c>
      <c r="X39" s="71">
        <f>W39-V12</f>
      </c>
      <c r="Y39" s="71">
        <f>X39-W12</f>
      </c>
      <c r="Z39" s="71">
        <f>Y39-X12</f>
      </c>
    </row>
    <row customHeight="true" ht="51.11111111111111" r="40">
      <c r="A40" s="52"/>
      <c r="B40" s="32" t="s">
        <v>157</v>
      </c>
      <c r="C40" s="86">
        <f>C39*77/6.8</f>
      </c>
      <c r="D40" s="86">
        <f>D39*77/6.8</f>
      </c>
      <c r="E40" s="86">
        <f>E39*77/6.8</f>
      </c>
      <c r="F40" s="86">
        <f>F39*77/6.8</f>
      </c>
      <c r="G40" s="86">
        <f>G39*77/6.8</f>
      </c>
      <c r="H40" s="86">
        <f>H39*77/6.8</f>
      </c>
      <c r="I40" s="86">
        <f>I39*77/6.8</f>
      </c>
      <c r="J40" s="86">
        <f>J39*77/6.8</f>
      </c>
      <c r="K40" s="86">
        <f>K39*77/6.8</f>
      </c>
      <c r="L40" s="86">
        <f>L39*77/6.8</f>
      </c>
      <c r="M40" s="86">
        <f>M39*77/6.8</f>
      </c>
      <c r="N40" s="86">
        <f>N39*77/6.8</f>
      </c>
      <c r="O40" s="86">
        <f>O39*77/6.8</f>
      </c>
      <c r="P40" s="86">
        <f>P39*77/6.8</f>
      </c>
      <c r="Q40" s="86">
        <f>Q39*77/6.8</f>
      </c>
      <c r="R40" s="86">
        <f>R39*77/6.8</f>
      </c>
      <c r="S40" s="86">
        <f>S39*77/6.8</f>
      </c>
      <c r="T40" s="86">
        <f>T39*77/6.8</f>
      </c>
      <c r="U40" s="86">
        <f>U39*77/6.8</f>
      </c>
      <c r="V40" s="86">
        <f>V39*77/6.8</f>
      </c>
      <c r="W40" s="86">
        <f>W39*77/6.8</f>
      </c>
      <c r="X40" s="86">
        <f>X39*77/6.8</f>
      </c>
      <c r="Y40" s="86">
        <f>Y39*77/6.8</f>
      </c>
      <c r="Z40" s="86">
        <f>Z39*77/6.8</f>
      </c>
    </row>
    <row customHeight="true" ht="51.11111111111111" r="41">
      <c r="A41" s="52" t="s">
        <v>158</v>
      </c>
      <c r="B41" s="32" t="s">
        <v>159</v>
      </c>
      <c r="C41" s="86">
        <f>C40+C38+C28+C32+C35</f>
      </c>
      <c r="D41" s="86">
        <f>D40+D38+D28+D32+D35</f>
      </c>
      <c r="E41" s="86">
        <f>E40+E38+E28+E32+E35</f>
      </c>
      <c r="F41" s="86">
        <f>F40+F38+F28+F32+F35</f>
      </c>
      <c r="G41" s="86">
        <f>G40+G38+G28+G32+G35</f>
      </c>
      <c r="H41" s="86">
        <f>H40+H38+H28+H32+H35</f>
      </c>
      <c r="I41" s="86">
        <f>I40+I38+I28+I32+I35</f>
      </c>
      <c r="J41" s="86">
        <f>J40+J38+J28+J32+J35</f>
      </c>
      <c r="K41" s="86">
        <f>K40+K38+K28+K32+K35</f>
      </c>
      <c r="L41" s="86">
        <f>L40+L38+L28+L32+L35</f>
      </c>
      <c r="M41" s="86">
        <f>M40+M38+M28+M32+M35</f>
      </c>
      <c r="N41" s="86">
        <f>N40+N38+N28+N32+N35</f>
      </c>
      <c r="O41" s="86">
        <f>O40+O38+O28+O32+O35</f>
      </c>
      <c r="P41" s="86">
        <f>P40+P38+P28+P32+P35</f>
      </c>
      <c r="Q41" s="86">
        <f>Q40+Q38+Q28+Q32+Q35</f>
      </c>
      <c r="R41" s="86">
        <f>R40+R38+R28+R32+R35</f>
      </c>
      <c r="S41" s="86">
        <f>S40+S38+S28+S32+S35</f>
      </c>
      <c r="T41" s="86">
        <f>T40+T38+T28+T32+T35</f>
      </c>
      <c r="U41" s="86">
        <f>U40+U38+U28+U32+U35</f>
      </c>
      <c r="V41" s="86">
        <f>V40+V38+V28+V32+V35</f>
      </c>
      <c r="W41" s="86">
        <f>W40+W38+W28+W32+W35</f>
      </c>
      <c r="X41" s="86">
        <f>X40+X38+X28+X32+X35</f>
      </c>
      <c r="Y41" s="86">
        <f>Y40+Y38+Y28+Y32+Y35</f>
      </c>
      <c r="Z41" s="86">
        <f>Z40+Z38+Z28+Z32+Z35</f>
      </c>
      <c r="AA41" s="87">
        <f t="shared" ref="AA41:AA42" si="2">SUM(C41:Z41)</f>
      </c>
    </row>
    <row customHeight="true" ht="51.11111111111111" r="42">
      <c r="A42" s="52"/>
      <c r="B42" s="32" t="s">
        <v>160</v>
      </c>
      <c r="C42" s="86">
        <f>C40+C38+C36+C34+C30</f>
      </c>
      <c r="D42" s="86">
        <f>D40+D38+D36+D34+D30</f>
      </c>
      <c r="E42" s="86">
        <f>E40+E38+E36+E34+E30</f>
      </c>
      <c r="F42" s="86">
        <f>F40+F38+F36+F34+F30</f>
      </c>
      <c r="G42" s="86">
        <f>G40+G38+G36+G34+G30</f>
      </c>
      <c r="H42" s="86">
        <f>H40+H38+H36+H34+H30</f>
      </c>
      <c r="I42" s="86">
        <f>I40+I38+I36+I34+I30</f>
      </c>
      <c r="J42" s="86">
        <f>J40+J38+J36+J34+J30</f>
      </c>
      <c r="K42" s="86">
        <f>K40+K38+K36+K34+K30</f>
      </c>
      <c r="L42" s="86">
        <f>L40+L38+L36+L34+L30</f>
      </c>
      <c r="M42" s="71">
        <f>M40+M38+M36+M34+M30</f>
      </c>
      <c r="N42" s="71">
        <f>N40+N38+N36+N34+N30</f>
      </c>
      <c r="O42" s="71">
        <f>O40+O38+O36+O34+O30</f>
      </c>
      <c r="P42" s="71">
        <f>P40+P38+P36+P34+P30</f>
      </c>
      <c r="Q42" s="71">
        <f>Q40+Q38+Q36+Q34+Q30</f>
      </c>
      <c r="R42" s="71">
        <f>R40+R38+R36+R34+R30</f>
      </c>
      <c r="S42" s="71">
        <f>S40+S38+S36+S34+S30</f>
      </c>
      <c r="T42" s="71">
        <f>T40+T38+T36+T34+T30</f>
      </c>
      <c r="U42" s="71">
        <f>U40+U38+U36+U34+U30</f>
      </c>
      <c r="V42" s="71">
        <f>V40+V38+V36+V34+V30</f>
      </c>
      <c r="W42" s="71">
        <f>W40+W38+W36+W34+W30</f>
      </c>
      <c r="X42" s="71">
        <f>X40+X38+X36+X34+X30</f>
      </c>
      <c r="Y42" s="71">
        <f>Y40+Y38+Y36+Y34+Y30</f>
      </c>
      <c r="Z42" s="71">
        <f>Z40+Z38+Z36+Z34+Z30</f>
      </c>
      <c r="AA42" s="87">
        <f t="shared" si="2"/>
      </c>
    </row>
  </sheetData>
  <mergeCells>
    <mergeCell ref="A1:B1"/>
    <mergeCell ref="C1:F1"/>
    <mergeCell ref="G1:J1"/>
    <mergeCell ref="K1:N1"/>
    <mergeCell ref="O1:R1"/>
    <mergeCell ref="S1:V1"/>
    <mergeCell ref="W1:Z1"/>
    <mergeCell ref="A2:B2"/>
    <mergeCell ref="C2:F2"/>
    <mergeCell ref="G2:J2"/>
    <mergeCell ref="K2:N2"/>
    <mergeCell ref="O2:R2"/>
    <mergeCell ref="S2:V2"/>
    <mergeCell ref="W2:Z2"/>
    <mergeCell ref="A3:B3"/>
    <mergeCell ref="C5:F5"/>
    <mergeCell ref="G5:J5"/>
    <mergeCell ref="K5:N5"/>
    <mergeCell ref="O5:R5"/>
    <mergeCell ref="S5:V5"/>
    <mergeCell ref="W5:Z5"/>
    <mergeCell ref="G16:J16"/>
    <mergeCell ref="K16:N16"/>
    <mergeCell ref="O16:R16"/>
    <mergeCell ref="S16:V16"/>
    <mergeCell ref="W16:Z16"/>
    <mergeCell ref="A6:A7"/>
    <mergeCell ref="A8:A9"/>
    <mergeCell ref="A10:A17"/>
    <mergeCell ref="A18:A21"/>
    <mergeCell ref="A22:A31"/>
    <mergeCell ref="A32:A38"/>
    <mergeCell ref="A39:A40"/>
    <mergeCell ref="A41:A42"/>
  </mergeCells>
  <hyperlinks>
    <hyperlink ref="C5" display="1. 竞对第一个月销量为200单；&#10;" r:id="rId1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9" min="9" style="0" width="8.466666666666667"/>
    <col collapsed="false" customWidth="true" hidden="false" max="25" min="25" style="0" width="8.466666666666667"/>
    <col collapsed="false" customWidth="true" hidden="false" max="42" min="42" style="0" width="10.6"/>
    <col collapsed="false" customWidth="true" hidden="false" max="57" min="57" style="0" width="12.6"/>
    <col collapsed="false" customWidth="true" hidden="false" max="16" min="16" style="0" width="8.466666666666667"/>
    <col collapsed="false" customWidth="true" hidden="false" max="32" min="32" style="0" width="9.533333333333333"/>
    <col collapsed="false" customWidth="true" hidden="false" max="41" min="41" style="0" width="9.533333333333333"/>
    <col collapsed="false" customWidth="true" hidden="false" max="48" min="48" style="0" width="8.466666666666667"/>
    <col collapsed="false" customWidth="true" hidden="false" max="15" min="15" style="0" width="7.4"/>
    <col collapsed="false" customWidth="true" hidden="false" max="31" min="31" style="0" width="8.466666666666667"/>
    <col collapsed="false" customWidth="true" hidden="false" max="47" min="47" style="0" width="7.4"/>
    <col collapsed="false" customWidth="true" hidden="false" max="14" min="14" style="0" width="8.466666666666667"/>
    <col collapsed="false" customWidth="true" hidden="false" max="30" min="30" style="0" width="10.6"/>
    <col collapsed="false" customWidth="true" hidden="false" max="46" min="46" style="0" width="8.466666666666667"/>
    <col collapsed="false" customWidth="true" hidden="false" max="13" min="13" style="0" width="8.466666666666667"/>
    <col collapsed="false" customWidth="true" hidden="false" max="29" min="29" style="0" width="6.333333333333333"/>
    <col collapsed="false" customWidth="true" hidden="false" max="45" min="45" style="0" width="8.466666666666667"/>
    <col collapsed="false" customWidth="true" hidden="false" max="4" min="4" style="0" width="8.466666666666667"/>
    <col collapsed="false" customWidth="true" hidden="false" max="20" min="20" style="0" width="6.333333333333333"/>
    <col collapsed="false" customWidth="true" hidden="false" max="52" min="52" style="0" width="7.4"/>
    <col collapsed="false" customWidth="true" hidden="false" max="3" min="3" style="0" width="10.490909090909092"/>
    <col collapsed="false" customWidth="true" hidden="false" max="19" min="19" style="0" width="8.466666666666667"/>
    <col collapsed="false" customWidth="true" hidden="false" max="36" min="36" style="0" width="9.533333333333333"/>
    <col collapsed="false" customWidth="true" hidden="false" max="51" min="51" style="0" width="8.466666666666667"/>
    <col collapsed="false" customWidth="true" hidden="false" max="2" min="2" style="0" width="6.333333333333333"/>
    <col collapsed="false" customWidth="true" hidden="false" max="18" min="18" style="0" width="7.4"/>
    <col collapsed="false" customWidth="true" hidden="false" max="35" min="35" style="0" width="8.466666666666667"/>
    <col collapsed="false" customWidth="true" hidden="false" max="50" min="50" style="0" width="6.333333333333333"/>
    <col collapsed="false" customWidth="true" hidden="false" max="1" min="1" style="0" width="8.466666666666667"/>
    <col collapsed="false" customWidth="true" hidden="false" max="17" min="17" style="0" width="7.4"/>
    <col collapsed="false" customWidth="true" hidden="false" max="34" min="34" style="0" width="8.466666666666667"/>
    <col collapsed="false" customWidth="true" hidden="false" max="49" min="49" style="0" width="7.4"/>
    <col collapsed="false" customWidth="true" hidden="false" max="8" min="8" style="0" width="8.466666666666667"/>
    <col collapsed="false" customWidth="true" hidden="false" max="24" min="24" style="0" width="11.533333333333333"/>
    <col collapsed="false" customWidth="true" hidden="false" max="33" min="33" style="0" width="6.333333333333333"/>
    <col collapsed="false" customWidth="true" hidden="false" max="56" min="56" style="0" width="10.6"/>
    <col collapsed="false" customWidth="true" hidden="false" max="7" min="7" style="0" width="8.466666666666667"/>
    <col collapsed="false" customWidth="true" hidden="false" max="23" min="23" style="0" width="11.533333333333333"/>
    <col collapsed="false" customWidth="true" hidden="false" max="40" min="40" style="0" width="7.4"/>
    <col collapsed="false" customWidth="true" hidden="false" max="55" min="55" style="0" width="10.6"/>
    <col collapsed="false" customWidth="true" hidden="false" max="6" min="6" style="0" width="7.4"/>
    <col collapsed="false" customWidth="true" hidden="false" max="22" min="22" style="0" width="11.533333333333333"/>
    <col collapsed="false" customWidth="true" hidden="false" max="39" min="39" style="0" width="8.466666666666667"/>
    <col collapsed="false" customWidth="true" hidden="false" max="54" min="54" style="0" width="10.6"/>
    <col collapsed="false" customWidth="true" hidden="false" max="5" min="5" style="0" width="6.333333333333333"/>
    <col collapsed="false" customWidth="true" hidden="false" max="21" min="21" style="0" width="9.533333333333333"/>
    <col collapsed="false" customWidth="true" hidden="false" max="38" min="38" style="0" width="10.6"/>
    <col collapsed="false" customWidth="true" hidden="false" max="53" min="53" style="0" width="7.4"/>
    <col collapsed="false" customWidth="true" hidden="false" max="12" min="12" style="0" width="7.4"/>
    <col collapsed="false" customWidth="true" hidden="false" max="28" min="28" style="0" width="8.466666666666667"/>
    <col collapsed="false" customWidth="true" hidden="false" max="37" min="37" style="0" width="8.466666666666667"/>
    <col collapsed="false" customWidth="true" hidden="false" max="11" min="11" style="0" width="6.333333333333333"/>
    <col collapsed="false" customWidth="true" hidden="false" max="27" min="27" style="0" width="8.466666666666667"/>
    <col collapsed="false" customWidth="true" hidden="false" max="44" min="44" style="0" width="10.6"/>
    <col collapsed="false" customWidth="true" hidden="false" max="10" min="10" style="0" width="6.333333333333333"/>
    <col collapsed="false" customWidth="true" hidden="false" max="26" min="26" style="0" width="9.533333333333333"/>
    <col collapsed="false" customWidth="true" hidden="false" max="43" min="43" style="0" width="10.6"/>
    <col collapsed="false" customWidth="true" hidden="false" max="58" min="58" style="0" width="13.666666666666666"/>
  </cols>
  <sheetData>
    <row customHeight="true" ht="25.925925925925924" r="1">
      <c r="A1" s="88" t="s">
        <v>161</v>
      </c>
      <c r="B1" s="89" t="s">
        <v>162</v>
      </c>
      <c r="C1" s="90" t="s">
        <v>163</v>
      </c>
      <c r="D1" s="91" t="s">
        <v>164</v>
      </c>
      <c r="E1" s="92" t="s">
        <v>165</v>
      </c>
      <c r="F1" s="93" t="s">
        <v>166</v>
      </c>
      <c r="G1" s="91" t="s">
        <v>167</v>
      </c>
      <c r="H1" s="94" t="s">
        <v>168</v>
      </c>
      <c r="I1" s="94" t="s">
        <v>169</v>
      </c>
      <c r="J1" s="91" t="s">
        <v>170</v>
      </c>
      <c r="K1" s="91" t="s">
        <v>171</v>
      </c>
      <c r="L1" s="95" t="s">
        <v>172</v>
      </c>
      <c r="M1" s="96" t="s">
        <v>173</v>
      </c>
      <c r="N1" s="97" t="s">
        <v>174</v>
      </c>
      <c r="O1" s="97" t="s">
        <v>175</v>
      </c>
      <c r="P1" s="91" t="s">
        <v>176</v>
      </c>
      <c r="Q1" s="98" t="s">
        <v>177</v>
      </c>
      <c r="R1" s="98" t="s">
        <v>178</v>
      </c>
      <c r="S1" s="99" t="s">
        <v>179</v>
      </c>
      <c r="T1" s="98" t="s">
        <v>180</v>
      </c>
      <c r="U1" s="100" t="s">
        <v>181</v>
      </c>
      <c r="V1" s="91" t="s">
        <v>182</v>
      </c>
      <c r="W1" s="91"/>
      <c r="X1" s="91"/>
      <c r="Y1" s="91"/>
      <c r="Z1" s="101" t="s">
        <v>183</v>
      </c>
      <c r="AA1" s="102" t="s">
        <v>184</v>
      </c>
      <c r="AB1" s="102" t="s">
        <v>185</v>
      </c>
      <c r="AC1" s="102" t="s">
        <v>186</v>
      </c>
      <c r="AD1" s="103" t="s">
        <v>187</v>
      </c>
      <c r="AE1" s="103"/>
      <c r="AF1" s="103"/>
      <c r="AG1" s="103"/>
      <c r="AH1" s="103"/>
      <c r="AI1" s="103"/>
      <c r="AJ1" s="103"/>
      <c r="AK1" s="103"/>
      <c r="AL1" s="103"/>
      <c r="AM1" s="103"/>
      <c r="AN1" s="104"/>
      <c r="AO1" s="105" t="s">
        <v>188</v>
      </c>
      <c r="AP1" s="105"/>
      <c r="AQ1" s="105"/>
      <c r="AR1" s="105"/>
      <c r="AS1" s="105"/>
      <c r="AT1" s="105"/>
      <c r="AU1" s="105"/>
      <c r="AV1" s="106" t="s">
        <v>189</v>
      </c>
      <c r="AW1" s="106"/>
      <c r="AX1" s="106"/>
      <c r="AY1" s="106"/>
      <c r="AZ1" s="106"/>
      <c r="BA1" s="106"/>
      <c r="BB1" s="107" t="s">
        <v>190</v>
      </c>
      <c r="BC1" s="107"/>
      <c r="BD1" s="107"/>
      <c r="BE1" s="107"/>
      <c r="BF1" s="107"/>
    </row>
    <row customHeight="true" ht="54.81481481481481" r="2">
      <c r="A2" s="88"/>
      <c r="B2" s="89"/>
      <c r="C2" s="90"/>
      <c r="D2" s="91"/>
      <c r="E2" s="92"/>
      <c r="F2" s="93"/>
      <c r="G2" s="91"/>
      <c r="H2" s="94"/>
      <c r="I2" s="94"/>
      <c r="J2" s="91"/>
      <c r="K2" s="91"/>
      <c r="L2" s="95"/>
      <c r="M2" s="96"/>
      <c r="N2" s="97"/>
      <c r="O2" s="97"/>
      <c r="P2" s="91"/>
      <c r="Q2" s="98"/>
      <c r="R2" s="98"/>
      <c r="S2" s="99"/>
      <c r="T2" s="98"/>
      <c r="U2" s="100"/>
      <c r="V2" s="91" t="s">
        <v>191</v>
      </c>
      <c r="W2" s="91" t="s">
        <v>192</v>
      </c>
      <c r="X2" s="91" t="s">
        <v>193</v>
      </c>
      <c r="Y2" s="91"/>
      <c r="Z2" s="101"/>
      <c r="AA2" s="102"/>
      <c r="AB2" s="102"/>
      <c r="AC2" s="102"/>
      <c r="AD2" s="103" t="s">
        <v>194</v>
      </c>
      <c r="AE2" s="103" t="s">
        <v>195</v>
      </c>
      <c r="AF2" s="108" t="s">
        <v>196</v>
      </c>
      <c r="AG2" s="103" t="s">
        <v>197</v>
      </c>
      <c r="AH2" s="109" t="s">
        <v>198</v>
      </c>
      <c r="AI2" s="108" t="s">
        <v>199</v>
      </c>
      <c r="AJ2" s="108" t="s">
        <v>200</v>
      </c>
      <c r="AK2" s="110" t="s">
        <v>201</v>
      </c>
      <c r="AL2" s="103" t="s">
        <v>202</v>
      </c>
      <c r="AM2" s="108" t="s">
        <v>203</v>
      </c>
      <c r="AN2" s="111" t="s">
        <v>204</v>
      </c>
      <c r="AO2" s="112" t="s">
        <v>205</v>
      </c>
      <c r="AP2" s="113" t="s">
        <v>206</v>
      </c>
      <c r="AQ2" s="114" t="s">
        <v>207</v>
      </c>
      <c r="AR2" s="115" t="s">
        <v>208</v>
      </c>
      <c r="AS2" s="116" t="s">
        <v>209</v>
      </c>
      <c r="AT2" s="117" t="s">
        <v>210</v>
      </c>
      <c r="AU2" s="118" t="s">
        <v>211</v>
      </c>
      <c r="AV2" s="119" t="s">
        <v>212</v>
      </c>
      <c r="AW2" s="120" t="s">
        <v>213</v>
      </c>
      <c r="AX2" s="121" t="s">
        <v>214</v>
      </c>
      <c r="AY2" s="122" t="s">
        <v>215</v>
      </c>
      <c r="AZ2" s="123" t="s">
        <v>216</v>
      </c>
      <c r="BA2" s="124" t="s">
        <v>217</v>
      </c>
      <c r="BB2" s="125" t="s">
        <v>218</v>
      </c>
      <c r="BC2" s="126" t="s">
        <v>219</v>
      </c>
      <c r="BD2" s="126" t="s">
        <v>220</v>
      </c>
      <c r="BE2" s="126" t="s">
        <v>221</v>
      </c>
      <c r="BF2" s="126" t="s">
        <v>222</v>
      </c>
    </row>
    <row customHeight="true" ht="23.703703703703702" r="3">
      <c r="A3" s="127">
        <v>45645</v>
      </c>
      <c r="B3" s="128" t="s">
        <v>223</v>
      </c>
      <c r="C3" s="129" t="s">
        <v>224</v>
      </c>
      <c r="D3" s="128">
        <v>49.99</v>
      </c>
      <c r="E3" s="130"/>
      <c r="F3" s="131">
        <v>0.2</v>
      </c>
      <c r="G3" s="128">
        <v>24.99</v>
      </c>
      <c r="H3" s="131">
        <v>0.165</v>
      </c>
      <c r="I3" s="132">
        <v>0.2215</v>
      </c>
      <c r="J3" s="128">
        <v>68</v>
      </c>
      <c r="K3" s="128">
        <v>149</v>
      </c>
      <c r="L3" s="128">
        <f t="shared" ref="L3:L23" si="7">J3+K3</f>
      </c>
      <c r="M3" s="132">
        <f t="shared" ref="M3:M23" si="4">P3/L3</f>
      </c>
      <c r="N3" s="133">
        <f t="shared" ref="N3:N23" si="1">O3-AG3</f>
      </c>
      <c r="O3" s="133">
        <f t="shared" ref="O3:O23" si="10">P3-R3-AW3</f>
      </c>
      <c r="P3" s="128">
        <v>8</v>
      </c>
      <c r="Q3" s="128">
        <v>1</v>
      </c>
      <c r="R3" s="128">
        <v>1</v>
      </c>
      <c r="S3" s="130">
        <v>1</v>
      </c>
      <c r="T3" s="128"/>
      <c r="U3" s="134">
        <f t="shared" ref="U3:U23" si="8">D3*P3</f>
      </c>
      <c r="V3" s="128" t="s">
        <v>225</v>
      </c>
      <c r="W3" s="128" t="s">
        <v>225</v>
      </c>
      <c r="X3" s="128" t="s">
        <v>225</v>
      </c>
      <c r="Y3" s="128"/>
      <c r="Z3" s="128">
        <v>7</v>
      </c>
      <c r="AA3" s="135">
        <v>93639</v>
      </c>
      <c r="AB3" s="128">
        <v>581</v>
      </c>
      <c r="AC3" s="136">
        <v>5</v>
      </c>
      <c r="AD3" s="137"/>
      <c r="AE3" s="138"/>
      <c r="AF3" s="139">
        <v>0</v>
      </c>
      <c r="AG3" s="138"/>
      <c r="AH3" s="140">
        <v>0</v>
      </c>
      <c r="AI3" s="141">
        <v>0</v>
      </c>
      <c r="AJ3" s="141">
        <v>0</v>
      </c>
      <c r="AK3" s="142">
        <v>0</v>
      </c>
      <c r="AL3" s="143">
        <v>0</v>
      </c>
      <c r="AM3" s="144">
        <f t="shared" ref="AM3:AM23" si="5">AL3/U3</f>
      </c>
      <c r="AN3" s="145">
        <v>0</v>
      </c>
      <c r="AO3" s="146">
        <f t="shared" ref="AO3:AO23" si="2">AP3-AN3</f>
      </c>
      <c r="AP3" s="147">
        <v>20.76</v>
      </c>
      <c r="AQ3" s="148">
        <f t="shared" ref="AQ3:AQ23" si="11">(AV3*AW3)+(AO3*AG3)+(N3*AP3)+AU3</f>
      </c>
      <c r="AR3" s="132">
        <f t="shared" ref="AR3:AR23" si="6">AQ3/U3</f>
      </c>
      <c r="AS3" s="134">
        <v>13.68</v>
      </c>
      <c r="AT3" s="133">
        <f t="shared" ref="AT3:AT23" si="3">P3*AS3+AQ3</f>
      </c>
      <c r="AU3" s="134">
        <v>22.83</v>
      </c>
      <c r="AV3" s="134">
        <v>0.84</v>
      </c>
      <c r="AW3" s="128">
        <v>7</v>
      </c>
      <c r="AX3" s="128">
        <v>24.99</v>
      </c>
      <c r="AY3" s="132">
        <v>0.5</v>
      </c>
      <c r="AZ3" s="149">
        <f t="shared" ref="AZ3:AZ23" si="0">L3-AE3</f>
      </c>
      <c r="BA3" s="132">
        <f t="shared" ref="BA3:BA23" si="9">N3/AZ3</f>
      </c>
      <c r="BB3" s="150"/>
      <c r="BC3" s="150"/>
      <c r="BD3" s="150"/>
      <c r="BE3" s="150"/>
      <c r="BF3" s="150"/>
    </row>
    <row customHeight="true" ht="23.703703703703702" r="4">
      <c r="A4" s="127">
        <v>45646</v>
      </c>
      <c r="B4" s="128" t="s">
        <v>226</v>
      </c>
      <c r="C4" s="129" t="s">
        <v>227</v>
      </c>
      <c r="D4" s="128">
        <v>49.99</v>
      </c>
      <c r="E4" s="130"/>
      <c r="F4" s="131">
        <v>0.2</v>
      </c>
      <c r="G4" s="128">
        <v>24.99</v>
      </c>
      <c r="H4" s="131">
        <v>0.165</v>
      </c>
      <c r="I4" s="132">
        <v>0.2215</v>
      </c>
      <c r="J4" s="128">
        <v>93</v>
      </c>
      <c r="K4" s="128">
        <v>89</v>
      </c>
      <c r="L4" s="128">
        <f t="shared" si="7"/>
      </c>
      <c r="M4" s="132">
        <f t="shared" si="4"/>
      </c>
      <c r="N4" s="133">
        <f t="shared" si="1"/>
      </c>
      <c r="O4" s="133">
        <f t="shared" si="10"/>
      </c>
      <c r="P4" s="128">
        <v>4</v>
      </c>
      <c r="Q4" s="128"/>
      <c r="R4" s="128"/>
      <c r="S4" s="130"/>
      <c r="T4" s="128"/>
      <c r="U4" s="134">
        <f t="shared" si="8"/>
      </c>
      <c r="V4" s="128">
        <v>27</v>
      </c>
      <c r="W4" s="128">
        <v>83</v>
      </c>
      <c r="X4" s="128">
        <v>63</v>
      </c>
      <c r="Y4" s="128"/>
      <c r="Z4" s="128">
        <v>52</v>
      </c>
      <c r="AA4" s="135">
        <v>108336</v>
      </c>
      <c r="AB4" s="128">
        <v>648</v>
      </c>
      <c r="AC4" s="136">
        <v>5</v>
      </c>
      <c r="AD4" s="137"/>
      <c r="AE4" s="138"/>
      <c r="AF4" s="139">
        <v>0</v>
      </c>
      <c r="AG4" s="138"/>
      <c r="AH4" s="140">
        <v>0</v>
      </c>
      <c r="AI4" s="141">
        <v>0</v>
      </c>
      <c r="AJ4" s="141">
        <v>0</v>
      </c>
      <c r="AK4" s="142">
        <v>0</v>
      </c>
      <c r="AL4" s="143">
        <v>0</v>
      </c>
      <c r="AM4" s="144">
        <f t="shared" si="5"/>
      </c>
      <c r="AN4" s="145">
        <v>0</v>
      </c>
      <c r="AO4" s="146">
        <f t="shared" si="2"/>
      </c>
      <c r="AP4" s="147">
        <v>20.76</v>
      </c>
      <c r="AQ4" s="148">
        <f t="shared" si="11"/>
      </c>
      <c r="AR4" s="132">
        <f t="shared" si="6"/>
      </c>
      <c r="AS4" s="134">
        <v>13.68</v>
      </c>
      <c r="AT4" s="133">
        <f t="shared" si="3"/>
      </c>
      <c r="AU4" s="134"/>
      <c r="AV4" s="134">
        <v>0.84</v>
      </c>
      <c r="AW4" s="128">
        <v>4</v>
      </c>
      <c r="AX4" s="128">
        <v>24.99</v>
      </c>
      <c r="AY4" s="132">
        <v>0.5</v>
      </c>
      <c r="AZ4" s="149">
        <f t="shared" si="0"/>
      </c>
      <c r="BA4" s="132">
        <f t="shared" si="9"/>
      </c>
      <c r="BB4" s="150"/>
      <c r="BC4" s="150"/>
      <c r="BD4" s="150"/>
      <c r="BE4" s="150"/>
      <c r="BF4" s="150"/>
    </row>
    <row customHeight="true" ht="23.703703703703702" r="5">
      <c r="A5" s="127">
        <v>45647</v>
      </c>
      <c r="B5" s="128" t="s">
        <v>228</v>
      </c>
      <c r="C5" s="129" t="s">
        <v>229</v>
      </c>
      <c r="D5" s="128">
        <v>49.99</v>
      </c>
      <c r="E5" s="130"/>
      <c r="F5" s="131">
        <v>0.2</v>
      </c>
      <c r="G5" s="128">
        <v>24.99</v>
      </c>
      <c r="H5" s="131">
        <v>0.165</v>
      </c>
      <c r="I5" s="132">
        <v>0.2215</v>
      </c>
      <c r="J5" s="128">
        <v>218</v>
      </c>
      <c r="K5" s="128">
        <v>378</v>
      </c>
      <c r="L5" s="128">
        <f t="shared" si="7"/>
      </c>
      <c r="M5" s="132">
        <f t="shared" si="4"/>
      </c>
      <c r="N5" s="133">
        <f t="shared" si="1"/>
      </c>
      <c r="O5" s="133">
        <f t="shared" si="10"/>
      </c>
      <c r="P5" s="128">
        <v>56</v>
      </c>
      <c r="Q5" s="128"/>
      <c r="R5" s="128"/>
      <c r="S5" s="130"/>
      <c r="T5" s="128"/>
      <c r="U5" s="134">
        <f t="shared" si="8"/>
      </c>
      <c r="V5" s="128">
        <v>63</v>
      </c>
      <c r="W5" s="128">
        <v>87</v>
      </c>
      <c r="X5" s="128">
        <v>38</v>
      </c>
      <c r="Y5" s="128"/>
      <c r="Z5" s="128">
        <v>87</v>
      </c>
      <c r="AA5" s="135">
        <v>54231</v>
      </c>
      <c r="AB5" s="128">
        <v>265</v>
      </c>
      <c r="AC5" s="136">
        <v>5</v>
      </c>
      <c r="AD5" s="137"/>
      <c r="AE5" s="138"/>
      <c r="AF5" s="139">
        <v>0</v>
      </c>
      <c r="AG5" s="138"/>
      <c r="AH5" s="140">
        <v>0</v>
      </c>
      <c r="AI5" s="141">
        <v>0</v>
      </c>
      <c r="AJ5" s="141">
        <v>0</v>
      </c>
      <c r="AK5" s="142">
        <v>0</v>
      </c>
      <c r="AL5" s="143">
        <v>0</v>
      </c>
      <c r="AM5" s="144">
        <f t="shared" si="5"/>
      </c>
      <c r="AN5" s="145">
        <v>0</v>
      </c>
      <c r="AO5" s="146">
        <f t="shared" si="2"/>
      </c>
      <c r="AP5" s="147">
        <v>20.76</v>
      </c>
      <c r="AQ5" s="148">
        <f t="shared" si="11"/>
      </c>
      <c r="AR5" s="132">
        <f t="shared" si="6"/>
      </c>
      <c r="AS5" s="134">
        <v>13.68</v>
      </c>
      <c r="AT5" s="133">
        <f t="shared" si="3"/>
      </c>
      <c r="AU5" s="134"/>
      <c r="AV5" s="134">
        <v>0.84</v>
      </c>
      <c r="AW5" s="128">
        <v>56</v>
      </c>
      <c r="AX5" s="128">
        <v>24.99</v>
      </c>
      <c r="AY5" s="132">
        <v>0.5</v>
      </c>
      <c r="AZ5" s="149">
        <f t="shared" si="0"/>
      </c>
      <c r="BA5" s="132">
        <f t="shared" si="9"/>
      </c>
      <c r="BB5" s="150"/>
      <c r="BC5" s="150"/>
      <c r="BD5" s="150"/>
      <c r="BE5" s="150"/>
      <c r="BF5" s="150"/>
    </row>
    <row customHeight="true" ht="23.703703703703702" r="6">
      <c r="A6" s="127">
        <v>45648</v>
      </c>
      <c r="B6" s="128" t="s">
        <v>230</v>
      </c>
      <c r="C6" s="129" t="s">
        <v>231</v>
      </c>
      <c r="D6" s="128">
        <v>49.99</v>
      </c>
      <c r="E6" s="130"/>
      <c r="F6" s="131">
        <v>0.2</v>
      </c>
      <c r="G6" s="128">
        <v>24.99</v>
      </c>
      <c r="H6" s="131">
        <v>0.165</v>
      </c>
      <c r="I6" s="132">
        <v>0.2215</v>
      </c>
      <c r="J6" s="128">
        <v>247</v>
      </c>
      <c r="K6" s="128">
        <v>161</v>
      </c>
      <c r="L6" s="128">
        <f t="shared" si="7"/>
      </c>
      <c r="M6" s="132">
        <f t="shared" si="4"/>
      </c>
      <c r="N6" s="133">
        <f t="shared" si="1"/>
      </c>
      <c r="O6" s="133">
        <f t="shared" si="10"/>
      </c>
      <c r="P6" s="128">
        <v>29</v>
      </c>
      <c r="Q6" s="128"/>
      <c r="R6" s="128"/>
      <c r="S6" s="130"/>
      <c r="T6" s="128"/>
      <c r="U6" s="134">
        <f t="shared" si="8"/>
      </c>
      <c r="V6" s="128">
        <v>32</v>
      </c>
      <c r="W6" s="128">
        <v>91</v>
      </c>
      <c r="X6" s="128">
        <v>35</v>
      </c>
      <c r="Y6" s="128"/>
      <c r="Z6" s="128">
        <v>107</v>
      </c>
      <c r="AA6" s="135">
        <v>30965</v>
      </c>
      <c r="AB6" s="128">
        <v>148</v>
      </c>
      <c r="AC6" s="136">
        <v>5</v>
      </c>
      <c r="AD6" s="137"/>
      <c r="AE6" s="138"/>
      <c r="AF6" s="139">
        <v>0</v>
      </c>
      <c r="AG6" s="138"/>
      <c r="AH6" s="140">
        <v>0</v>
      </c>
      <c r="AI6" s="141">
        <v>0</v>
      </c>
      <c r="AJ6" s="141">
        <v>0</v>
      </c>
      <c r="AK6" s="142">
        <v>0</v>
      </c>
      <c r="AL6" s="143">
        <v>0</v>
      </c>
      <c r="AM6" s="144">
        <f t="shared" si="5"/>
      </c>
      <c r="AN6" s="145">
        <v>0</v>
      </c>
      <c r="AO6" s="146">
        <f t="shared" si="2"/>
      </c>
      <c r="AP6" s="147">
        <v>20.76</v>
      </c>
      <c r="AQ6" s="148">
        <f t="shared" si="11"/>
      </c>
      <c r="AR6" s="132">
        <f t="shared" si="6"/>
      </c>
      <c r="AS6" s="134">
        <v>13.68</v>
      </c>
      <c r="AT6" s="133">
        <f t="shared" si="3"/>
      </c>
      <c r="AU6" s="134"/>
      <c r="AV6" s="134">
        <v>0.84</v>
      </c>
      <c r="AW6" s="128">
        <v>28</v>
      </c>
      <c r="AX6" s="128">
        <v>24.99</v>
      </c>
      <c r="AY6" s="132">
        <v>0.5</v>
      </c>
      <c r="AZ6" s="149">
        <f t="shared" si="0"/>
      </c>
      <c r="BA6" s="132">
        <f t="shared" si="9"/>
      </c>
      <c r="BB6" s="150"/>
      <c r="BC6" s="150"/>
      <c r="BD6" s="150"/>
      <c r="BE6" s="150"/>
      <c r="BF6" s="150"/>
    </row>
    <row customHeight="true" ht="23.703703703703702" r="7">
      <c r="A7" s="127">
        <v>45649</v>
      </c>
      <c r="B7" s="128" t="s">
        <v>232</v>
      </c>
      <c r="C7" s="129" t="s">
        <v>233</v>
      </c>
      <c r="D7" s="128">
        <v>49.99</v>
      </c>
      <c r="E7" s="130"/>
      <c r="F7" s="131">
        <v>0.2</v>
      </c>
      <c r="G7" s="128">
        <v>24.99</v>
      </c>
      <c r="H7" s="131">
        <v>0.165</v>
      </c>
      <c r="I7" s="132">
        <v>0.2215</v>
      </c>
      <c r="J7" s="128">
        <v>131</v>
      </c>
      <c r="K7" s="128">
        <v>121</v>
      </c>
      <c r="L7" s="128">
        <f t="shared" si="7"/>
      </c>
      <c r="M7" s="132">
        <f t="shared" si="4"/>
      </c>
      <c r="N7" s="133">
        <f t="shared" si="1"/>
      </c>
      <c r="O7" s="133">
        <f t="shared" si="10"/>
      </c>
      <c r="P7" s="128">
        <v>16</v>
      </c>
      <c r="Q7" s="128">
        <v>1</v>
      </c>
      <c r="R7" s="128">
        <v>1</v>
      </c>
      <c r="S7" s="130">
        <v>1</v>
      </c>
      <c r="T7" s="128"/>
      <c r="U7" s="134">
        <f t="shared" si="8"/>
      </c>
      <c r="V7" s="128" t="s">
        <v>225</v>
      </c>
      <c r="W7" s="128" t="s">
        <v>225</v>
      </c>
      <c r="X7" s="128" t="s">
        <v>225</v>
      </c>
      <c r="Y7" s="128"/>
      <c r="Z7" s="128">
        <v>117</v>
      </c>
      <c r="AA7" s="135">
        <v>37385</v>
      </c>
      <c r="AB7" s="128">
        <v>155</v>
      </c>
      <c r="AC7" s="136">
        <v>5</v>
      </c>
      <c r="AD7" s="137"/>
      <c r="AE7" s="138"/>
      <c r="AF7" s="139">
        <v>0</v>
      </c>
      <c r="AG7" s="138"/>
      <c r="AH7" s="140">
        <v>0</v>
      </c>
      <c r="AI7" s="141">
        <v>0</v>
      </c>
      <c r="AJ7" s="141">
        <v>0</v>
      </c>
      <c r="AK7" s="142">
        <v>0</v>
      </c>
      <c r="AL7" s="143">
        <v>0</v>
      </c>
      <c r="AM7" s="144">
        <f t="shared" si="5"/>
      </c>
      <c r="AN7" s="145">
        <v>0</v>
      </c>
      <c r="AO7" s="146">
        <f t="shared" si="2"/>
      </c>
      <c r="AP7" s="147">
        <v>20.76</v>
      </c>
      <c r="AQ7" s="148">
        <f t="shared" si="11"/>
      </c>
      <c r="AR7" s="132">
        <f t="shared" si="6"/>
      </c>
      <c r="AS7" s="134">
        <v>13.68</v>
      </c>
      <c r="AT7" s="133">
        <f t="shared" si="3"/>
      </c>
      <c r="AU7" s="134">
        <v>22.83</v>
      </c>
      <c r="AV7" s="134">
        <v>0.84</v>
      </c>
      <c r="AW7" s="128">
        <v>14</v>
      </c>
      <c r="AX7" s="128">
        <v>24.99</v>
      </c>
      <c r="AY7" s="132">
        <v>0.5</v>
      </c>
      <c r="AZ7" s="149">
        <f t="shared" si="0"/>
      </c>
      <c r="BA7" s="132">
        <f t="shared" si="9"/>
      </c>
      <c r="BB7" s="150"/>
      <c r="BC7" s="150"/>
      <c r="BD7" s="150"/>
      <c r="BE7" s="150"/>
      <c r="BF7" s="150"/>
    </row>
    <row customHeight="true" ht="23.703703703703702" r="8">
      <c r="A8" s="127">
        <v>45650</v>
      </c>
      <c r="B8" s="128" t="s">
        <v>234</v>
      </c>
      <c r="C8" s="129" t="s">
        <v>235</v>
      </c>
      <c r="D8" s="128">
        <v>49.99</v>
      </c>
      <c r="E8" s="130"/>
      <c r="F8" s="131">
        <v>0.2</v>
      </c>
      <c r="G8" s="128">
        <v>24.99</v>
      </c>
      <c r="H8" s="131">
        <v>0.165</v>
      </c>
      <c r="I8" s="132">
        <v>0.2215</v>
      </c>
      <c r="J8" s="128">
        <v>58</v>
      </c>
      <c r="K8" s="128">
        <v>42</v>
      </c>
      <c r="L8" s="128">
        <f t="shared" si="7"/>
      </c>
      <c r="M8" s="132">
        <f t="shared" si="4"/>
      </c>
      <c r="N8" s="133">
        <f t="shared" si="1"/>
      </c>
      <c r="O8" s="133">
        <f t="shared" si="10"/>
      </c>
      <c r="P8" s="128">
        <v>15</v>
      </c>
      <c r="Q8" s="128"/>
      <c r="R8" s="128"/>
      <c r="S8" s="130"/>
      <c r="T8" s="128"/>
      <c r="U8" s="134">
        <f t="shared" si="8"/>
      </c>
      <c r="V8" s="128">
        <v>49</v>
      </c>
      <c r="W8" s="128">
        <v>32</v>
      </c>
      <c r="X8" s="128">
        <v>32</v>
      </c>
      <c r="Y8" s="128"/>
      <c r="Z8" s="128">
        <v>137</v>
      </c>
      <c r="AA8" s="135">
        <v>40194</v>
      </c>
      <c r="AB8" s="128">
        <v>162</v>
      </c>
      <c r="AC8" s="136">
        <v>5</v>
      </c>
      <c r="AD8" s="137"/>
      <c r="AE8" s="138"/>
      <c r="AF8" s="139">
        <v>0</v>
      </c>
      <c r="AG8" s="138"/>
      <c r="AH8" s="140">
        <v>0</v>
      </c>
      <c r="AI8" s="141">
        <v>0</v>
      </c>
      <c r="AJ8" s="141">
        <v>0</v>
      </c>
      <c r="AK8" s="142">
        <v>0</v>
      </c>
      <c r="AL8" s="143">
        <v>0</v>
      </c>
      <c r="AM8" s="144">
        <f t="shared" si="5"/>
      </c>
      <c r="AN8" s="145">
        <v>0</v>
      </c>
      <c r="AO8" s="146">
        <f t="shared" si="2"/>
      </c>
      <c r="AP8" s="147">
        <v>20.76</v>
      </c>
      <c r="AQ8" s="148">
        <f t="shared" si="11"/>
      </c>
      <c r="AR8" s="132">
        <f t="shared" si="6"/>
      </c>
      <c r="AS8" s="134">
        <v>13.68</v>
      </c>
      <c r="AT8" s="133">
        <f t="shared" si="3"/>
      </c>
      <c r="AU8" s="134"/>
      <c r="AV8" s="134">
        <v>0.84</v>
      </c>
      <c r="AW8" s="128">
        <v>15</v>
      </c>
      <c r="AX8" s="128">
        <v>24.99</v>
      </c>
      <c r="AY8" s="132">
        <v>0.5</v>
      </c>
      <c r="AZ8" s="149">
        <f t="shared" si="0"/>
      </c>
      <c r="BA8" s="132">
        <f t="shared" si="9"/>
      </c>
      <c r="BB8" s="150"/>
      <c r="BC8" s="150"/>
      <c r="BD8" s="150"/>
      <c r="BE8" s="150"/>
      <c r="BF8" s="150"/>
    </row>
    <row customHeight="true" ht="23.703703703703702" r="9">
      <c r="A9" s="127">
        <v>45651</v>
      </c>
      <c r="B9" s="128" t="s">
        <v>236</v>
      </c>
      <c r="C9" s="129" t="s">
        <v>237</v>
      </c>
      <c r="D9" s="128">
        <v>49.99</v>
      </c>
      <c r="E9" s="130"/>
      <c r="F9" s="131">
        <v>0.2</v>
      </c>
      <c r="G9" s="128">
        <v>24.99</v>
      </c>
      <c r="H9" s="131">
        <v>0.165</v>
      </c>
      <c r="I9" s="132">
        <v>0.2215</v>
      </c>
      <c r="J9" s="128">
        <v>89</v>
      </c>
      <c r="K9" s="128">
        <v>75</v>
      </c>
      <c r="L9" s="128">
        <f t="shared" si="7"/>
      </c>
      <c r="M9" s="132">
        <f t="shared" si="4"/>
      </c>
      <c r="N9" s="133">
        <f t="shared" si="1"/>
      </c>
      <c r="O9" s="133">
        <f t="shared" si="10"/>
      </c>
      <c r="P9" s="128">
        <v>10</v>
      </c>
      <c r="Q9" s="128"/>
      <c r="R9" s="128"/>
      <c r="S9" s="130"/>
      <c r="T9" s="128"/>
      <c r="U9" s="134">
        <f t="shared" si="8"/>
      </c>
      <c r="V9" s="128">
        <v>32</v>
      </c>
      <c r="W9" s="128">
        <v>32</v>
      </c>
      <c r="X9" s="128" t="s">
        <v>225</v>
      </c>
      <c r="Y9" s="128"/>
      <c r="Z9" s="128">
        <v>151</v>
      </c>
      <c r="AA9" s="135">
        <v>43576</v>
      </c>
      <c r="AB9" s="128">
        <v>188</v>
      </c>
      <c r="AC9" s="136">
        <v>5</v>
      </c>
      <c r="AD9" s="137"/>
      <c r="AE9" s="138"/>
      <c r="AF9" s="139">
        <v>0</v>
      </c>
      <c r="AG9" s="138"/>
      <c r="AH9" s="140">
        <v>0</v>
      </c>
      <c r="AI9" s="141">
        <v>0</v>
      </c>
      <c r="AJ9" s="141">
        <v>0</v>
      </c>
      <c r="AK9" s="142">
        <v>0</v>
      </c>
      <c r="AL9" s="143">
        <v>0</v>
      </c>
      <c r="AM9" s="144">
        <f t="shared" si="5"/>
      </c>
      <c r="AN9" s="145">
        <v>0</v>
      </c>
      <c r="AO9" s="146">
        <f t="shared" si="2"/>
      </c>
      <c r="AP9" s="147">
        <v>20.76</v>
      </c>
      <c r="AQ9" s="148">
        <f t="shared" si="11"/>
      </c>
      <c r="AR9" s="132">
        <f t="shared" si="6"/>
      </c>
      <c r="AS9" s="134">
        <v>13.68</v>
      </c>
      <c r="AT9" s="133">
        <f t="shared" si="3"/>
      </c>
      <c r="AU9" s="134"/>
      <c r="AV9" s="134">
        <v>0.84</v>
      </c>
      <c r="AW9" s="128">
        <v>9</v>
      </c>
      <c r="AX9" s="128">
        <v>24.99</v>
      </c>
      <c r="AY9" s="132">
        <v>0.5</v>
      </c>
      <c r="AZ9" s="149">
        <f t="shared" si="0"/>
      </c>
      <c r="BA9" s="132">
        <f t="shared" si="9"/>
      </c>
      <c r="BB9" s="150"/>
      <c r="BC9" s="150"/>
      <c r="BD9" s="150"/>
      <c r="BE9" s="150"/>
      <c r="BF9" s="150"/>
    </row>
    <row customHeight="true" ht="23.703703703703702" r="10">
      <c r="A10" s="127">
        <v>45652</v>
      </c>
      <c r="B10" s="128" t="s">
        <v>223</v>
      </c>
      <c r="C10" s="129" t="s">
        <v>238</v>
      </c>
      <c r="D10" s="128">
        <v>49.99</v>
      </c>
      <c r="E10" s="130"/>
      <c r="F10" s="131">
        <v>0.2</v>
      </c>
      <c r="G10" s="128">
        <v>24.99</v>
      </c>
      <c r="H10" s="131">
        <v>0.165</v>
      </c>
      <c r="I10" s="132">
        <v>0.2215</v>
      </c>
      <c r="J10" s="128">
        <v>190</v>
      </c>
      <c r="K10" s="128">
        <v>180</v>
      </c>
      <c r="L10" s="128">
        <f t="shared" si="7"/>
      </c>
      <c r="M10" s="132">
        <f t="shared" si="4"/>
      </c>
      <c r="N10" s="133">
        <f t="shared" si="1"/>
      </c>
      <c r="O10" s="133">
        <f t="shared" si="10"/>
      </c>
      <c r="P10" s="128">
        <v>13</v>
      </c>
      <c r="Q10" s="128">
        <v>2</v>
      </c>
      <c r="R10" s="128">
        <v>2</v>
      </c>
      <c r="S10" s="130">
        <v>1</v>
      </c>
      <c r="T10" s="128"/>
      <c r="U10" s="134">
        <f t="shared" si="8"/>
      </c>
      <c r="V10" s="128">
        <v>32</v>
      </c>
      <c r="W10" s="128" t="s">
        <v>225</v>
      </c>
      <c r="X10" s="128">
        <v>32</v>
      </c>
      <c r="Y10" s="128"/>
      <c r="Z10" s="128">
        <v>151</v>
      </c>
      <c r="AA10" s="135">
        <v>52828</v>
      </c>
      <c r="AB10" s="128">
        <v>216</v>
      </c>
      <c r="AC10" s="136">
        <v>5</v>
      </c>
      <c r="AD10" s="137"/>
      <c r="AE10" s="138"/>
      <c r="AF10" s="139">
        <v>0</v>
      </c>
      <c r="AG10" s="138"/>
      <c r="AH10" s="140">
        <v>0</v>
      </c>
      <c r="AI10" s="141">
        <v>0</v>
      </c>
      <c r="AJ10" s="141">
        <v>0</v>
      </c>
      <c r="AK10" s="142">
        <v>0</v>
      </c>
      <c r="AL10" s="143">
        <v>0</v>
      </c>
      <c r="AM10" s="144">
        <f t="shared" si="5"/>
      </c>
      <c r="AN10" s="145">
        <v>0</v>
      </c>
      <c r="AO10" s="146">
        <f t="shared" si="2"/>
      </c>
      <c r="AP10" s="147">
        <v>20.76</v>
      </c>
      <c r="AQ10" s="148">
        <f t="shared" si="11"/>
      </c>
      <c r="AR10" s="132">
        <f t="shared" si="6"/>
      </c>
      <c r="AS10" s="134">
        <v>13.68</v>
      </c>
      <c r="AT10" s="133">
        <f t="shared" si="3"/>
      </c>
      <c r="AU10" s="134">
        <v>45.66</v>
      </c>
      <c r="AV10" s="134">
        <v>0.84</v>
      </c>
      <c r="AW10" s="128">
        <v>10</v>
      </c>
      <c r="AX10" s="128">
        <v>24.99</v>
      </c>
      <c r="AY10" s="132">
        <v>0.5</v>
      </c>
      <c r="AZ10" s="149">
        <f t="shared" si="0"/>
      </c>
      <c r="BA10" s="132">
        <f t="shared" si="9"/>
      </c>
      <c r="BB10" s="150"/>
      <c r="BC10" s="150"/>
      <c r="BD10" s="150"/>
      <c r="BE10" s="150"/>
      <c r="BF10" s="150"/>
    </row>
    <row customHeight="true" ht="23.703703703703702" r="11">
      <c r="A11" s="127">
        <v>45653</v>
      </c>
      <c r="B11" s="128" t="s">
        <v>226</v>
      </c>
      <c r="C11" s="129" t="s">
        <v>239</v>
      </c>
      <c r="D11" s="128">
        <v>49.99</v>
      </c>
      <c r="E11" s="130"/>
      <c r="F11" s="131">
        <v>0.2</v>
      </c>
      <c r="G11" s="128">
        <v>24.99</v>
      </c>
      <c r="H11" s="131">
        <v>0.165</v>
      </c>
      <c r="I11" s="132">
        <v>0.2215</v>
      </c>
      <c r="J11" s="128">
        <v>146</v>
      </c>
      <c r="K11" s="128">
        <v>217</v>
      </c>
      <c r="L11" s="128">
        <f t="shared" si="7"/>
      </c>
      <c r="M11" s="132">
        <f t="shared" si="4"/>
      </c>
      <c r="N11" s="133">
        <f t="shared" si="1"/>
      </c>
      <c r="O11" s="133">
        <f t="shared" si="10"/>
      </c>
      <c r="P11" s="128">
        <v>23</v>
      </c>
      <c r="Q11" s="128">
        <v>1</v>
      </c>
      <c r="R11" s="128">
        <v>1</v>
      </c>
      <c r="S11" s="130">
        <v>1</v>
      </c>
      <c r="T11" s="128"/>
      <c r="U11" s="134">
        <f t="shared" si="8"/>
      </c>
      <c r="V11" s="128">
        <v>32</v>
      </c>
      <c r="W11" s="128">
        <v>32</v>
      </c>
      <c r="X11" s="128">
        <v>32</v>
      </c>
      <c r="Y11" s="128"/>
      <c r="Z11" s="128">
        <v>153</v>
      </c>
      <c r="AA11" s="135">
        <v>53169</v>
      </c>
      <c r="AB11" s="128">
        <v>221</v>
      </c>
      <c r="AC11" s="136">
        <v>5</v>
      </c>
      <c r="AD11" s="137"/>
      <c r="AE11" s="138"/>
      <c r="AF11" s="139">
        <v>0</v>
      </c>
      <c r="AG11" s="138"/>
      <c r="AH11" s="140">
        <v>0</v>
      </c>
      <c r="AI11" s="141">
        <v>0</v>
      </c>
      <c r="AJ11" s="141">
        <v>0</v>
      </c>
      <c r="AK11" s="142">
        <v>0</v>
      </c>
      <c r="AL11" s="143">
        <v>0</v>
      </c>
      <c r="AM11" s="144">
        <f t="shared" si="5"/>
      </c>
      <c r="AN11" s="145">
        <v>0</v>
      </c>
      <c r="AO11" s="146">
        <f t="shared" si="2"/>
      </c>
      <c r="AP11" s="147">
        <v>20.76</v>
      </c>
      <c r="AQ11" s="148">
        <f t="shared" si="11"/>
      </c>
      <c r="AR11" s="132">
        <f t="shared" si="6"/>
      </c>
      <c r="AS11" s="134">
        <v>13.68</v>
      </c>
      <c r="AT11" s="133">
        <f t="shared" si="3"/>
      </c>
      <c r="AU11" s="134">
        <v>45.66</v>
      </c>
      <c r="AV11" s="134">
        <v>0.84</v>
      </c>
      <c r="AW11" s="128">
        <v>18</v>
      </c>
      <c r="AX11" s="128">
        <v>24.99</v>
      </c>
      <c r="AY11" s="132">
        <v>0.5</v>
      </c>
      <c r="AZ11" s="149">
        <f t="shared" si="0"/>
      </c>
      <c r="BA11" s="132">
        <f t="shared" si="9"/>
      </c>
      <c r="BB11" s="150"/>
      <c r="BC11" s="150"/>
      <c r="BD11" s="150"/>
      <c r="BE11" s="150"/>
      <c r="BF11" s="150"/>
    </row>
    <row customHeight="true" ht="23.703703703703702" r="12">
      <c r="A12" s="127">
        <v>45654</v>
      </c>
      <c r="B12" s="128" t="s">
        <v>228</v>
      </c>
      <c r="C12" s="129" t="s">
        <v>240</v>
      </c>
      <c r="D12" s="128">
        <v>49.99</v>
      </c>
      <c r="E12" s="130"/>
      <c r="F12" s="131">
        <v>0.2</v>
      </c>
      <c r="G12" s="128">
        <v>24.99</v>
      </c>
      <c r="H12" s="131">
        <v>0.165</v>
      </c>
      <c r="I12" s="132">
        <v>0.2215</v>
      </c>
      <c r="J12" s="128">
        <v>157</v>
      </c>
      <c r="K12" s="128">
        <v>228</v>
      </c>
      <c r="L12" s="128">
        <f t="shared" si="7"/>
      </c>
      <c r="M12" s="132">
        <f t="shared" si="4"/>
      </c>
      <c r="N12" s="133">
        <f t="shared" si="1"/>
      </c>
      <c r="O12" s="133">
        <f t="shared" si="10"/>
      </c>
      <c r="P12" s="128">
        <v>22</v>
      </c>
      <c r="Q12" s="128"/>
      <c r="R12" s="128"/>
      <c r="S12" s="130"/>
      <c r="T12" s="128"/>
      <c r="U12" s="134">
        <f t="shared" si="8"/>
      </c>
      <c r="V12" s="128">
        <v>32</v>
      </c>
      <c r="W12" s="128">
        <v>32</v>
      </c>
      <c r="X12" s="128">
        <v>32</v>
      </c>
      <c r="Y12" s="128"/>
      <c r="Z12" s="128">
        <v>155</v>
      </c>
      <c r="AA12" s="135">
        <v>33709</v>
      </c>
      <c r="AB12" s="128">
        <v>129</v>
      </c>
      <c r="AC12" s="136">
        <v>5</v>
      </c>
      <c r="AD12" s="137"/>
      <c r="AE12" s="138"/>
      <c r="AF12" s="139">
        <v>0</v>
      </c>
      <c r="AG12" s="138"/>
      <c r="AH12" s="140">
        <v>0</v>
      </c>
      <c r="AI12" s="141">
        <v>0</v>
      </c>
      <c r="AJ12" s="141">
        <v>0</v>
      </c>
      <c r="AK12" s="142">
        <v>0</v>
      </c>
      <c r="AL12" s="143">
        <v>0</v>
      </c>
      <c r="AM12" s="144">
        <f t="shared" si="5"/>
      </c>
      <c r="AN12" s="145">
        <v>0</v>
      </c>
      <c r="AO12" s="146">
        <f t="shared" si="2"/>
      </c>
      <c r="AP12" s="147">
        <v>20.76</v>
      </c>
      <c r="AQ12" s="148">
        <f t="shared" si="11"/>
      </c>
      <c r="AR12" s="132">
        <f t="shared" si="6"/>
      </c>
      <c r="AS12" s="134">
        <v>13.68</v>
      </c>
      <c r="AT12" s="133">
        <f t="shared" si="3"/>
      </c>
      <c r="AU12" s="134">
        <v>45.66</v>
      </c>
      <c r="AV12" s="134">
        <v>0.84</v>
      </c>
      <c r="AW12" s="128">
        <v>19</v>
      </c>
      <c r="AX12" s="128">
        <v>24.99</v>
      </c>
      <c r="AY12" s="132">
        <v>0.5</v>
      </c>
      <c r="AZ12" s="149">
        <f t="shared" si="0"/>
      </c>
      <c r="BA12" s="132">
        <f t="shared" si="9"/>
      </c>
      <c r="BB12" s="150"/>
      <c r="BC12" s="150"/>
      <c r="BD12" s="150"/>
      <c r="BE12" s="150"/>
      <c r="BF12" s="150"/>
    </row>
    <row customHeight="true" ht="23.703703703703702" r="13">
      <c r="A13" s="127">
        <v>45655</v>
      </c>
      <c r="B13" s="128" t="s">
        <v>230</v>
      </c>
      <c r="C13" s="129" t="s">
        <v>241</v>
      </c>
      <c r="D13" s="128">
        <v>49.99</v>
      </c>
      <c r="E13" s="130"/>
      <c r="F13" s="131">
        <v>0.2</v>
      </c>
      <c r="G13" s="128">
        <v>24.99</v>
      </c>
      <c r="H13" s="131">
        <v>0.165</v>
      </c>
      <c r="I13" s="132">
        <v>0.2215</v>
      </c>
      <c r="J13" s="128">
        <v>141</v>
      </c>
      <c r="K13" s="128">
        <v>141</v>
      </c>
      <c r="L13" s="128">
        <f t="shared" si="7"/>
      </c>
      <c r="M13" s="132">
        <f t="shared" si="4"/>
      </c>
      <c r="N13" s="133">
        <f t="shared" si="1"/>
      </c>
      <c r="O13" s="133">
        <f t="shared" si="10"/>
      </c>
      <c r="P13" s="128">
        <v>11</v>
      </c>
      <c r="Q13" s="128"/>
      <c r="R13" s="128"/>
      <c r="S13" s="130"/>
      <c r="T13" s="128"/>
      <c r="U13" s="134">
        <f t="shared" si="8"/>
      </c>
      <c r="V13" s="128">
        <v>32</v>
      </c>
      <c r="W13" s="128" t="s">
        <v>225</v>
      </c>
      <c r="X13" s="128">
        <v>32</v>
      </c>
      <c r="Y13" s="128"/>
      <c r="Z13" s="128">
        <v>155</v>
      </c>
      <c r="AA13" s="135">
        <v>42512</v>
      </c>
      <c r="AB13" s="128">
        <v>156</v>
      </c>
      <c r="AC13" s="136">
        <v>5</v>
      </c>
      <c r="AD13" s="137"/>
      <c r="AE13" s="138"/>
      <c r="AF13" s="139">
        <v>0</v>
      </c>
      <c r="AG13" s="138"/>
      <c r="AH13" s="140">
        <v>0</v>
      </c>
      <c r="AI13" s="141">
        <v>0</v>
      </c>
      <c r="AJ13" s="141">
        <v>0</v>
      </c>
      <c r="AK13" s="142">
        <v>0</v>
      </c>
      <c r="AL13" s="143">
        <v>0</v>
      </c>
      <c r="AM13" s="144">
        <f t="shared" si="5"/>
      </c>
      <c r="AN13" s="145">
        <v>0</v>
      </c>
      <c r="AO13" s="146">
        <f t="shared" si="2"/>
      </c>
      <c r="AP13" s="147">
        <v>20.76</v>
      </c>
      <c r="AQ13" s="148">
        <f t="shared" si="11"/>
      </c>
      <c r="AR13" s="132">
        <f t="shared" si="6"/>
      </c>
      <c r="AS13" s="134">
        <v>13.68</v>
      </c>
      <c r="AT13" s="133">
        <f t="shared" si="3"/>
      </c>
      <c r="AU13" s="134">
        <v>45.66</v>
      </c>
      <c r="AV13" s="134">
        <v>0.84</v>
      </c>
      <c r="AW13" s="128">
        <v>10</v>
      </c>
      <c r="AX13" s="128">
        <v>24.99</v>
      </c>
      <c r="AY13" s="132">
        <v>0.5</v>
      </c>
      <c r="AZ13" s="149">
        <f t="shared" si="0"/>
      </c>
      <c r="BA13" s="132">
        <f t="shared" si="9"/>
      </c>
      <c r="BB13" s="150"/>
      <c r="BC13" s="150"/>
      <c r="BD13" s="150"/>
      <c r="BE13" s="150"/>
      <c r="BF13" s="150"/>
    </row>
    <row customHeight="true" ht="23.703703703703702" r="14">
      <c r="A14" s="127">
        <v>45656</v>
      </c>
      <c r="B14" s="128" t="s">
        <v>232</v>
      </c>
      <c r="C14" s="129" t="s">
        <v>242</v>
      </c>
      <c r="D14" s="128">
        <v>49.99</v>
      </c>
      <c r="E14" s="130"/>
      <c r="F14" s="131">
        <v>0.2</v>
      </c>
      <c r="G14" s="128">
        <v>24.99</v>
      </c>
      <c r="H14" s="131">
        <v>0.165</v>
      </c>
      <c r="I14" s="132">
        <v>0.2215</v>
      </c>
      <c r="J14" s="128">
        <v>96</v>
      </c>
      <c r="K14" s="128">
        <v>143</v>
      </c>
      <c r="L14" s="128">
        <f t="shared" si="7"/>
      </c>
      <c r="M14" s="132">
        <f t="shared" si="4"/>
      </c>
      <c r="N14" s="133">
        <f t="shared" si="1"/>
      </c>
      <c r="O14" s="133">
        <f t="shared" si="10"/>
      </c>
      <c r="P14" s="128">
        <v>16</v>
      </c>
      <c r="Q14" s="128"/>
      <c r="R14" s="128"/>
      <c r="S14" s="130"/>
      <c r="T14" s="128"/>
      <c r="U14" s="134">
        <f t="shared" si="8"/>
      </c>
      <c r="V14" s="128">
        <v>32</v>
      </c>
      <c r="W14" s="128">
        <v>32</v>
      </c>
      <c r="X14" s="128">
        <v>32</v>
      </c>
      <c r="Y14" s="128"/>
      <c r="Z14" s="128">
        <v>158</v>
      </c>
      <c r="AA14" s="135">
        <v>46323</v>
      </c>
      <c r="AB14" s="128">
        <v>165</v>
      </c>
      <c r="AC14" s="136">
        <v>5</v>
      </c>
      <c r="AD14" s="137"/>
      <c r="AE14" s="138"/>
      <c r="AF14" s="139">
        <v>0</v>
      </c>
      <c r="AG14" s="138"/>
      <c r="AH14" s="140">
        <v>0</v>
      </c>
      <c r="AI14" s="141">
        <v>0</v>
      </c>
      <c r="AJ14" s="141">
        <v>0</v>
      </c>
      <c r="AK14" s="142">
        <v>0</v>
      </c>
      <c r="AL14" s="143">
        <v>0</v>
      </c>
      <c r="AM14" s="144">
        <f t="shared" si="5"/>
      </c>
      <c r="AN14" s="145">
        <v>0</v>
      </c>
      <c r="AO14" s="146">
        <f t="shared" si="2"/>
      </c>
      <c r="AP14" s="147">
        <v>20.76</v>
      </c>
      <c r="AQ14" s="148">
        <f t="shared" si="11"/>
      </c>
      <c r="AR14" s="132">
        <f t="shared" si="6"/>
      </c>
      <c r="AS14" s="134">
        <v>13.68</v>
      </c>
      <c r="AT14" s="133">
        <f t="shared" si="3"/>
      </c>
      <c r="AU14" s="134">
        <v>45.66</v>
      </c>
      <c r="AV14" s="134">
        <v>0.84</v>
      </c>
      <c r="AW14" s="128">
        <v>15</v>
      </c>
      <c r="AX14" s="128">
        <v>24.99</v>
      </c>
      <c r="AY14" s="132">
        <v>0.5</v>
      </c>
      <c r="AZ14" s="149">
        <f t="shared" si="0"/>
      </c>
      <c r="BA14" s="132">
        <f t="shared" si="9"/>
      </c>
      <c r="BB14" s="150"/>
      <c r="BC14" s="150"/>
      <c r="BD14" s="150"/>
      <c r="BE14" s="150"/>
      <c r="BF14" s="150"/>
    </row>
    <row customHeight="true" ht="23.703703703703702" r="15">
      <c r="A15" s="127">
        <v>45657</v>
      </c>
      <c r="B15" s="128" t="s">
        <v>234</v>
      </c>
      <c r="C15" s="129" t="s">
        <v>243</v>
      </c>
      <c r="D15" s="128">
        <v>49.99</v>
      </c>
      <c r="E15" s="130"/>
      <c r="F15" s="131">
        <v>0.2</v>
      </c>
      <c r="G15" s="128">
        <v>24.99</v>
      </c>
      <c r="H15" s="131">
        <v>0.165</v>
      </c>
      <c r="I15" s="132">
        <v>0.2215</v>
      </c>
      <c r="J15" s="128">
        <v>89</v>
      </c>
      <c r="K15" s="128">
        <v>75</v>
      </c>
      <c r="L15" s="128">
        <f t="shared" si="7"/>
      </c>
      <c r="M15" s="132">
        <f t="shared" si="4"/>
      </c>
      <c r="N15" s="133">
        <f t="shared" si="1"/>
      </c>
      <c r="O15" s="133">
        <f t="shared" si="10"/>
      </c>
      <c r="P15" s="128">
        <v>15</v>
      </c>
      <c r="Q15" s="128"/>
      <c r="R15" s="128"/>
      <c r="S15" s="130"/>
      <c r="T15" s="128"/>
      <c r="U15" s="134">
        <f t="shared" si="8"/>
      </c>
      <c r="V15" s="128">
        <v>32</v>
      </c>
      <c r="W15" s="128">
        <v>32</v>
      </c>
      <c r="X15" s="128">
        <v>32</v>
      </c>
      <c r="Y15" s="128"/>
      <c r="Z15" s="128">
        <v>178</v>
      </c>
      <c r="AA15" s="135">
        <v>43028</v>
      </c>
      <c r="AB15" s="128">
        <v>178</v>
      </c>
      <c r="AC15" s="136">
        <v>5</v>
      </c>
      <c r="AD15" s="137"/>
      <c r="AE15" s="138"/>
      <c r="AF15" s="139">
        <v>0</v>
      </c>
      <c r="AG15" s="138"/>
      <c r="AH15" s="140">
        <v>0</v>
      </c>
      <c r="AI15" s="141">
        <v>0</v>
      </c>
      <c r="AJ15" s="141">
        <v>0</v>
      </c>
      <c r="AK15" s="142">
        <v>0</v>
      </c>
      <c r="AL15" s="143">
        <v>0</v>
      </c>
      <c r="AM15" s="144">
        <f t="shared" si="5"/>
      </c>
      <c r="AN15" s="145">
        <v>0</v>
      </c>
      <c r="AO15" s="146">
        <f t="shared" si="2"/>
      </c>
      <c r="AP15" s="147">
        <v>20.76</v>
      </c>
      <c r="AQ15" s="148">
        <f t="shared" si="11"/>
      </c>
      <c r="AR15" s="132">
        <f t="shared" si="6"/>
      </c>
      <c r="AS15" s="134">
        <v>13.68</v>
      </c>
      <c r="AT15" s="133">
        <f t="shared" si="3"/>
      </c>
      <c r="AU15" s="134">
        <v>45.66</v>
      </c>
      <c r="AV15" s="134">
        <v>0.84</v>
      </c>
      <c r="AW15" s="128">
        <v>11</v>
      </c>
      <c r="AX15" s="128">
        <v>24.99</v>
      </c>
      <c r="AY15" s="132">
        <v>0.5</v>
      </c>
      <c r="AZ15" s="149">
        <f t="shared" si="0"/>
      </c>
      <c r="BA15" s="132">
        <f t="shared" si="9"/>
      </c>
      <c r="BB15" s="150"/>
      <c r="BC15" s="150"/>
      <c r="BD15" s="150"/>
      <c r="BE15" s="150"/>
      <c r="BF15" s="150"/>
    </row>
    <row customHeight="true" ht="23.703703703703702" r="16">
      <c r="A16" s="127">
        <v>45658</v>
      </c>
      <c r="B16" s="128" t="s">
        <v>236</v>
      </c>
      <c r="C16" s="129" t="s">
        <v>244</v>
      </c>
      <c r="D16" s="128">
        <v>49.99</v>
      </c>
      <c r="E16" s="130"/>
      <c r="F16" s="131">
        <v>0.2</v>
      </c>
      <c r="G16" s="128">
        <v>24.99</v>
      </c>
      <c r="H16" s="131">
        <v>0.165</v>
      </c>
      <c r="I16" s="132">
        <v>0.2215</v>
      </c>
      <c r="J16" s="128">
        <v>48</v>
      </c>
      <c r="K16" s="128">
        <v>46</v>
      </c>
      <c r="L16" s="128">
        <f t="shared" si="7"/>
      </c>
      <c r="M16" s="132">
        <f t="shared" si="4"/>
      </c>
      <c r="N16" s="133">
        <f t="shared" si="1"/>
      </c>
      <c r="O16" s="133">
        <f t="shared" si="10"/>
      </c>
      <c r="P16" s="128">
        <v>4</v>
      </c>
      <c r="Q16" s="128"/>
      <c r="R16" s="128"/>
      <c r="S16" s="130"/>
      <c r="T16" s="128"/>
      <c r="U16" s="134">
        <f t="shared" si="8"/>
      </c>
      <c r="V16" s="128">
        <v>32</v>
      </c>
      <c r="W16" s="128">
        <v>32</v>
      </c>
      <c r="X16" s="128" t="s">
        <v>225</v>
      </c>
      <c r="Y16" s="128"/>
      <c r="Z16" s="128">
        <v>190</v>
      </c>
      <c r="AA16" s="135">
        <v>75992</v>
      </c>
      <c r="AB16" s="128">
        <v>321</v>
      </c>
      <c r="AC16" s="136">
        <v>5</v>
      </c>
      <c r="AD16" s="137"/>
      <c r="AE16" s="138"/>
      <c r="AF16" s="139">
        <v>0</v>
      </c>
      <c r="AG16" s="138"/>
      <c r="AH16" s="140">
        <v>0</v>
      </c>
      <c r="AI16" s="141">
        <v>0</v>
      </c>
      <c r="AJ16" s="141">
        <v>0</v>
      </c>
      <c r="AK16" s="142">
        <v>0</v>
      </c>
      <c r="AL16" s="143">
        <v>0</v>
      </c>
      <c r="AM16" s="144">
        <f t="shared" si="5"/>
      </c>
      <c r="AN16" s="145">
        <v>0</v>
      </c>
      <c r="AO16" s="146">
        <f t="shared" si="2"/>
      </c>
      <c r="AP16" s="147">
        <v>20.76</v>
      </c>
      <c r="AQ16" s="148">
        <f t="shared" si="11"/>
      </c>
      <c r="AR16" s="132">
        <f t="shared" si="6"/>
      </c>
      <c r="AS16" s="134">
        <v>13.68</v>
      </c>
      <c r="AT16" s="133">
        <f t="shared" si="3"/>
      </c>
      <c r="AU16" s="134">
        <v>45.66</v>
      </c>
      <c r="AV16" s="134">
        <v>0.84</v>
      </c>
      <c r="AW16" s="128">
        <v>3</v>
      </c>
      <c r="AX16" s="128">
        <v>24.99</v>
      </c>
      <c r="AY16" s="132">
        <v>0.5</v>
      </c>
      <c r="AZ16" s="149">
        <f t="shared" si="0"/>
      </c>
      <c r="BA16" s="132">
        <f t="shared" si="9"/>
      </c>
      <c r="BB16" s="150"/>
      <c r="BC16" s="150"/>
      <c r="BD16" s="150"/>
      <c r="BE16" s="150"/>
      <c r="BF16" s="150"/>
    </row>
    <row customHeight="true" ht="23.703703703703702" r="17">
      <c r="A17" s="127">
        <v>45659</v>
      </c>
      <c r="B17" s="128" t="s">
        <v>223</v>
      </c>
      <c r="C17" s="129" t="s">
        <v>245</v>
      </c>
      <c r="D17" s="128">
        <v>49.99</v>
      </c>
      <c r="E17" s="130"/>
      <c r="F17" s="131">
        <v>0.2</v>
      </c>
      <c r="G17" s="128">
        <v>24.99</v>
      </c>
      <c r="H17" s="131">
        <v>0.165</v>
      </c>
      <c r="I17" s="132">
        <v>0.2215</v>
      </c>
      <c r="J17" s="128">
        <v>308</v>
      </c>
      <c r="K17" s="128">
        <v>375</v>
      </c>
      <c r="L17" s="128">
        <f t="shared" si="7"/>
      </c>
      <c r="M17" s="132">
        <f t="shared" si="4"/>
      </c>
      <c r="N17" s="133">
        <f t="shared" si="1"/>
      </c>
      <c r="O17" s="133">
        <f t="shared" si="10"/>
      </c>
      <c r="P17" s="128">
        <v>44</v>
      </c>
      <c r="Q17" s="128"/>
      <c r="R17" s="128"/>
      <c r="S17" s="130"/>
      <c r="T17" s="128"/>
      <c r="U17" s="134">
        <f t="shared" si="8"/>
      </c>
      <c r="V17" s="128">
        <v>32</v>
      </c>
      <c r="W17" s="128">
        <v>32</v>
      </c>
      <c r="X17" s="128" t="s">
        <v>225</v>
      </c>
      <c r="Y17" s="128"/>
      <c r="Z17" s="128">
        <v>191</v>
      </c>
      <c r="AA17" s="135">
        <v>30534</v>
      </c>
      <c r="AB17" s="128">
        <v>94</v>
      </c>
      <c r="AC17" s="136">
        <v>5</v>
      </c>
      <c r="AD17" s="137"/>
      <c r="AE17" s="138"/>
      <c r="AF17" s="139">
        <v>0</v>
      </c>
      <c r="AG17" s="138"/>
      <c r="AH17" s="140">
        <v>0</v>
      </c>
      <c r="AI17" s="141">
        <v>0</v>
      </c>
      <c r="AJ17" s="141">
        <v>0</v>
      </c>
      <c r="AK17" s="142">
        <v>0</v>
      </c>
      <c r="AL17" s="143">
        <v>0</v>
      </c>
      <c r="AM17" s="144">
        <f t="shared" si="5"/>
      </c>
      <c r="AN17" s="145">
        <v>0</v>
      </c>
      <c r="AO17" s="146">
        <f t="shared" si="2"/>
      </c>
      <c r="AP17" s="147">
        <v>20.76</v>
      </c>
      <c r="AQ17" s="148">
        <f t="shared" si="11"/>
      </c>
      <c r="AR17" s="132">
        <f t="shared" si="6"/>
      </c>
      <c r="AS17" s="134">
        <v>13.68</v>
      </c>
      <c r="AT17" s="133">
        <f t="shared" si="3"/>
      </c>
      <c r="AU17" s="134">
        <v>45.66</v>
      </c>
      <c r="AV17" s="134">
        <v>0.84</v>
      </c>
      <c r="AW17" s="128">
        <v>38</v>
      </c>
      <c r="AX17" s="128">
        <v>24.99</v>
      </c>
      <c r="AY17" s="132">
        <v>0.5</v>
      </c>
      <c r="AZ17" s="149">
        <f t="shared" si="0"/>
      </c>
      <c r="BA17" s="132">
        <f t="shared" si="9"/>
      </c>
      <c r="BB17" s="150"/>
      <c r="BC17" s="150"/>
      <c r="BD17" s="150"/>
      <c r="BE17" s="150"/>
      <c r="BF17" s="150"/>
    </row>
    <row customHeight="true" ht="23.703703703703702" r="18">
      <c r="A18" s="127">
        <v>45660</v>
      </c>
      <c r="B18" s="128" t="s">
        <v>226</v>
      </c>
      <c r="C18" s="129" t="s">
        <v>246</v>
      </c>
      <c r="D18" s="128">
        <v>49.99</v>
      </c>
      <c r="E18" s="130"/>
      <c r="F18" s="131">
        <v>0.2</v>
      </c>
      <c r="G18" s="128">
        <v>24.99</v>
      </c>
      <c r="H18" s="131">
        <v>0.165</v>
      </c>
      <c r="I18" s="132">
        <v>0.2215</v>
      </c>
      <c r="J18" s="128">
        <v>264</v>
      </c>
      <c r="K18" s="128">
        <v>315</v>
      </c>
      <c r="L18" s="128">
        <f t="shared" si="7"/>
      </c>
      <c r="M18" s="132">
        <f t="shared" si="4"/>
      </c>
      <c r="N18" s="133">
        <f t="shared" si="1"/>
      </c>
      <c r="O18" s="133">
        <f t="shared" si="10"/>
      </c>
      <c r="P18" s="128">
        <v>16</v>
      </c>
      <c r="Q18" s="128"/>
      <c r="R18" s="128"/>
      <c r="S18" s="130"/>
      <c r="T18" s="128"/>
      <c r="U18" s="134">
        <f t="shared" si="8"/>
      </c>
      <c r="V18" s="128">
        <v>32</v>
      </c>
      <c r="W18" s="128">
        <v>32</v>
      </c>
      <c r="X18" s="128" t="s">
        <v>225</v>
      </c>
      <c r="Y18" s="128"/>
      <c r="Z18" s="128">
        <v>192</v>
      </c>
      <c r="AA18" s="135">
        <v>29868</v>
      </c>
      <c r="AB18" s="128">
        <v>89</v>
      </c>
      <c r="AC18" s="136">
        <v>5</v>
      </c>
      <c r="AD18" s="137"/>
      <c r="AE18" s="138"/>
      <c r="AF18" s="139">
        <v>0</v>
      </c>
      <c r="AG18" s="138"/>
      <c r="AH18" s="140">
        <v>0</v>
      </c>
      <c r="AI18" s="141">
        <v>0</v>
      </c>
      <c r="AJ18" s="141">
        <v>0</v>
      </c>
      <c r="AK18" s="142">
        <v>0</v>
      </c>
      <c r="AL18" s="143">
        <v>0</v>
      </c>
      <c r="AM18" s="144">
        <f t="shared" si="5"/>
      </c>
      <c r="AN18" s="145">
        <v>0</v>
      </c>
      <c r="AO18" s="146">
        <f t="shared" si="2"/>
      </c>
      <c r="AP18" s="147">
        <v>20.76</v>
      </c>
      <c r="AQ18" s="148">
        <f t="shared" si="11"/>
      </c>
      <c r="AR18" s="132">
        <f t="shared" si="6"/>
      </c>
      <c r="AS18" s="134">
        <v>13.68</v>
      </c>
      <c r="AT18" s="133">
        <f t="shared" si="3"/>
      </c>
      <c r="AU18" s="134">
        <v>45.66</v>
      </c>
      <c r="AV18" s="134">
        <v>0.84</v>
      </c>
      <c r="AW18" s="128">
        <v>14</v>
      </c>
      <c r="AX18" s="128">
        <v>24.99</v>
      </c>
      <c r="AY18" s="132">
        <v>0.5</v>
      </c>
      <c r="AZ18" s="149">
        <f t="shared" si="0"/>
      </c>
      <c r="BA18" s="132">
        <f t="shared" si="9"/>
      </c>
      <c r="BB18" s="150"/>
      <c r="BC18" s="150"/>
      <c r="BD18" s="150"/>
      <c r="BE18" s="150"/>
      <c r="BF18" s="150"/>
    </row>
    <row customHeight="true" ht="23.703703703703702" r="19">
      <c r="A19" s="127">
        <v>45661</v>
      </c>
      <c r="B19" s="128" t="s">
        <v>228</v>
      </c>
      <c r="C19" s="129" t="s">
        <v>247</v>
      </c>
      <c r="D19" s="128">
        <v>49.99</v>
      </c>
      <c r="E19" s="130"/>
      <c r="F19" s="131">
        <v>0.2</v>
      </c>
      <c r="G19" s="128">
        <v>24.99</v>
      </c>
      <c r="H19" s="131">
        <v>0.165</v>
      </c>
      <c r="I19" s="132">
        <v>0.2215</v>
      </c>
      <c r="J19" s="128">
        <v>677</v>
      </c>
      <c r="K19" s="128">
        <v>693</v>
      </c>
      <c r="L19" s="128">
        <f t="shared" si="7"/>
      </c>
      <c r="M19" s="132">
        <f t="shared" si="4"/>
      </c>
      <c r="N19" s="133">
        <f t="shared" si="1"/>
      </c>
      <c r="O19" s="133">
        <f t="shared" si="10"/>
      </c>
      <c r="P19" s="128">
        <v>16</v>
      </c>
      <c r="Q19" s="128"/>
      <c r="R19" s="128"/>
      <c r="S19" s="130"/>
      <c r="T19" s="128"/>
      <c r="U19" s="134">
        <f t="shared" si="8"/>
      </c>
      <c r="V19" s="128">
        <v>32</v>
      </c>
      <c r="W19" s="128">
        <v>32</v>
      </c>
      <c r="X19" s="128" t="s">
        <v>225</v>
      </c>
      <c r="Y19" s="128"/>
      <c r="Z19" s="128">
        <v>194</v>
      </c>
      <c r="AA19" s="135">
        <v>43122</v>
      </c>
      <c r="AB19" s="128">
        <v>143</v>
      </c>
      <c r="AC19" s="136">
        <v>5</v>
      </c>
      <c r="AD19" s="137"/>
      <c r="AE19" s="138"/>
      <c r="AF19" s="139">
        <v>0</v>
      </c>
      <c r="AG19" s="138"/>
      <c r="AH19" s="140">
        <v>0</v>
      </c>
      <c r="AI19" s="141">
        <v>0</v>
      </c>
      <c r="AJ19" s="141">
        <v>0</v>
      </c>
      <c r="AK19" s="142">
        <v>0</v>
      </c>
      <c r="AL19" s="143">
        <v>0</v>
      </c>
      <c r="AM19" s="144">
        <f t="shared" si="5"/>
      </c>
      <c r="AN19" s="145">
        <v>0</v>
      </c>
      <c r="AO19" s="146">
        <f t="shared" si="2"/>
      </c>
      <c r="AP19" s="147">
        <v>20.76</v>
      </c>
      <c r="AQ19" s="148">
        <f t="shared" si="11"/>
      </c>
      <c r="AR19" s="132">
        <f t="shared" si="6"/>
      </c>
      <c r="AS19" s="134">
        <v>13.68</v>
      </c>
      <c r="AT19" s="133">
        <f t="shared" si="3"/>
      </c>
      <c r="AU19" s="134">
        <v>45.66</v>
      </c>
      <c r="AV19" s="134">
        <v>0.84</v>
      </c>
      <c r="AW19" s="128">
        <v>8</v>
      </c>
      <c r="AX19" s="128">
        <v>24.99</v>
      </c>
      <c r="AY19" s="132">
        <v>0.5</v>
      </c>
      <c r="AZ19" s="149">
        <f t="shared" si="0"/>
      </c>
      <c r="BA19" s="132">
        <f t="shared" si="9"/>
      </c>
      <c r="BB19" s="150"/>
      <c r="BC19" s="150"/>
      <c r="BD19" s="150"/>
      <c r="BE19" s="150"/>
      <c r="BF19" s="150"/>
    </row>
    <row customHeight="true" ht="23.703703703703702" r="20">
      <c r="A20" s="127">
        <v>45662</v>
      </c>
      <c r="B20" s="128" t="s">
        <v>230</v>
      </c>
      <c r="C20" s="129" t="s">
        <v>248</v>
      </c>
      <c r="D20" s="128">
        <v>49.99</v>
      </c>
      <c r="E20" s="130"/>
      <c r="F20" s="131">
        <v>0.2</v>
      </c>
      <c r="G20" s="128">
        <v>24.99</v>
      </c>
      <c r="H20" s="131">
        <v>0.165</v>
      </c>
      <c r="I20" s="132">
        <v>0.2215</v>
      </c>
      <c r="J20" s="128">
        <v>2873</v>
      </c>
      <c r="K20" s="128">
        <v>3073</v>
      </c>
      <c r="L20" s="128">
        <f t="shared" si="7"/>
      </c>
      <c r="M20" s="132">
        <f t="shared" si="4"/>
      </c>
      <c r="N20" s="133">
        <f t="shared" si="1"/>
      </c>
      <c r="O20" s="133">
        <f t="shared" si="10"/>
      </c>
      <c r="P20" s="128">
        <v>53</v>
      </c>
      <c r="Q20" s="128"/>
      <c r="R20" s="128"/>
      <c r="S20" s="130"/>
      <c r="T20" s="128"/>
      <c r="U20" s="134">
        <f t="shared" si="8"/>
      </c>
      <c r="V20" s="128">
        <v>3</v>
      </c>
      <c r="W20" s="128">
        <v>18</v>
      </c>
      <c r="X20" s="128" t="s">
        <v>225</v>
      </c>
      <c r="Y20" s="128"/>
      <c r="Z20" s="128">
        <v>196</v>
      </c>
      <c r="AA20" s="135">
        <v>26287</v>
      </c>
      <c r="AB20" s="128">
        <v>87</v>
      </c>
      <c r="AC20" s="136">
        <v>5</v>
      </c>
      <c r="AD20" s="137"/>
      <c r="AE20" s="138"/>
      <c r="AF20" s="139">
        <v>0</v>
      </c>
      <c r="AG20" s="138"/>
      <c r="AH20" s="140">
        <v>0</v>
      </c>
      <c r="AI20" s="141">
        <v>0</v>
      </c>
      <c r="AJ20" s="141">
        <v>0</v>
      </c>
      <c r="AK20" s="142">
        <v>0</v>
      </c>
      <c r="AL20" s="143">
        <v>0</v>
      </c>
      <c r="AM20" s="144">
        <f t="shared" si="5"/>
      </c>
      <c r="AN20" s="145">
        <v>0</v>
      </c>
      <c r="AO20" s="146">
        <f t="shared" si="2"/>
      </c>
      <c r="AP20" s="147">
        <v>20.76</v>
      </c>
      <c r="AQ20" s="148">
        <f t="shared" si="11"/>
      </c>
      <c r="AR20" s="132">
        <f t="shared" si="6"/>
      </c>
      <c r="AS20" s="134">
        <v>13.68</v>
      </c>
      <c r="AT20" s="133">
        <f t="shared" si="3"/>
      </c>
      <c r="AU20" s="134">
        <v>45.66</v>
      </c>
      <c r="AV20" s="134">
        <v>0.84</v>
      </c>
      <c r="AW20" s="128">
        <v>49</v>
      </c>
      <c r="AX20" s="128">
        <v>24.99</v>
      </c>
      <c r="AY20" s="132">
        <v>0.5</v>
      </c>
      <c r="AZ20" s="149">
        <f t="shared" si="0"/>
      </c>
      <c r="BA20" s="132">
        <f t="shared" si="9"/>
      </c>
      <c r="BB20" s="150"/>
      <c r="BC20" s="150"/>
      <c r="BD20" s="150"/>
      <c r="BE20" s="150"/>
      <c r="BF20" s="150"/>
    </row>
    <row customHeight="true" ht="23.703703703703702" r="21">
      <c r="A21" s="127">
        <v>45663</v>
      </c>
      <c r="B21" s="128" t="s">
        <v>232</v>
      </c>
      <c r="C21" s="129" t="s">
        <v>249</v>
      </c>
      <c r="D21" s="128">
        <v>49.99</v>
      </c>
      <c r="E21" s="130"/>
      <c r="F21" s="131">
        <v>0.2</v>
      </c>
      <c r="G21" s="128">
        <v>24.99</v>
      </c>
      <c r="H21" s="131">
        <v>0.165</v>
      </c>
      <c r="I21" s="132">
        <v>0.2215</v>
      </c>
      <c r="J21" s="128">
        <v>2484</v>
      </c>
      <c r="K21" s="128">
        <v>2617</v>
      </c>
      <c r="L21" s="128">
        <f t="shared" si="7"/>
      </c>
      <c r="M21" s="132">
        <f t="shared" si="4"/>
      </c>
      <c r="N21" s="133">
        <f t="shared" si="1"/>
      </c>
      <c r="O21" s="133">
        <f t="shared" si="10"/>
      </c>
      <c r="P21" s="128">
        <v>40</v>
      </c>
      <c r="Q21" s="128"/>
      <c r="R21" s="128"/>
      <c r="S21" s="130"/>
      <c r="T21" s="128"/>
      <c r="U21" s="134">
        <f t="shared" si="8"/>
      </c>
      <c r="V21" s="128">
        <v>2</v>
      </c>
      <c r="W21" s="128">
        <v>18</v>
      </c>
      <c r="X21" s="128" t="s">
        <v>225</v>
      </c>
      <c r="Y21" s="128"/>
      <c r="Z21" s="128">
        <v>200</v>
      </c>
      <c r="AA21" s="135">
        <v>30031</v>
      </c>
      <c r="AB21" s="128">
        <v>93</v>
      </c>
      <c r="AC21" s="136">
        <v>5</v>
      </c>
      <c r="AD21" s="137"/>
      <c r="AE21" s="138"/>
      <c r="AF21" s="139">
        <v>0</v>
      </c>
      <c r="AG21" s="138"/>
      <c r="AH21" s="140">
        <v>0</v>
      </c>
      <c r="AI21" s="141">
        <v>0</v>
      </c>
      <c r="AJ21" s="141">
        <v>0</v>
      </c>
      <c r="AK21" s="142">
        <v>0</v>
      </c>
      <c r="AL21" s="143">
        <v>0</v>
      </c>
      <c r="AM21" s="144">
        <f t="shared" si="5"/>
      </c>
      <c r="AN21" s="145">
        <v>0</v>
      </c>
      <c r="AO21" s="146">
        <f t="shared" si="2"/>
      </c>
      <c r="AP21" s="147">
        <v>20.76</v>
      </c>
      <c r="AQ21" s="148">
        <f t="shared" si="11"/>
      </c>
      <c r="AR21" s="132">
        <f t="shared" si="6"/>
      </c>
      <c r="AS21" s="134">
        <v>13.68</v>
      </c>
      <c r="AT21" s="133">
        <f t="shared" si="3"/>
      </c>
      <c r="AU21" s="134">
        <v>45.66</v>
      </c>
      <c r="AV21" s="134">
        <v>0.84</v>
      </c>
      <c r="AW21" s="128">
        <v>30</v>
      </c>
      <c r="AX21" s="128">
        <v>24.99</v>
      </c>
      <c r="AY21" s="132">
        <v>0.5</v>
      </c>
      <c r="AZ21" s="149">
        <f t="shared" si="0"/>
      </c>
      <c r="BA21" s="132">
        <f t="shared" si="9"/>
      </c>
      <c r="BB21" s="150"/>
      <c r="BC21" s="150"/>
      <c r="BD21" s="150"/>
      <c r="BE21" s="150"/>
      <c r="BF21" s="150"/>
    </row>
    <row customHeight="true" ht="23.703703703703702" r="22">
      <c r="A22" s="127">
        <v>45664</v>
      </c>
      <c r="B22" s="128" t="s">
        <v>234</v>
      </c>
      <c r="C22" s="129" t="s">
        <v>250</v>
      </c>
      <c r="D22" s="128">
        <v>49.99</v>
      </c>
      <c r="E22" s="130"/>
      <c r="F22" s="131">
        <v>0.2</v>
      </c>
      <c r="G22" s="128">
        <v>24.99</v>
      </c>
      <c r="H22" s="131">
        <v>0.165</v>
      </c>
      <c r="I22" s="132">
        <v>0.2215</v>
      </c>
      <c r="J22" s="128">
        <v>735</v>
      </c>
      <c r="K22" s="128">
        <v>657</v>
      </c>
      <c r="L22" s="128">
        <f t="shared" si="7"/>
      </c>
      <c r="M22" s="132">
        <f t="shared" si="4"/>
      </c>
      <c r="N22" s="133">
        <f t="shared" si="1"/>
      </c>
      <c r="O22" s="133">
        <f t="shared" si="10"/>
      </c>
      <c r="P22" s="128">
        <v>42</v>
      </c>
      <c r="Q22" s="128"/>
      <c r="R22" s="128"/>
      <c r="S22" s="130"/>
      <c r="T22" s="128"/>
      <c r="U22" s="134">
        <f t="shared" si="8"/>
      </c>
      <c r="V22" s="128">
        <v>2</v>
      </c>
      <c r="W22" s="128">
        <v>18</v>
      </c>
      <c r="X22" s="128">
        <v>32</v>
      </c>
      <c r="Y22" s="128"/>
      <c r="Z22" s="128">
        <v>222</v>
      </c>
      <c r="AA22" s="135">
        <v>26058</v>
      </c>
      <c r="AB22" s="128">
        <v>77</v>
      </c>
      <c r="AC22" s="136">
        <v>5</v>
      </c>
      <c r="AD22" s="137"/>
      <c r="AE22" s="138"/>
      <c r="AF22" s="139">
        <v>0</v>
      </c>
      <c r="AG22" s="138"/>
      <c r="AH22" s="140">
        <v>0</v>
      </c>
      <c r="AI22" s="141">
        <v>0</v>
      </c>
      <c r="AJ22" s="141">
        <v>0</v>
      </c>
      <c r="AK22" s="142">
        <v>0</v>
      </c>
      <c r="AL22" s="143">
        <v>0</v>
      </c>
      <c r="AM22" s="144">
        <f t="shared" si="5"/>
      </c>
      <c r="AN22" s="145">
        <v>0</v>
      </c>
      <c r="AO22" s="146">
        <f t="shared" si="2"/>
      </c>
      <c r="AP22" s="147">
        <v>20.76</v>
      </c>
      <c r="AQ22" s="148">
        <f t="shared" si="11"/>
      </c>
      <c r="AR22" s="132">
        <f t="shared" si="6"/>
      </c>
      <c r="AS22" s="134">
        <v>13.68</v>
      </c>
      <c r="AT22" s="133">
        <f t="shared" si="3"/>
      </c>
      <c r="AU22" s="134">
        <v>45.66</v>
      </c>
      <c r="AV22" s="134">
        <v>0.84</v>
      </c>
      <c r="AW22" s="128">
        <v>36</v>
      </c>
      <c r="AX22" s="128">
        <v>24.99</v>
      </c>
      <c r="AY22" s="132">
        <v>0.5</v>
      </c>
      <c r="AZ22" s="149">
        <f t="shared" si="0"/>
      </c>
      <c r="BA22" s="132">
        <f t="shared" si="9"/>
      </c>
      <c r="BB22" s="150"/>
      <c r="BC22" s="150"/>
      <c r="BD22" s="150"/>
      <c r="BE22" s="150"/>
      <c r="BF22" s="150"/>
    </row>
    <row customHeight="true" ht="23.703703703703702" r="23">
      <c r="A23" s="127">
        <v>45665</v>
      </c>
      <c r="B23" s="128" t="s">
        <v>236</v>
      </c>
      <c r="C23" s="129" t="s">
        <v>251</v>
      </c>
      <c r="D23" s="128">
        <v>49.99</v>
      </c>
      <c r="E23" s="130"/>
      <c r="F23" s="131">
        <v>0.2</v>
      </c>
      <c r="G23" s="128">
        <v>24.99</v>
      </c>
      <c r="H23" s="131">
        <v>0.165</v>
      </c>
      <c r="I23" s="132">
        <v>0.2215</v>
      </c>
      <c r="J23" s="128">
        <v>1356</v>
      </c>
      <c r="K23" s="128">
        <v>1466</v>
      </c>
      <c r="L23" s="128">
        <f t="shared" si="7"/>
      </c>
      <c r="M23" s="132">
        <f t="shared" si="4"/>
      </c>
      <c r="N23" s="133">
        <f t="shared" si="1"/>
      </c>
      <c r="O23" s="133">
        <f t="shared" si="10"/>
      </c>
      <c r="P23" s="128">
        <v>57</v>
      </c>
      <c r="Q23" s="128"/>
      <c r="R23" s="128"/>
      <c r="S23" s="130"/>
      <c r="T23" s="128"/>
      <c r="U23" s="134">
        <f t="shared" si="8"/>
      </c>
      <c r="V23" s="128">
        <v>2</v>
      </c>
      <c r="W23" s="128">
        <v>18</v>
      </c>
      <c r="X23" s="128">
        <v>2</v>
      </c>
      <c r="Y23" s="128"/>
      <c r="Z23" s="128">
        <v>248</v>
      </c>
      <c r="AA23" s="135">
        <v>19128</v>
      </c>
      <c r="AB23" s="128">
        <v>51</v>
      </c>
      <c r="AC23" s="136">
        <v>5</v>
      </c>
      <c r="AD23" s="137"/>
      <c r="AE23" s="138"/>
      <c r="AF23" s="139">
        <v>0</v>
      </c>
      <c r="AG23" s="138"/>
      <c r="AH23" s="140">
        <v>0</v>
      </c>
      <c r="AI23" s="141">
        <v>0</v>
      </c>
      <c r="AJ23" s="141">
        <v>0</v>
      </c>
      <c r="AK23" s="142">
        <v>0</v>
      </c>
      <c r="AL23" s="143">
        <v>0</v>
      </c>
      <c r="AM23" s="144">
        <f t="shared" si="5"/>
      </c>
      <c r="AN23" s="145">
        <v>0</v>
      </c>
      <c r="AO23" s="146">
        <f t="shared" si="2"/>
      </c>
      <c r="AP23" s="147">
        <v>20.76</v>
      </c>
      <c r="AQ23" s="148">
        <f t="shared" si="11"/>
      </c>
      <c r="AR23" s="132">
        <f t="shared" si="6"/>
      </c>
      <c r="AS23" s="134">
        <v>13.68</v>
      </c>
      <c r="AT23" s="133">
        <f t="shared" si="3"/>
      </c>
      <c r="AU23" s="134">
        <v>45.66</v>
      </c>
      <c r="AV23" s="134">
        <v>0.84</v>
      </c>
      <c r="AW23" s="128">
        <v>36</v>
      </c>
      <c r="AX23" s="128">
        <v>24.99</v>
      </c>
      <c r="AY23" s="132">
        <v>0.5</v>
      </c>
      <c r="AZ23" s="149">
        <f t="shared" si="0"/>
      </c>
      <c r="BA23" s="132">
        <f t="shared" si="9"/>
      </c>
      <c r="BB23" s="150"/>
      <c r="BC23" s="150"/>
      <c r="BD23" s="150"/>
      <c r="BE23" s="150"/>
      <c r="BF23" s="150"/>
    </row>
    <row customHeight="true" ht="23.703703703703702" r="24">
      <c r="A24" s="127">
        <v>45666</v>
      </c>
      <c r="B24" s="128" t="s">
        <v>223</v>
      </c>
      <c r="C24" s="129"/>
      <c r="D24" s="128"/>
      <c r="E24" s="130"/>
      <c r="F24" s="131"/>
      <c r="G24" s="128"/>
      <c r="H24" s="130"/>
      <c r="I24" s="132"/>
      <c r="J24" s="128"/>
      <c r="K24" s="128"/>
      <c r="L24" s="128"/>
      <c r="M24" s="132"/>
      <c r="N24" s="133"/>
      <c r="O24" s="133"/>
      <c r="P24" s="128"/>
      <c r="Q24" s="128"/>
      <c r="R24" s="128"/>
      <c r="S24" s="130"/>
      <c r="T24" s="128"/>
      <c r="U24" s="134"/>
      <c r="V24" s="128"/>
      <c r="W24" s="128"/>
      <c r="X24" s="128"/>
      <c r="Y24" s="128"/>
      <c r="Z24" s="128"/>
      <c r="AA24" s="135"/>
      <c r="AB24" s="128"/>
      <c r="AC24" s="151"/>
      <c r="AD24" s="152"/>
      <c r="AE24" s="128"/>
      <c r="AF24" s="132"/>
      <c r="AG24" s="128"/>
      <c r="AH24" s="153"/>
      <c r="AI24" s="154"/>
      <c r="AJ24" s="132"/>
      <c r="AK24" s="132"/>
      <c r="AL24" s="153"/>
      <c r="AM24" s="132"/>
      <c r="AN24" s="155"/>
      <c r="AO24" s="147"/>
      <c r="AP24" s="147"/>
      <c r="AQ24" s="156"/>
      <c r="AR24" s="132"/>
      <c r="AS24" s="134"/>
      <c r="AT24" s="133"/>
      <c r="AU24" s="133"/>
      <c r="AV24" s="134"/>
      <c r="AW24" s="128"/>
      <c r="AX24" s="128"/>
      <c r="AY24" s="132"/>
      <c r="AZ24" s="149"/>
      <c r="BA24" s="132"/>
      <c r="BB24" s="150"/>
      <c r="BC24" s="150"/>
      <c r="BD24" s="150"/>
      <c r="BE24" s="150"/>
      <c r="BF24" s="150"/>
    </row>
    <row customHeight="true" ht="23.703703703703702" r="25">
      <c r="A25" s="127">
        <v>45667</v>
      </c>
      <c r="B25" s="128" t="s">
        <v>226</v>
      </c>
      <c r="C25" s="129"/>
      <c r="D25" s="128"/>
      <c r="E25" s="130"/>
      <c r="F25" s="131"/>
      <c r="G25" s="128"/>
      <c r="H25" s="130"/>
      <c r="I25" s="132"/>
      <c r="J25" s="128"/>
      <c r="K25" s="128"/>
      <c r="L25" s="128"/>
      <c r="M25" s="132"/>
      <c r="N25" s="133"/>
      <c r="O25" s="133"/>
      <c r="P25" s="128"/>
      <c r="Q25" s="128"/>
      <c r="R25" s="128"/>
      <c r="S25" s="130"/>
      <c r="T25" s="128"/>
      <c r="U25" s="134"/>
      <c r="V25" s="128"/>
      <c r="W25" s="128"/>
      <c r="X25" s="128"/>
      <c r="Y25" s="128"/>
      <c r="Z25" s="128"/>
      <c r="AA25" s="135"/>
      <c r="AB25" s="128"/>
      <c r="AC25" s="151"/>
      <c r="AD25" s="152"/>
      <c r="AE25" s="128"/>
      <c r="AF25" s="132"/>
      <c r="AG25" s="128"/>
      <c r="AH25" s="153"/>
      <c r="AI25" s="154"/>
      <c r="AJ25" s="132"/>
      <c r="AK25" s="132"/>
      <c r="AL25" s="153"/>
      <c r="AM25" s="132"/>
      <c r="AN25" s="155"/>
      <c r="AO25" s="147"/>
      <c r="AP25" s="147"/>
      <c r="AQ25" s="156"/>
      <c r="AR25" s="132"/>
      <c r="AS25" s="134"/>
      <c r="AT25" s="133"/>
      <c r="AU25" s="133"/>
      <c r="AV25" s="134"/>
      <c r="AW25" s="128"/>
      <c r="AX25" s="128"/>
      <c r="AY25" s="132"/>
      <c r="AZ25" s="149"/>
      <c r="BA25" s="132"/>
      <c r="BB25" s="150"/>
      <c r="BC25" s="150"/>
      <c r="BD25" s="150"/>
      <c r="BE25" s="150"/>
      <c r="BF25" s="150"/>
    </row>
    <row customHeight="true" ht="23.703703703703702" r="26">
      <c r="A26" s="127">
        <v>45668</v>
      </c>
      <c r="B26" s="128" t="s">
        <v>228</v>
      </c>
      <c r="C26" s="129"/>
      <c r="D26" s="128"/>
      <c r="E26" s="130"/>
      <c r="F26" s="131"/>
      <c r="G26" s="128"/>
      <c r="H26" s="130"/>
      <c r="I26" s="132"/>
      <c r="J26" s="128"/>
      <c r="K26" s="128"/>
      <c r="L26" s="128"/>
      <c r="M26" s="132"/>
      <c r="N26" s="133"/>
      <c r="O26" s="133"/>
      <c r="P26" s="128"/>
      <c r="Q26" s="128"/>
      <c r="R26" s="128"/>
      <c r="S26" s="130"/>
      <c r="T26" s="128"/>
      <c r="U26" s="134"/>
      <c r="V26" s="128"/>
      <c r="W26" s="128"/>
      <c r="X26" s="128"/>
      <c r="Y26" s="128"/>
      <c r="Z26" s="128"/>
      <c r="AA26" s="135"/>
      <c r="AB26" s="128"/>
      <c r="AC26" s="151"/>
      <c r="AD26" s="152"/>
      <c r="AE26" s="128"/>
      <c r="AF26" s="132"/>
      <c r="AG26" s="128"/>
      <c r="AH26" s="153"/>
      <c r="AI26" s="154"/>
      <c r="AJ26" s="132"/>
      <c r="AK26" s="132"/>
      <c r="AL26" s="153"/>
      <c r="AM26" s="132"/>
      <c r="AN26" s="155"/>
      <c r="AO26" s="147"/>
      <c r="AP26" s="147"/>
      <c r="AQ26" s="156"/>
      <c r="AR26" s="132"/>
      <c r="AS26" s="134"/>
      <c r="AT26" s="133"/>
      <c r="AU26" s="133"/>
      <c r="AV26" s="134"/>
      <c r="AW26" s="128"/>
      <c r="AX26" s="128"/>
      <c r="AY26" s="132"/>
      <c r="AZ26" s="149"/>
      <c r="BA26" s="132"/>
      <c r="BB26" s="150"/>
      <c r="BC26" s="150"/>
      <c r="BD26" s="150"/>
      <c r="BE26" s="150"/>
      <c r="BF26" s="150"/>
    </row>
    <row customHeight="true" ht="23.703703703703702" r="27">
      <c r="A27" s="127">
        <v>45669</v>
      </c>
      <c r="B27" s="128" t="s">
        <v>230</v>
      </c>
      <c r="C27" s="129"/>
      <c r="D27" s="128"/>
      <c r="E27" s="130"/>
      <c r="F27" s="131"/>
      <c r="G27" s="128"/>
      <c r="H27" s="130"/>
      <c r="I27" s="132"/>
      <c r="J27" s="128"/>
      <c r="K27" s="128"/>
      <c r="L27" s="128"/>
      <c r="M27" s="132"/>
      <c r="N27" s="133"/>
      <c r="O27" s="133"/>
      <c r="P27" s="128"/>
      <c r="Q27" s="128"/>
      <c r="R27" s="128"/>
      <c r="S27" s="130"/>
      <c r="T27" s="128"/>
      <c r="U27" s="134"/>
      <c r="V27" s="128"/>
      <c r="W27" s="128"/>
      <c r="X27" s="128"/>
      <c r="Y27" s="128"/>
      <c r="Z27" s="128"/>
      <c r="AA27" s="135"/>
      <c r="AB27" s="128"/>
      <c r="AC27" s="151"/>
      <c r="AD27" s="152"/>
      <c r="AE27" s="128"/>
      <c r="AF27" s="132"/>
      <c r="AG27" s="128"/>
      <c r="AH27" s="153"/>
      <c r="AI27" s="154"/>
      <c r="AJ27" s="132"/>
      <c r="AK27" s="132"/>
      <c r="AL27" s="153"/>
      <c r="AM27" s="132"/>
      <c r="AN27" s="155"/>
      <c r="AO27" s="147"/>
      <c r="AP27" s="147"/>
      <c r="AQ27" s="156"/>
      <c r="AR27" s="132"/>
      <c r="AS27" s="134"/>
      <c r="AT27" s="133"/>
      <c r="AU27" s="133"/>
      <c r="AV27" s="134"/>
      <c r="AW27" s="128"/>
      <c r="AX27" s="128"/>
      <c r="AY27" s="132"/>
      <c r="AZ27" s="149"/>
      <c r="BA27" s="132"/>
      <c r="BB27" s="150"/>
      <c r="BC27" s="150"/>
      <c r="BD27" s="150"/>
      <c r="BE27" s="150"/>
      <c r="BF27" s="150"/>
    </row>
    <row customHeight="true" ht="23.703703703703702" r="28">
      <c r="A28" s="127">
        <v>45670</v>
      </c>
      <c r="B28" s="128" t="s">
        <v>232</v>
      </c>
      <c r="C28" s="129"/>
      <c r="D28" s="128"/>
      <c r="E28" s="130"/>
      <c r="F28" s="131"/>
      <c r="G28" s="128"/>
      <c r="H28" s="130"/>
      <c r="I28" s="132"/>
      <c r="J28" s="128"/>
      <c r="K28" s="128"/>
      <c r="L28" s="128"/>
      <c r="M28" s="132"/>
      <c r="N28" s="133"/>
      <c r="O28" s="133"/>
      <c r="P28" s="128"/>
      <c r="Q28" s="128"/>
      <c r="R28" s="128"/>
      <c r="S28" s="130"/>
      <c r="T28" s="128"/>
      <c r="U28" s="134"/>
      <c r="V28" s="128"/>
      <c r="W28" s="128"/>
      <c r="X28" s="128"/>
      <c r="Y28" s="128"/>
      <c r="Z28" s="128"/>
      <c r="AA28" s="135"/>
      <c r="AB28" s="128"/>
      <c r="AC28" s="151"/>
      <c r="AD28" s="152"/>
      <c r="AE28" s="128"/>
      <c r="AF28" s="132"/>
      <c r="AG28" s="128"/>
      <c r="AH28" s="153"/>
      <c r="AI28" s="154"/>
      <c r="AJ28" s="132"/>
      <c r="AK28" s="132"/>
      <c r="AL28" s="153"/>
      <c r="AM28" s="132"/>
      <c r="AN28" s="155"/>
      <c r="AO28" s="147"/>
      <c r="AP28" s="147"/>
      <c r="AQ28" s="156"/>
      <c r="AR28" s="132"/>
      <c r="AS28" s="134"/>
      <c r="AT28" s="133"/>
      <c r="AU28" s="133"/>
      <c r="AV28" s="134"/>
      <c r="AW28" s="128"/>
      <c r="AX28" s="128"/>
      <c r="AY28" s="132"/>
      <c r="AZ28" s="149"/>
      <c r="BA28" s="132"/>
      <c r="BB28" s="150"/>
      <c r="BC28" s="150"/>
      <c r="BD28" s="150"/>
      <c r="BE28" s="150"/>
      <c r="BF28" s="150"/>
    </row>
    <row customHeight="true" ht="23.703703703703702" r="29">
      <c r="A29" s="157" t="s">
        <v>252</v>
      </c>
      <c r="B29" s="157"/>
      <c r="C29" s="157"/>
      <c r="D29" s="158"/>
      <c r="E29" s="159"/>
      <c r="F29" s="159"/>
      <c r="G29" s="158"/>
      <c r="H29" s="159"/>
      <c r="I29" s="160"/>
      <c r="J29" s="158"/>
      <c r="K29" s="158"/>
      <c r="L29" s="158">
        <f>SUM(L3:L28)</f>
      </c>
      <c r="M29" s="132"/>
      <c r="N29" s="161">
        <f>SUM(N3:N28)</f>
      </c>
      <c r="O29" s="161">
        <f>SUM(O3:O28)</f>
      </c>
      <c r="P29" s="158">
        <f>SUM(P3:P28)</f>
      </c>
      <c r="Q29" s="158"/>
      <c r="R29" s="158"/>
      <c r="S29" s="159"/>
      <c r="T29" s="158"/>
      <c r="U29" s="160">
        <f>SUM(U3:U28)</f>
      </c>
      <c r="V29" s="158"/>
      <c r="W29" s="158"/>
      <c r="X29" s="158"/>
      <c r="Y29" s="158"/>
      <c r="Z29" s="158"/>
      <c r="AA29" s="162"/>
      <c r="AB29" s="158"/>
      <c r="AC29" s="158"/>
      <c r="AD29" s="162">
        <f>SUM(AD3:AD28)</f>
      </c>
      <c r="AE29" s="158">
        <f>SUM(AE3:AE28)</f>
      </c>
      <c r="AF29" s="132">
        <f>AE29/AD29</f>
      </c>
      <c r="AG29" s="158">
        <f>SUM(AG3:AG28)</f>
      </c>
      <c r="AH29" s="153">
        <f>AE29/AL29</f>
      </c>
      <c r="AI29" s="163">
        <f>AL29/(AG29*D29)</f>
      </c>
      <c r="AJ29" s="132">
        <f>AG29/AE29</f>
      </c>
      <c r="AK29" s="132">
        <f>AG29/O29</f>
      </c>
      <c r="AL29" s="164">
        <f>SUM(AL3:AL28)</f>
      </c>
      <c r="AM29" s="132">
        <f>AL29/U29</f>
      </c>
      <c r="AN29" s="155">
        <f>AL29/AG29</f>
      </c>
      <c r="AO29" s="165">
        <f>SUM(AO3:AO28)</f>
      </c>
      <c r="AP29" s="165">
        <f>SUM(AP3:AP28)</f>
      </c>
      <c r="AQ29" s="165">
        <f>SUM(AQ3:AQ28)</f>
      </c>
      <c r="AR29" s="132">
        <f>AQ29/U29</f>
      </c>
      <c r="AS29" s="160">
        <f>SUM(AS3:AS28)</f>
      </c>
      <c r="AT29" s="161">
        <f>SUM(AT3:AT28)</f>
      </c>
      <c r="AU29" s="160">
        <f>SUM(AU3:AU28)</f>
      </c>
      <c r="AV29" s="160">
        <f>SUM(AV3:AV28)</f>
      </c>
      <c r="AW29" s="158">
        <f>SUM(AW3:AW28)</f>
      </c>
      <c r="AX29" s="158"/>
      <c r="AY29" s="163"/>
      <c r="AZ29" s="149">
        <f>L29-AE29</f>
      </c>
      <c r="BA29" s="132">
        <f>N29/AZ29</f>
      </c>
      <c r="BB29" s="158"/>
      <c r="BC29" s="158"/>
      <c r="BD29" s="158"/>
      <c r="BE29" s="158"/>
      <c r="BF29" s="166"/>
    </row>
    <row customHeight="true" ht="23.703703703703702" r="30">
      <c r="A30" s="127"/>
      <c r="B30" s="128"/>
      <c r="C30" s="129"/>
      <c r="D30" s="128"/>
      <c r="E30" s="130"/>
      <c r="F30" s="131"/>
      <c r="G30" s="128"/>
      <c r="H30" s="130"/>
      <c r="I30" s="132"/>
      <c r="J30" s="128"/>
      <c r="K30" s="128"/>
      <c r="L30" s="128"/>
      <c r="M30" s="132"/>
      <c r="N30" s="133"/>
      <c r="O30" s="133"/>
      <c r="P30" s="128"/>
      <c r="Q30" s="128"/>
      <c r="R30" s="128"/>
      <c r="S30" s="130"/>
      <c r="T30" s="128"/>
      <c r="U30" s="134"/>
      <c r="V30" s="128"/>
      <c r="W30" s="128"/>
      <c r="X30" s="128"/>
      <c r="Y30" s="128"/>
      <c r="Z30" s="128"/>
      <c r="AA30" s="135"/>
      <c r="AB30" s="128"/>
      <c r="AC30" s="151"/>
      <c r="AD30" s="152"/>
      <c r="AE30" s="128"/>
      <c r="AF30" s="132"/>
      <c r="AG30" s="128"/>
      <c r="AH30" s="153"/>
      <c r="AI30" s="154"/>
      <c r="AJ30" s="132"/>
      <c r="AK30" s="132"/>
      <c r="AL30" s="153"/>
      <c r="AM30" s="132"/>
      <c r="AN30" s="155"/>
      <c r="AO30" s="147"/>
      <c r="AP30" s="147"/>
      <c r="AQ30" s="156"/>
      <c r="AR30" s="132"/>
      <c r="AS30" s="134"/>
      <c r="AT30" s="133"/>
      <c r="AU30" s="133"/>
      <c r="AV30" s="134"/>
      <c r="AW30" s="128"/>
      <c r="AX30" s="128"/>
      <c r="AY30" s="132"/>
      <c r="AZ30" s="128"/>
      <c r="BA30" s="132"/>
      <c r="BB30" s="150"/>
      <c r="BC30" s="150"/>
      <c r="BD30" s="150"/>
      <c r="BE30" s="150"/>
      <c r="BF30" s="150"/>
    </row>
    <row customHeight="true" ht="23.703703703703702" r="31">
      <c r="A31" s="127"/>
      <c r="B31" s="128"/>
      <c r="C31" s="129"/>
      <c r="D31" s="128"/>
      <c r="E31" s="130"/>
      <c r="F31" s="130"/>
      <c r="G31" s="128"/>
      <c r="H31" s="130"/>
      <c r="I31" s="134"/>
      <c r="J31" s="128"/>
      <c r="K31" s="128"/>
      <c r="L31" s="128"/>
      <c r="M31" s="130"/>
      <c r="N31" s="133"/>
      <c r="O31" s="133"/>
      <c r="P31" s="128"/>
      <c r="Q31" s="128"/>
      <c r="R31" s="128"/>
      <c r="S31" s="130"/>
      <c r="T31" s="128"/>
      <c r="U31" s="134"/>
      <c r="V31" s="128"/>
      <c r="W31" s="128"/>
      <c r="X31" s="128"/>
      <c r="Y31" s="128"/>
      <c r="Z31" s="128"/>
      <c r="AA31" s="135"/>
      <c r="AB31" s="128"/>
      <c r="AC31" s="151"/>
      <c r="AD31" s="152"/>
      <c r="AE31" s="128"/>
      <c r="AF31" s="132"/>
      <c r="AG31" s="128"/>
      <c r="AH31" s="153"/>
      <c r="AI31" s="167"/>
      <c r="AJ31" s="130"/>
      <c r="AK31" s="132"/>
      <c r="AL31" s="153"/>
      <c r="AM31" s="130"/>
      <c r="AN31" s="133"/>
      <c r="AO31" s="147"/>
      <c r="AP31" s="147"/>
      <c r="AQ31" s="156"/>
      <c r="AR31" s="132"/>
      <c r="AS31" s="133"/>
      <c r="AT31" s="133"/>
      <c r="AU31" s="133"/>
      <c r="AV31" s="134"/>
      <c r="AW31" s="128"/>
      <c r="AX31" s="128"/>
      <c r="AY31" s="132"/>
    </row>
    <row customHeight="true" ht="23.703703703703702" r="32">
      <c r="A32" s="127"/>
      <c r="B32" s="128"/>
      <c r="C32" s="129"/>
      <c r="D32" s="128"/>
      <c r="E32" s="130"/>
      <c r="F32" s="130"/>
      <c r="G32" s="128"/>
      <c r="H32" s="130"/>
      <c r="I32" s="134"/>
      <c r="J32" s="128"/>
      <c r="K32" s="128"/>
      <c r="L32" s="128"/>
      <c r="M32" s="130"/>
      <c r="N32" s="133"/>
      <c r="O32" s="133"/>
      <c r="P32" s="128"/>
      <c r="Q32" s="128"/>
      <c r="R32" s="128"/>
      <c r="S32" s="130"/>
      <c r="T32" s="128"/>
      <c r="U32" s="134"/>
      <c r="V32" s="128"/>
      <c r="W32" s="128"/>
      <c r="X32" s="128"/>
      <c r="Y32" s="128"/>
      <c r="Z32" s="128"/>
      <c r="AA32" s="135"/>
      <c r="AB32" s="128"/>
      <c r="AC32" s="151"/>
      <c r="AD32" s="152"/>
      <c r="AE32" s="128"/>
      <c r="AF32" s="132"/>
      <c r="AG32" s="128"/>
      <c r="AH32" s="153"/>
      <c r="AI32" s="167"/>
      <c r="AJ32" s="130"/>
      <c r="AK32" s="132"/>
      <c r="AL32" s="153"/>
      <c r="AM32" s="130"/>
      <c r="AN32" s="133"/>
      <c r="AO32" s="147"/>
      <c r="AP32" s="147"/>
      <c r="AQ32" s="156"/>
      <c r="AR32" s="132"/>
      <c r="AS32" s="133"/>
      <c r="AT32" s="133"/>
      <c r="AU32" s="133"/>
      <c r="AV32" s="134"/>
      <c r="AW32" s="128"/>
      <c r="AX32" s="128"/>
      <c r="AY32" s="132"/>
    </row>
    <row customHeight="true" ht="23.703703703703702" r="33">
      <c r="A33" s="127"/>
      <c r="B33" s="128"/>
      <c r="C33" s="129"/>
      <c r="D33" s="128"/>
      <c r="E33" s="130"/>
      <c r="F33" s="130"/>
      <c r="G33" s="128"/>
      <c r="H33" s="130"/>
      <c r="I33" s="134"/>
      <c r="J33" s="128"/>
      <c r="K33" s="128"/>
      <c r="L33" s="128"/>
      <c r="M33" s="130"/>
      <c r="N33" s="133"/>
      <c r="O33" s="133"/>
      <c r="P33" s="128"/>
      <c r="Q33" s="128"/>
      <c r="R33" s="128"/>
      <c r="S33" s="130"/>
      <c r="T33" s="128"/>
      <c r="U33" s="134"/>
      <c r="V33" s="128"/>
      <c r="W33" s="128"/>
      <c r="X33" s="128"/>
      <c r="Y33" s="128"/>
      <c r="Z33" s="128"/>
      <c r="AA33" s="135"/>
      <c r="AB33" s="128"/>
      <c r="AC33" s="151"/>
      <c r="AD33" s="152"/>
      <c r="AE33" s="128"/>
      <c r="AF33" s="132"/>
      <c r="AG33" s="128"/>
      <c r="AH33" s="153"/>
      <c r="AI33" s="167"/>
      <c r="AJ33" s="130"/>
      <c r="AK33" s="132"/>
      <c r="AL33" s="153"/>
      <c r="AM33" s="130"/>
      <c r="AN33" s="133"/>
      <c r="AO33" s="147"/>
      <c r="AP33" s="147"/>
      <c r="AQ33" s="156"/>
      <c r="AR33" s="132"/>
      <c r="AS33" s="133"/>
      <c r="AT33" s="133"/>
      <c r="AU33" s="133"/>
      <c r="AV33" s="134"/>
      <c r="AW33" s="128"/>
      <c r="AX33" s="128"/>
      <c r="AY33" s="132"/>
    </row>
    <row customHeight="true" ht="23.703703703703702" r="34">
      <c r="A34" s="127"/>
      <c r="B34" s="128"/>
      <c r="C34" s="129"/>
      <c r="D34" s="128"/>
      <c r="E34" s="130"/>
      <c r="F34" s="130"/>
      <c r="G34" s="128"/>
      <c r="H34" s="130"/>
      <c r="I34" s="134"/>
      <c r="J34" s="128"/>
      <c r="K34" s="128"/>
      <c r="L34" s="128"/>
      <c r="M34" s="130"/>
      <c r="N34" s="133"/>
      <c r="O34" s="133"/>
      <c r="P34" s="128"/>
      <c r="Q34" s="128"/>
      <c r="R34" s="128"/>
      <c r="S34" s="130"/>
      <c r="T34" s="128"/>
      <c r="U34" s="134"/>
      <c r="V34" s="128"/>
      <c r="W34" s="128"/>
      <c r="X34" s="128"/>
      <c r="Y34" s="128"/>
      <c r="Z34" s="128"/>
      <c r="AA34" s="135"/>
      <c r="AB34" s="128"/>
      <c r="AC34" s="151"/>
      <c r="AD34" s="152"/>
      <c r="AE34" s="128"/>
      <c r="AF34" s="132"/>
      <c r="AG34" s="128"/>
      <c r="AH34" s="153"/>
      <c r="AI34" s="167"/>
      <c r="AJ34" s="130"/>
      <c r="AK34" s="132"/>
      <c r="AL34" s="153"/>
      <c r="AM34" s="130"/>
      <c r="AN34" s="133"/>
      <c r="AO34" s="147"/>
      <c r="AP34" s="147"/>
      <c r="AQ34" s="156"/>
      <c r="AR34" s="132"/>
      <c r="AS34" s="133"/>
      <c r="AT34" s="133"/>
      <c r="AU34" s="133"/>
      <c r="AV34" s="134"/>
      <c r="AW34" s="128"/>
      <c r="AX34" s="128"/>
      <c r="AY34" s="132"/>
    </row>
    <row customHeight="true" ht="23.703703703703702" r="35">
      <c r="A35" s="127"/>
      <c r="B35" s="128"/>
      <c r="C35" s="129"/>
      <c r="D35" s="128"/>
      <c r="E35" s="130"/>
      <c r="F35" s="130"/>
      <c r="G35" s="128"/>
      <c r="H35" s="130"/>
      <c r="I35" s="134"/>
      <c r="J35" s="128"/>
      <c r="K35" s="128"/>
      <c r="L35" s="128"/>
      <c r="M35" s="130"/>
      <c r="N35" s="133"/>
      <c r="O35" s="133"/>
      <c r="P35" s="128"/>
      <c r="Q35" s="128"/>
      <c r="R35" s="128"/>
      <c r="S35" s="130"/>
      <c r="T35" s="128"/>
      <c r="U35" s="134"/>
      <c r="V35" s="128"/>
      <c r="W35" s="128"/>
      <c r="X35" s="128"/>
      <c r="Y35" s="128"/>
      <c r="Z35" s="128"/>
      <c r="AA35" s="135"/>
      <c r="AB35" s="128"/>
      <c r="AC35" s="151"/>
      <c r="AD35" s="152"/>
      <c r="AE35" s="128"/>
      <c r="AF35" s="132"/>
      <c r="AG35" s="128"/>
      <c r="AH35" s="153"/>
      <c r="AI35" s="167"/>
      <c r="AJ35" s="130"/>
      <c r="AK35" s="132"/>
      <c r="AL35" s="153"/>
      <c r="AM35" s="130"/>
      <c r="AN35" s="133"/>
      <c r="AO35" s="147"/>
      <c r="AP35" s="147"/>
      <c r="AQ35" s="156"/>
      <c r="AR35" s="132"/>
      <c r="AS35" s="133"/>
      <c r="AT35" s="133"/>
      <c r="AU35" s="133"/>
      <c r="AV35" s="134"/>
      <c r="AW35" s="128"/>
      <c r="AX35" s="128"/>
      <c r="AY35" s="132"/>
    </row>
    <row customHeight="true" ht="23.703703703703702" r="36">
      <c r="A36" s="127"/>
      <c r="B36" s="128"/>
      <c r="C36" s="129"/>
      <c r="D36" s="128"/>
      <c r="E36" s="130"/>
      <c r="F36" s="130"/>
      <c r="G36" s="128"/>
      <c r="H36" s="130"/>
      <c r="I36" s="134"/>
      <c r="J36" s="128"/>
      <c r="K36" s="128"/>
      <c r="L36" s="128"/>
      <c r="M36" s="130"/>
      <c r="N36" s="133"/>
      <c r="O36" s="133"/>
      <c r="P36" s="128"/>
      <c r="Q36" s="128"/>
      <c r="R36" s="128"/>
      <c r="S36" s="130"/>
      <c r="T36" s="128"/>
      <c r="U36" s="134"/>
      <c r="V36" s="128"/>
      <c r="W36" s="128"/>
      <c r="X36" s="128"/>
      <c r="Y36" s="128"/>
      <c r="Z36" s="128"/>
      <c r="AA36" s="135"/>
      <c r="AB36" s="128"/>
      <c r="AC36" s="151"/>
      <c r="AD36" s="152"/>
      <c r="AE36" s="128"/>
      <c r="AF36" s="132"/>
      <c r="AG36" s="128"/>
      <c r="AH36" s="153"/>
      <c r="AI36" s="167"/>
      <c r="AJ36" s="130"/>
      <c r="AK36" s="132"/>
      <c r="AL36" s="153"/>
      <c r="AM36" s="130"/>
      <c r="AN36" s="133"/>
      <c r="AO36" s="147"/>
      <c r="AP36" s="147"/>
      <c r="AQ36" s="156"/>
      <c r="AR36" s="132"/>
      <c r="AS36" s="133"/>
      <c r="AT36" s="133"/>
      <c r="AU36" s="133"/>
      <c r="AV36" s="134"/>
      <c r="AW36" s="128"/>
      <c r="AX36" s="128"/>
      <c r="AY36" s="132"/>
    </row>
    <row customHeight="true" ht="23.703703703703702" r="37">
      <c r="A37" s="127"/>
      <c r="B37" s="128"/>
      <c r="C37" s="129"/>
      <c r="D37" s="128"/>
      <c r="E37" s="130"/>
      <c r="F37" s="130"/>
      <c r="G37" s="128"/>
      <c r="H37" s="130"/>
      <c r="I37" s="134"/>
      <c r="J37" s="128"/>
      <c r="K37" s="128"/>
      <c r="L37" s="128"/>
      <c r="M37" s="130"/>
      <c r="N37" s="133"/>
      <c r="O37" s="133"/>
      <c r="P37" s="128"/>
      <c r="Q37" s="128"/>
      <c r="R37" s="128"/>
      <c r="S37" s="130"/>
      <c r="T37" s="128"/>
      <c r="U37" s="134"/>
      <c r="V37" s="128"/>
      <c r="W37" s="128"/>
      <c r="X37" s="128"/>
      <c r="Y37" s="128"/>
      <c r="Z37" s="128"/>
      <c r="AA37" s="135"/>
      <c r="AB37" s="128"/>
      <c r="AC37" s="151"/>
      <c r="AD37" s="152"/>
      <c r="AE37" s="128"/>
      <c r="AF37" s="132"/>
      <c r="AG37" s="128"/>
      <c r="AH37" s="153"/>
      <c r="AI37" s="167"/>
      <c r="AJ37" s="130"/>
      <c r="AK37" s="132"/>
      <c r="AL37" s="153"/>
      <c r="AM37" s="130"/>
      <c r="AN37" s="133"/>
      <c r="AO37" s="147"/>
      <c r="AP37" s="147"/>
      <c r="AQ37" s="156"/>
      <c r="AR37" s="132"/>
      <c r="AS37" s="133"/>
      <c r="AT37" s="133"/>
      <c r="AU37" s="133"/>
      <c r="AV37" s="134"/>
      <c r="AW37" s="128"/>
      <c r="AX37" s="128"/>
      <c r="AY37" s="132"/>
    </row>
    <row customHeight="true" ht="23.703703703703702" r="38">
      <c r="A38" s="127"/>
      <c r="B38" s="128"/>
      <c r="C38" s="129"/>
      <c r="D38" s="128"/>
      <c r="E38" s="130"/>
      <c r="F38" s="130"/>
      <c r="G38" s="128"/>
      <c r="H38" s="130"/>
      <c r="I38" s="134"/>
      <c r="J38" s="128"/>
      <c r="K38" s="128"/>
      <c r="L38" s="128"/>
      <c r="M38" s="130"/>
      <c r="N38" s="133"/>
      <c r="O38" s="133"/>
      <c r="P38" s="128"/>
      <c r="Q38" s="128"/>
      <c r="R38" s="128"/>
      <c r="S38" s="130"/>
      <c r="T38" s="128"/>
      <c r="U38" s="134"/>
      <c r="V38" s="128"/>
      <c r="W38" s="128"/>
      <c r="X38" s="128"/>
      <c r="Y38" s="128"/>
      <c r="Z38" s="128"/>
      <c r="AA38" s="135"/>
      <c r="AB38" s="128"/>
      <c r="AC38" s="151"/>
      <c r="AD38" s="152"/>
      <c r="AE38" s="128"/>
      <c r="AF38" s="132"/>
      <c r="AG38" s="128"/>
      <c r="AH38" s="153"/>
      <c r="AI38" s="167"/>
      <c r="AJ38" s="130"/>
      <c r="AK38" s="132"/>
      <c r="AL38" s="153"/>
      <c r="AM38" s="130"/>
      <c r="AN38" s="133"/>
      <c r="AO38" s="147"/>
      <c r="AP38" s="147"/>
      <c r="AQ38" s="156"/>
      <c r="AR38" s="132"/>
      <c r="AS38" s="133"/>
      <c r="AT38" s="133"/>
      <c r="AU38" s="133"/>
      <c r="AV38" s="134"/>
      <c r="AW38" s="128"/>
      <c r="AX38" s="128"/>
      <c r="AY38" s="132"/>
    </row>
    <row customHeight="true" ht="23.703703703703702" r="39">
      <c r="A39" s="127"/>
      <c r="B39" s="128"/>
      <c r="C39" s="129"/>
      <c r="D39" s="128"/>
      <c r="E39" s="130"/>
      <c r="F39" s="130"/>
      <c r="G39" s="128"/>
      <c r="H39" s="130"/>
      <c r="I39" s="134"/>
      <c r="J39" s="128"/>
      <c r="K39" s="128"/>
      <c r="L39" s="128"/>
      <c r="M39" s="130"/>
      <c r="N39" s="133"/>
      <c r="O39" s="133"/>
      <c r="P39" s="128"/>
      <c r="Q39" s="128"/>
      <c r="R39" s="128"/>
      <c r="S39" s="130"/>
      <c r="T39" s="128"/>
      <c r="U39" s="134"/>
      <c r="V39" s="128"/>
      <c r="W39" s="128"/>
      <c r="X39" s="128"/>
      <c r="Y39" s="128"/>
      <c r="Z39" s="128"/>
      <c r="AA39" s="135"/>
      <c r="AB39" s="128"/>
      <c r="AC39" s="151"/>
      <c r="AD39" s="152"/>
      <c r="AE39" s="128"/>
      <c r="AF39" s="132"/>
      <c r="AG39" s="128"/>
      <c r="AH39" s="153"/>
      <c r="AI39" s="167"/>
      <c r="AJ39" s="130"/>
      <c r="AK39" s="132"/>
      <c r="AL39" s="153"/>
      <c r="AM39" s="130"/>
      <c r="AN39" s="133"/>
      <c r="AO39" s="147"/>
      <c r="AP39" s="147"/>
      <c r="AQ39" s="156"/>
      <c r="AR39" s="132"/>
      <c r="AS39" s="133"/>
      <c r="AT39" s="133"/>
      <c r="AU39" s="133"/>
      <c r="AV39" s="134"/>
      <c r="AW39" s="128"/>
      <c r="AX39" s="128"/>
      <c r="AY39" s="132"/>
    </row>
    <row customHeight="true" ht="23.703703703703702" r="40">
      <c r="A40" s="127"/>
      <c r="B40" s="128"/>
      <c r="C40" s="129"/>
      <c r="D40" s="128"/>
      <c r="E40" s="130"/>
      <c r="F40" s="130"/>
      <c r="G40" s="128"/>
      <c r="H40" s="130"/>
      <c r="I40" s="134"/>
      <c r="J40" s="128"/>
      <c r="K40" s="128"/>
      <c r="L40" s="128"/>
      <c r="M40" s="130"/>
      <c r="N40" s="133"/>
      <c r="O40" s="133"/>
      <c r="P40" s="128"/>
      <c r="Q40" s="128"/>
      <c r="R40" s="128"/>
      <c r="S40" s="130"/>
      <c r="T40" s="128"/>
      <c r="U40" s="134"/>
      <c r="V40" s="128"/>
      <c r="W40" s="128"/>
      <c r="X40" s="128"/>
      <c r="Y40" s="128"/>
      <c r="Z40" s="128"/>
      <c r="AA40" s="135"/>
      <c r="AB40" s="128"/>
      <c r="AC40" s="151"/>
      <c r="AD40" s="152"/>
      <c r="AE40" s="128"/>
      <c r="AF40" s="132"/>
      <c r="AG40" s="128"/>
      <c r="AH40" s="153"/>
      <c r="AI40" s="167"/>
      <c r="AJ40" s="130"/>
      <c r="AK40" s="132"/>
      <c r="AL40" s="153"/>
      <c r="AM40" s="130"/>
      <c r="AN40" s="133"/>
      <c r="AO40" s="147"/>
      <c r="AP40" s="147"/>
      <c r="AQ40" s="156"/>
      <c r="AR40" s="132"/>
      <c r="AS40" s="133"/>
      <c r="AT40" s="133"/>
      <c r="AU40" s="133"/>
      <c r="AV40" s="134"/>
      <c r="AW40" s="128"/>
      <c r="AX40" s="128"/>
      <c r="AY40" s="132"/>
    </row>
    <row customHeight="true" ht="23.703703703703702" r="41">
      <c r="A41" s="127"/>
      <c r="B41" s="128"/>
      <c r="C41" s="129"/>
      <c r="D41" s="128"/>
      <c r="E41" s="130"/>
      <c r="F41" s="130"/>
      <c r="G41" s="128"/>
      <c r="H41" s="130"/>
      <c r="I41" s="134"/>
      <c r="J41" s="128"/>
      <c r="K41" s="128"/>
      <c r="L41" s="128"/>
      <c r="M41" s="130"/>
      <c r="N41" s="133"/>
      <c r="O41" s="133"/>
      <c r="P41" s="128"/>
      <c r="Q41" s="128"/>
      <c r="R41" s="128"/>
      <c r="S41" s="130"/>
      <c r="T41" s="128"/>
      <c r="U41" s="134"/>
      <c r="V41" s="128"/>
      <c r="W41" s="128"/>
      <c r="X41" s="128"/>
      <c r="Y41" s="128"/>
      <c r="Z41" s="128"/>
      <c r="AA41" s="135"/>
      <c r="AB41" s="128"/>
      <c r="AC41" s="151"/>
      <c r="AD41" s="152"/>
      <c r="AE41" s="128"/>
      <c r="AF41" s="132"/>
      <c r="AG41" s="128"/>
      <c r="AH41" s="153"/>
      <c r="AI41" s="167"/>
      <c r="AJ41" s="130"/>
      <c r="AK41" s="132"/>
      <c r="AL41" s="153"/>
      <c r="AM41" s="130"/>
      <c r="AN41" s="133"/>
      <c r="AO41" s="147"/>
      <c r="AP41" s="147"/>
      <c r="AQ41" s="156"/>
      <c r="AR41" s="132"/>
      <c r="AS41" s="133"/>
      <c r="AT41" s="133"/>
      <c r="AU41" s="133"/>
      <c r="AV41" s="134"/>
      <c r="AW41" s="128"/>
      <c r="AX41" s="128"/>
      <c r="AY41" s="132"/>
    </row>
    <row customHeight="true" ht="23.703703703703702" r="42">
      <c r="A42" s="127"/>
      <c r="B42" s="128"/>
      <c r="C42" s="129"/>
      <c r="D42" s="128"/>
      <c r="E42" s="130"/>
      <c r="F42" s="130"/>
      <c r="G42" s="128"/>
      <c r="H42" s="130"/>
      <c r="I42" s="134"/>
      <c r="J42" s="128"/>
      <c r="K42" s="128"/>
      <c r="L42" s="128"/>
      <c r="M42" s="130"/>
      <c r="N42" s="133"/>
      <c r="O42" s="133"/>
      <c r="P42" s="128"/>
      <c r="Q42" s="128"/>
      <c r="R42" s="128"/>
      <c r="S42" s="130"/>
      <c r="T42" s="128"/>
      <c r="U42" s="134"/>
      <c r="V42" s="128"/>
      <c r="W42" s="128"/>
      <c r="X42" s="128"/>
      <c r="Y42" s="128"/>
      <c r="Z42" s="128"/>
      <c r="AA42" s="135"/>
      <c r="AB42" s="128"/>
      <c r="AC42" s="151"/>
      <c r="AD42" s="152"/>
      <c r="AE42" s="128"/>
      <c r="AF42" s="132"/>
      <c r="AG42" s="128"/>
      <c r="AH42" s="153"/>
      <c r="AI42" s="167"/>
      <c r="AJ42" s="130"/>
      <c r="AK42" s="132"/>
      <c r="AL42" s="153"/>
      <c r="AM42" s="130"/>
      <c r="AN42" s="133"/>
      <c r="AO42" s="147"/>
      <c r="AP42" s="147"/>
      <c r="AQ42" s="156"/>
      <c r="AR42" s="132"/>
      <c r="AS42" s="133"/>
      <c r="AT42" s="133"/>
      <c r="AU42" s="133"/>
      <c r="AV42" s="134"/>
      <c r="AW42" s="128"/>
      <c r="AX42" s="128"/>
      <c r="AY42" s="132"/>
    </row>
    <row customHeight="true" ht="23.703703703703702" r="43">
      <c r="A43" s="127"/>
      <c r="B43" s="128"/>
      <c r="C43" s="129"/>
      <c r="D43" s="128"/>
      <c r="E43" s="130"/>
      <c r="F43" s="130"/>
      <c r="G43" s="128"/>
      <c r="H43" s="130"/>
      <c r="I43" s="134"/>
      <c r="J43" s="128"/>
      <c r="K43" s="128"/>
      <c r="L43" s="128"/>
      <c r="M43" s="130"/>
      <c r="N43" s="133"/>
      <c r="O43" s="133"/>
      <c r="P43" s="128"/>
      <c r="Q43" s="128"/>
      <c r="R43" s="128"/>
      <c r="S43" s="130"/>
      <c r="T43" s="128"/>
      <c r="U43" s="134"/>
      <c r="V43" s="128"/>
      <c r="W43" s="128"/>
      <c r="X43" s="128"/>
      <c r="Y43" s="128"/>
      <c r="Z43" s="128"/>
      <c r="AA43" s="135"/>
      <c r="AB43" s="128"/>
      <c r="AC43" s="151"/>
      <c r="AD43" s="152"/>
      <c r="AE43" s="128"/>
      <c r="AF43" s="132"/>
      <c r="AG43" s="128"/>
      <c r="AH43" s="153"/>
      <c r="AI43" s="167"/>
      <c r="AJ43" s="130"/>
      <c r="AK43" s="132"/>
      <c r="AL43" s="153"/>
      <c r="AM43" s="130"/>
      <c r="AN43" s="133"/>
      <c r="AO43" s="147"/>
      <c r="AP43" s="147"/>
      <c r="AQ43" s="156"/>
      <c r="AR43" s="132"/>
      <c r="AS43" s="133"/>
      <c r="AT43" s="133"/>
      <c r="AU43" s="133"/>
      <c r="AV43" s="134"/>
      <c r="AW43" s="128"/>
      <c r="AX43" s="128"/>
      <c r="AY43" s="132"/>
    </row>
    <row customHeight="true" ht="23.703703703703702" r="44">
      <c r="A44" s="127"/>
      <c r="B44" s="128"/>
      <c r="C44" s="129"/>
      <c r="D44" s="128"/>
      <c r="E44" s="130"/>
      <c r="F44" s="130"/>
      <c r="G44" s="128"/>
      <c r="H44" s="130"/>
      <c r="I44" s="134"/>
      <c r="J44" s="128"/>
      <c r="K44" s="128"/>
      <c r="L44" s="128"/>
      <c r="M44" s="130"/>
      <c r="N44" s="133"/>
      <c r="O44" s="133"/>
      <c r="P44" s="128"/>
      <c r="Q44" s="128"/>
      <c r="R44" s="128"/>
      <c r="S44" s="130"/>
      <c r="T44" s="128"/>
      <c r="U44" s="134"/>
      <c r="V44" s="128"/>
      <c r="W44" s="128"/>
      <c r="X44" s="128"/>
      <c r="Y44" s="128"/>
      <c r="Z44" s="128"/>
      <c r="AA44" s="135"/>
      <c r="AB44" s="128"/>
      <c r="AC44" s="151"/>
      <c r="AD44" s="152"/>
      <c r="AE44" s="128"/>
      <c r="AF44" s="132"/>
      <c r="AG44" s="128"/>
      <c r="AH44" s="153"/>
      <c r="AI44" s="167"/>
      <c r="AJ44" s="130"/>
      <c r="AK44" s="132"/>
      <c r="AL44" s="153"/>
      <c r="AM44" s="130"/>
      <c r="AN44" s="133"/>
      <c r="AO44" s="147"/>
      <c r="AP44" s="147"/>
      <c r="AQ44" s="156"/>
      <c r="AR44" s="132"/>
      <c r="AS44" s="133"/>
      <c r="AT44" s="133"/>
      <c r="AU44" s="133"/>
      <c r="AV44" s="134"/>
      <c r="AW44" s="128"/>
      <c r="AX44" s="128"/>
      <c r="AY44" s="132"/>
    </row>
    <row customHeight="true" ht="23.703703703703702" r="45">
      <c r="A45" s="127"/>
      <c r="B45" s="128"/>
      <c r="C45" s="129"/>
      <c r="D45" s="128"/>
      <c r="E45" s="130"/>
      <c r="F45" s="130"/>
      <c r="G45" s="128"/>
      <c r="H45" s="130"/>
      <c r="I45" s="134"/>
      <c r="J45" s="128"/>
      <c r="K45" s="128"/>
      <c r="L45" s="128"/>
      <c r="M45" s="130"/>
      <c r="N45" s="133"/>
      <c r="O45" s="133"/>
      <c r="P45" s="128"/>
      <c r="Q45" s="128"/>
      <c r="R45" s="128"/>
      <c r="S45" s="130"/>
      <c r="T45" s="128"/>
      <c r="U45" s="134"/>
      <c r="V45" s="128"/>
      <c r="W45" s="128"/>
      <c r="X45" s="128"/>
      <c r="Y45" s="128"/>
      <c r="Z45" s="128"/>
      <c r="AA45" s="135"/>
      <c r="AB45" s="128"/>
      <c r="AC45" s="151"/>
      <c r="AD45" s="152"/>
      <c r="AE45" s="128"/>
      <c r="AF45" s="132"/>
      <c r="AG45" s="128"/>
      <c r="AH45" s="153"/>
      <c r="AI45" s="167"/>
      <c r="AJ45" s="130"/>
      <c r="AK45" s="132"/>
      <c r="AL45" s="153"/>
      <c r="AM45" s="130"/>
      <c r="AN45" s="133"/>
      <c r="AO45" s="147"/>
      <c r="AP45" s="147"/>
      <c r="AQ45" s="156"/>
      <c r="AR45" s="132"/>
      <c r="AS45" s="133"/>
      <c r="AT45" s="133"/>
      <c r="AU45" s="133"/>
      <c r="AV45" s="134"/>
      <c r="AW45" s="128"/>
      <c r="AX45" s="128"/>
      <c r="AY45" s="132"/>
    </row>
    <row customHeight="true" ht="23.703703703703702" r="46">
      <c r="A46" s="127"/>
      <c r="B46" s="128"/>
      <c r="C46" s="129"/>
      <c r="D46" s="128"/>
      <c r="E46" s="130"/>
      <c r="F46" s="130"/>
      <c r="G46" s="128"/>
      <c r="H46" s="130"/>
      <c r="I46" s="134"/>
      <c r="J46" s="128"/>
      <c r="K46" s="128"/>
      <c r="L46" s="128"/>
      <c r="M46" s="130"/>
      <c r="N46" s="133"/>
      <c r="O46" s="133"/>
      <c r="P46" s="128"/>
      <c r="Q46" s="128"/>
      <c r="R46" s="128"/>
      <c r="S46" s="130"/>
      <c r="T46" s="128"/>
      <c r="U46" s="134"/>
      <c r="V46" s="128"/>
      <c r="W46" s="128"/>
      <c r="X46" s="128"/>
      <c r="Y46" s="128"/>
      <c r="Z46" s="128"/>
      <c r="AA46" s="135"/>
      <c r="AB46" s="128"/>
      <c r="AC46" s="151"/>
      <c r="AD46" s="152"/>
      <c r="AE46" s="128"/>
      <c r="AF46" s="132"/>
      <c r="AG46" s="128"/>
      <c r="AH46" s="153"/>
      <c r="AI46" s="167"/>
      <c r="AJ46" s="130"/>
      <c r="AK46" s="132"/>
      <c r="AL46" s="153"/>
      <c r="AM46" s="130"/>
      <c r="AN46" s="133"/>
      <c r="AO46" s="147"/>
      <c r="AP46" s="147"/>
      <c r="AQ46" s="156"/>
      <c r="AR46" s="132"/>
      <c r="AS46" s="133"/>
      <c r="AT46" s="133"/>
      <c r="AU46" s="133"/>
      <c r="AV46" s="134"/>
      <c r="AW46" s="128"/>
      <c r="AX46" s="128"/>
      <c r="AY46" s="132"/>
    </row>
    <row customHeight="true" ht="23.703703703703702" r="47">
      <c r="A47" s="127"/>
      <c r="B47" s="128"/>
      <c r="C47" s="129"/>
      <c r="D47" s="128"/>
      <c r="E47" s="130"/>
      <c r="F47" s="130"/>
      <c r="G47" s="128"/>
      <c r="H47" s="130"/>
      <c r="I47" s="134"/>
      <c r="J47" s="128"/>
      <c r="K47" s="128"/>
      <c r="L47" s="128"/>
      <c r="M47" s="130"/>
      <c r="N47" s="133"/>
      <c r="O47" s="133"/>
      <c r="P47" s="128"/>
      <c r="Q47" s="128"/>
      <c r="R47" s="128"/>
      <c r="S47" s="130"/>
      <c r="T47" s="128"/>
      <c r="U47" s="134"/>
      <c r="V47" s="128"/>
      <c r="W47" s="128"/>
      <c r="X47" s="128"/>
      <c r="Y47" s="128"/>
      <c r="Z47" s="128"/>
      <c r="AA47" s="135"/>
      <c r="AB47" s="128"/>
      <c r="AC47" s="151"/>
      <c r="AD47" s="152"/>
      <c r="AE47" s="128"/>
      <c r="AF47" s="132"/>
      <c r="AG47" s="128"/>
      <c r="AH47" s="153"/>
      <c r="AI47" s="167"/>
      <c r="AJ47" s="130"/>
      <c r="AK47" s="132"/>
      <c r="AL47" s="153"/>
      <c r="AM47" s="130"/>
      <c r="AN47" s="133"/>
      <c r="AO47" s="147"/>
      <c r="AP47" s="147"/>
      <c r="AQ47" s="156"/>
      <c r="AR47" s="132"/>
      <c r="AS47" s="133"/>
      <c r="AT47" s="133"/>
      <c r="AU47" s="133"/>
      <c r="AV47" s="134"/>
      <c r="AW47" s="128"/>
      <c r="AX47" s="128"/>
      <c r="AY47" s="132"/>
    </row>
    <row customHeight="true" ht="23.703703703703702" r="48">
      <c r="A48" s="127"/>
      <c r="B48" s="128"/>
      <c r="C48" s="129"/>
      <c r="D48" s="128"/>
      <c r="E48" s="130"/>
      <c r="F48" s="130"/>
      <c r="G48" s="128"/>
      <c r="H48" s="130"/>
      <c r="I48" s="134"/>
      <c r="J48" s="128"/>
      <c r="K48" s="128"/>
      <c r="L48" s="128"/>
      <c r="M48" s="130"/>
      <c r="N48" s="133"/>
      <c r="O48" s="133"/>
      <c r="P48" s="128"/>
      <c r="Q48" s="128"/>
      <c r="R48" s="128"/>
      <c r="S48" s="130"/>
      <c r="T48" s="128"/>
      <c r="U48" s="134"/>
      <c r="V48" s="128"/>
      <c r="W48" s="128"/>
      <c r="X48" s="128"/>
      <c r="Y48" s="128"/>
      <c r="Z48" s="128"/>
      <c r="AA48" s="135"/>
      <c r="AB48" s="128"/>
      <c r="AC48" s="151"/>
      <c r="AD48" s="152"/>
      <c r="AE48" s="128"/>
      <c r="AF48" s="132"/>
      <c r="AG48" s="128"/>
      <c r="AH48" s="153"/>
      <c r="AI48" s="167"/>
      <c r="AJ48" s="130"/>
      <c r="AK48" s="132"/>
      <c r="AL48" s="153"/>
      <c r="AM48" s="130"/>
      <c r="AN48" s="133"/>
      <c r="AO48" s="147"/>
      <c r="AP48" s="147"/>
      <c r="AQ48" s="156"/>
      <c r="AR48" s="132"/>
      <c r="AS48" s="133"/>
      <c r="AT48" s="133"/>
      <c r="AU48" s="133"/>
      <c r="AV48" s="134"/>
      <c r="AW48" s="128"/>
      <c r="AX48" s="128"/>
      <c r="AY48" s="132"/>
    </row>
    <row customHeight="true" ht="23.703703703703702" r="49">
      <c r="A49" s="127"/>
      <c r="B49" s="128"/>
      <c r="C49" s="129"/>
      <c r="D49" s="128"/>
      <c r="E49" s="130"/>
      <c r="F49" s="130"/>
      <c r="G49" s="128"/>
      <c r="H49" s="130"/>
      <c r="I49" s="134"/>
      <c r="J49" s="128"/>
      <c r="K49" s="128"/>
      <c r="L49" s="128"/>
      <c r="M49" s="130"/>
      <c r="N49" s="133"/>
      <c r="O49" s="133"/>
      <c r="P49" s="128"/>
      <c r="Q49" s="128"/>
      <c r="R49" s="128"/>
      <c r="S49" s="130"/>
      <c r="T49" s="128"/>
      <c r="U49" s="134"/>
      <c r="V49" s="128"/>
      <c r="W49" s="128"/>
      <c r="X49" s="128"/>
      <c r="Y49" s="128"/>
      <c r="Z49" s="128"/>
      <c r="AA49" s="135"/>
      <c r="AB49" s="128"/>
      <c r="AC49" s="151"/>
      <c r="AD49" s="152"/>
      <c r="AE49" s="128"/>
      <c r="AF49" s="132"/>
      <c r="AG49" s="128"/>
      <c r="AH49" s="153"/>
      <c r="AI49" s="167"/>
      <c r="AJ49" s="130"/>
      <c r="AK49" s="132"/>
      <c r="AL49" s="153"/>
      <c r="AM49" s="130"/>
      <c r="AN49" s="133"/>
      <c r="AO49" s="147"/>
      <c r="AP49" s="147"/>
      <c r="AQ49" s="156"/>
      <c r="AR49" s="132"/>
      <c r="AS49" s="133"/>
      <c r="AT49" s="133"/>
      <c r="AU49" s="133"/>
      <c r="AV49" s="134"/>
      <c r="AW49" s="128"/>
      <c r="AX49" s="128"/>
      <c r="AY49" s="132"/>
    </row>
    <row customHeight="true" ht="23.703703703703702" r="50">
      <c r="A50" s="127"/>
      <c r="B50" s="128"/>
      <c r="C50" s="129"/>
      <c r="D50" s="128"/>
      <c r="E50" s="130"/>
      <c r="F50" s="130"/>
      <c r="G50" s="128"/>
      <c r="H50" s="130"/>
      <c r="I50" s="134"/>
      <c r="J50" s="128"/>
      <c r="K50" s="128"/>
      <c r="L50" s="128"/>
      <c r="M50" s="130"/>
      <c r="N50" s="133"/>
      <c r="O50" s="133"/>
      <c r="P50" s="128"/>
      <c r="Q50" s="128"/>
      <c r="R50" s="128"/>
      <c r="S50" s="130"/>
      <c r="T50" s="128"/>
      <c r="U50" s="134"/>
      <c r="V50" s="128"/>
      <c r="W50" s="128"/>
      <c r="X50" s="128"/>
      <c r="Y50" s="128"/>
      <c r="Z50" s="128"/>
      <c r="AA50" s="135"/>
      <c r="AB50" s="128"/>
      <c r="AC50" s="151"/>
      <c r="AD50" s="152"/>
      <c r="AE50" s="128"/>
      <c r="AF50" s="132"/>
      <c r="AG50" s="128"/>
      <c r="AH50" s="153"/>
      <c r="AI50" s="167"/>
      <c r="AJ50" s="130"/>
      <c r="AK50" s="132"/>
      <c r="AL50" s="153"/>
      <c r="AM50" s="130"/>
      <c r="AN50" s="133"/>
      <c r="AO50" s="147"/>
      <c r="AP50" s="147"/>
      <c r="AQ50" s="156"/>
      <c r="AR50" s="132"/>
      <c r="AS50" s="133"/>
      <c r="AT50" s="133"/>
      <c r="AU50" s="133"/>
      <c r="AV50" s="134"/>
      <c r="AW50" s="128"/>
      <c r="AX50" s="128"/>
      <c r="AY50" s="132"/>
    </row>
    <row customHeight="true" ht="23.703703703703702" r="51">
      <c r="A51" s="127"/>
      <c r="B51" s="128"/>
      <c r="C51" s="129"/>
      <c r="D51" s="128"/>
      <c r="E51" s="130"/>
      <c r="F51" s="130"/>
      <c r="G51" s="128"/>
      <c r="H51" s="130"/>
      <c r="I51" s="134"/>
      <c r="J51" s="128"/>
      <c r="K51" s="128"/>
      <c r="L51" s="128"/>
      <c r="M51" s="130"/>
      <c r="N51" s="133"/>
      <c r="O51" s="133"/>
      <c r="P51" s="128"/>
      <c r="Q51" s="128"/>
      <c r="R51" s="128"/>
      <c r="S51" s="130"/>
      <c r="T51" s="128"/>
      <c r="U51" s="134"/>
      <c r="V51" s="128"/>
      <c r="W51" s="128"/>
      <c r="X51" s="128"/>
      <c r="Y51" s="128"/>
      <c r="Z51" s="128"/>
      <c r="AA51" s="135"/>
      <c r="AB51" s="128"/>
      <c r="AC51" s="151"/>
      <c r="AD51" s="152"/>
      <c r="AE51" s="128"/>
      <c r="AF51" s="132"/>
      <c r="AG51" s="128"/>
      <c r="AH51" s="153"/>
      <c r="AI51" s="167"/>
      <c r="AJ51" s="130"/>
      <c r="AK51" s="132"/>
      <c r="AL51" s="153"/>
      <c r="AM51" s="130"/>
      <c r="AN51" s="133"/>
      <c r="AO51" s="147"/>
      <c r="AP51" s="147"/>
      <c r="AQ51" s="156"/>
      <c r="AR51" s="132"/>
      <c r="AS51" s="133"/>
      <c r="AT51" s="133"/>
      <c r="AU51" s="133"/>
      <c r="AV51" s="134"/>
      <c r="AW51" s="128"/>
      <c r="AX51" s="128"/>
      <c r="AY51" s="132"/>
    </row>
    <row customHeight="true" ht="23.703703703703702" r="52">
      <c r="A52" s="127"/>
      <c r="B52" s="128"/>
      <c r="C52" s="129"/>
      <c r="D52" s="128"/>
      <c r="E52" s="130"/>
      <c r="F52" s="130"/>
      <c r="G52" s="128"/>
      <c r="H52" s="130"/>
      <c r="I52" s="134"/>
      <c r="J52" s="128"/>
      <c r="K52" s="128"/>
      <c r="L52" s="128"/>
      <c r="M52" s="130"/>
      <c r="N52" s="133"/>
      <c r="O52" s="133"/>
      <c r="P52" s="128"/>
      <c r="Q52" s="128"/>
      <c r="R52" s="128"/>
      <c r="S52" s="130"/>
      <c r="T52" s="128"/>
      <c r="U52" s="134"/>
      <c r="V52" s="128"/>
      <c r="W52" s="128"/>
      <c r="X52" s="128"/>
      <c r="Y52" s="128"/>
      <c r="Z52" s="128"/>
      <c r="AA52" s="135"/>
      <c r="AB52" s="128"/>
      <c r="AC52" s="151"/>
      <c r="AD52" s="152"/>
      <c r="AE52" s="128"/>
      <c r="AF52" s="132"/>
      <c r="AG52" s="128"/>
      <c r="AH52" s="153"/>
      <c r="AI52" s="167"/>
      <c r="AJ52" s="130"/>
      <c r="AK52" s="132"/>
      <c r="AL52" s="153"/>
      <c r="AM52" s="130"/>
      <c r="AN52" s="133"/>
      <c r="AO52" s="147"/>
      <c r="AP52" s="147"/>
      <c r="AQ52" s="156"/>
      <c r="AR52" s="132"/>
      <c r="AS52" s="133"/>
      <c r="AT52" s="133"/>
      <c r="AU52" s="133"/>
      <c r="AV52" s="134"/>
      <c r="AW52" s="128"/>
      <c r="AX52" s="128"/>
      <c r="AY52" s="132"/>
    </row>
    <row customHeight="true" ht="23.703703703703702" r="53">
      <c r="A53" s="127"/>
      <c r="B53" s="128"/>
      <c r="C53" s="129"/>
      <c r="D53" s="128"/>
      <c r="E53" s="130"/>
      <c r="F53" s="130"/>
      <c r="G53" s="128"/>
      <c r="H53" s="130"/>
      <c r="I53" s="134"/>
      <c r="J53" s="128"/>
      <c r="K53" s="128"/>
      <c r="L53" s="128"/>
      <c r="M53" s="130"/>
      <c r="N53" s="133"/>
      <c r="O53" s="133"/>
      <c r="P53" s="128"/>
      <c r="Q53" s="128"/>
      <c r="R53" s="128"/>
      <c r="S53" s="130"/>
      <c r="T53" s="128"/>
      <c r="U53" s="134"/>
      <c r="V53" s="128"/>
      <c r="W53" s="128"/>
      <c r="X53" s="128"/>
      <c r="Y53" s="128"/>
      <c r="Z53" s="128"/>
      <c r="AA53" s="135"/>
      <c r="AB53" s="128"/>
      <c r="AC53" s="151"/>
      <c r="AD53" s="152"/>
      <c r="AE53" s="128"/>
      <c r="AF53" s="132"/>
      <c r="AG53" s="128"/>
      <c r="AH53" s="153"/>
      <c r="AI53" s="167"/>
      <c r="AJ53" s="130"/>
      <c r="AK53" s="132"/>
      <c r="AL53" s="153"/>
      <c r="AM53" s="130"/>
      <c r="AN53" s="133"/>
      <c r="AO53" s="147"/>
      <c r="AP53" s="147"/>
      <c r="AQ53" s="156"/>
      <c r="AR53" s="132"/>
      <c r="AS53" s="133"/>
      <c r="AT53" s="133"/>
      <c r="AU53" s="133"/>
      <c r="AV53" s="134"/>
      <c r="AW53" s="128"/>
      <c r="AX53" s="128"/>
      <c r="AY53" s="132"/>
    </row>
    <row customHeight="true" ht="23.703703703703702" r="54">
      <c r="A54" s="127"/>
      <c r="B54" s="128"/>
      <c r="C54" s="129"/>
      <c r="D54" s="128"/>
      <c r="E54" s="130"/>
      <c r="F54" s="130"/>
      <c r="G54" s="128"/>
      <c r="H54" s="130"/>
      <c r="I54" s="134"/>
      <c r="J54" s="128"/>
      <c r="K54" s="128"/>
      <c r="L54" s="128"/>
      <c r="M54" s="130"/>
      <c r="N54" s="133"/>
      <c r="O54" s="133"/>
      <c r="P54" s="128"/>
      <c r="Q54" s="128"/>
      <c r="R54" s="128"/>
      <c r="S54" s="130"/>
      <c r="T54" s="128"/>
      <c r="U54" s="134"/>
      <c r="V54" s="128"/>
      <c r="W54" s="128"/>
      <c r="X54" s="128"/>
      <c r="Y54" s="128"/>
      <c r="Z54" s="128"/>
      <c r="AA54" s="135"/>
      <c r="AB54" s="128"/>
      <c r="AC54" s="151"/>
      <c r="AD54" s="152"/>
      <c r="AE54" s="128"/>
      <c r="AF54" s="132"/>
      <c r="AG54" s="128"/>
      <c r="AH54" s="153"/>
      <c r="AI54" s="167"/>
      <c r="AJ54" s="130"/>
      <c r="AK54" s="132"/>
      <c r="AL54" s="153"/>
      <c r="AM54" s="130"/>
      <c r="AN54" s="133"/>
      <c r="AO54" s="147"/>
      <c r="AP54" s="147"/>
      <c r="AQ54" s="156"/>
      <c r="AR54" s="132"/>
      <c r="AS54" s="133"/>
      <c r="AT54" s="133"/>
      <c r="AU54" s="133"/>
      <c r="AV54" s="134"/>
      <c r="AW54" s="128"/>
      <c r="AX54" s="128"/>
      <c r="AY54" s="132"/>
    </row>
    <row customHeight="true" ht="23.703703703703702" r="55">
      <c r="A55" s="127"/>
      <c r="B55" s="128"/>
      <c r="C55" s="129"/>
      <c r="D55" s="128"/>
      <c r="E55" s="130"/>
      <c r="F55" s="130"/>
      <c r="G55" s="128"/>
      <c r="H55" s="130"/>
      <c r="I55" s="134"/>
      <c r="J55" s="128"/>
      <c r="K55" s="128"/>
      <c r="L55" s="128"/>
      <c r="M55" s="130"/>
      <c r="N55" s="133"/>
      <c r="O55" s="133"/>
      <c r="P55" s="128"/>
      <c r="Q55" s="128"/>
      <c r="R55" s="128"/>
      <c r="S55" s="130"/>
      <c r="T55" s="128"/>
      <c r="U55" s="134"/>
      <c r="V55" s="128"/>
      <c r="W55" s="128"/>
      <c r="X55" s="128"/>
      <c r="Y55" s="128"/>
      <c r="Z55" s="128"/>
      <c r="AA55" s="135"/>
      <c r="AB55" s="128"/>
      <c r="AC55" s="151"/>
      <c r="AD55" s="152"/>
      <c r="AE55" s="128"/>
      <c r="AF55" s="132"/>
      <c r="AG55" s="128"/>
      <c r="AH55" s="153"/>
      <c r="AI55" s="167"/>
      <c r="AJ55" s="130"/>
      <c r="AK55" s="132"/>
      <c r="AL55" s="153"/>
      <c r="AM55" s="130"/>
      <c r="AN55" s="133"/>
      <c r="AO55" s="147"/>
      <c r="AP55" s="147"/>
      <c r="AQ55" s="156"/>
      <c r="AR55" s="132"/>
      <c r="AS55" s="133"/>
      <c r="AT55" s="133"/>
      <c r="AU55" s="133"/>
      <c r="AV55" s="134"/>
      <c r="AW55" s="128"/>
      <c r="AX55" s="128"/>
      <c r="AY55" s="132"/>
    </row>
    <row customHeight="true" ht="23.703703703703702" r="56">
      <c r="A56" s="127"/>
      <c r="B56" s="128"/>
      <c r="C56" s="129"/>
      <c r="D56" s="128"/>
      <c r="E56" s="130"/>
      <c r="F56" s="130"/>
      <c r="G56" s="128"/>
      <c r="H56" s="130"/>
      <c r="I56" s="134"/>
      <c r="J56" s="128"/>
      <c r="K56" s="128"/>
      <c r="L56" s="128"/>
      <c r="M56" s="130"/>
      <c r="N56" s="133"/>
      <c r="O56" s="133"/>
      <c r="P56" s="128"/>
      <c r="Q56" s="128"/>
      <c r="R56" s="128"/>
      <c r="S56" s="130"/>
      <c r="T56" s="128"/>
      <c r="U56" s="134"/>
      <c r="V56" s="128"/>
      <c r="W56" s="128"/>
      <c r="X56" s="128"/>
      <c r="Y56" s="128"/>
      <c r="Z56" s="128"/>
      <c r="AA56" s="135"/>
      <c r="AB56" s="128"/>
      <c r="AC56" s="151"/>
      <c r="AD56" s="152"/>
      <c r="AE56" s="128"/>
      <c r="AF56" s="132"/>
      <c r="AG56" s="128"/>
      <c r="AH56" s="153"/>
      <c r="AI56" s="167"/>
      <c r="AJ56" s="130"/>
      <c r="AK56" s="132"/>
      <c r="AL56" s="153"/>
      <c r="AM56" s="130"/>
      <c r="AN56" s="133"/>
      <c r="AO56" s="147"/>
      <c r="AP56" s="147"/>
      <c r="AQ56" s="156"/>
      <c r="AR56" s="132"/>
      <c r="AS56" s="133"/>
      <c r="AT56" s="133"/>
      <c r="AU56" s="133"/>
      <c r="AV56" s="134"/>
      <c r="AW56" s="128"/>
      <c r="AX56" s="128"/>
      <c r="AY56" s="132"/>
    </row>
    <row customHeight="true" ht="23.703703703703702" r="57">
      <c r="A57" s="127"/>
      <c r="B57" s="128"/>
      <c r="C57" s="129"/>
      <c r="D57" s="128"/>
      <c r="E57" s="130"/>
      <c r="F57" s="130"/>
      <c r="G57" s="128"/>
      <c r="H57" s="130"/>
      <c r="I57" s="134"/>
      <c r="J57" s="128"/>
      <c r="K57" s="128"/>
      <c r="L57" s="128"/>
      <c r="M57" s="130"/>
      <c r="N57" s="133"/>
      <c r="O57" s="133"/>
      <c r="P57" s="128"/>
      <c r="Q57" s="128"/>
      <c r="R57" s="128"/>
      <c r="S57" s="130"/>
      <c r="T57" s="128"/>
      <c r="U57" s="134"/>
      <c r="V57" s="128"/>
      <c r="W57" s="128"/>
      <c r="X57" s="128"/>
      <c r="Y57" s="128"/>
      <c r="Z57" s="128"/>
      <c r="AA57" s="135"/>
      <c r="AB57" s="128"/>
      <c r="AC57" s="151"/>
      <c r="AD57" s="152"/>
      <c r="AE57" s="128"/>
      <c r="AF57" s="132"/>
      <c r="AG57" s="128"/>
      <c r="AH57" s="153"/>
      <c r="AI57" s="167"/>
      <c r="AJ57" s="130"/>
      <c r="AK57" s="132"/>
      <c r="AL57" s="153"/>
      <c r="AM57" s="130"/>
      <c r="AN57" s="133"/>
      <c r="AO57" s="147"/>
      <c r="AP57" s="147"/>
      <c r="AQ57" s="156"/>
      <c r="AR57" s="132"/>
      <c r="AS57" s="133"/>
      <c r="AT57" s="133"/>
      <c r="AU57" s="133"/>
      <c r="AV57" s="134"/>
      <c r="AW57" s="128"/>
      <c r="AX57" s="128"/>
      <c r="AY57" s="132"/>
    </row>
    <row customHeight="true" ht="23.703703703703702" r="58">
      <c r="A58" s="127"/>
      <c r="B58" s="128"/>
      <c r="C58" s="129"/>
      <c r="D58" s="128"/>
      <c r="E58" s="130"/>
      <c r="F58" s="130"/>
      <c r="G58" s="128"/>
      <c r="H58" s="130"/>
      <c r="I58" s="134"/>
      <c r="J58" s="128"/>
      <c r="K58" s="128"/>
      <c r="L58" s="128"/>
      <c r="M58" s="130"/>
      <c r="N58" s="133"/>
      <c r="O58" s="133"/>
      <c r="P58" s="128"/>
      <c r="Q58" s="128"/>
      <c r="R58" s="128"/>
      <c r="S58" s="130"/>
      <c r="T58" s="128"/>
      <c r="U58" s="134"/>
      <c r="V58" s="128"/>
      <c r="W58" s="128"/>
      <c r="X58" s="128"/>
      <c r="Y58" s="128"/>
      <c r="Z58" s="128"/>
      <c r="AA58" s="135"/>
      <c r="AB58" s="128"/>
      <c r="AC58" s="151"/>
      <c r="AD58" s="152"/>
      <c r="AE58" s="128"/>
      <c r="AF58" s="132"/>
      <c r="AG58" s="128"/>
      <c r="AH58" s="153"/>
      <c r="AI58" s="167"/>
      <c r="AJ58" s="130"/>
      <c r="AK58" s="132"/>
      <c r="AL58" s="153"/>
      <c r="AM58" s="130"/>
      <c r="AN58" s="133"/>
      <c r="AO58" s="147"/>
      <c r="AP58" s="147"/>
      <c r="AQ58" s="156"/>
      <c r="AR58" s="132"/>
      <c r="AS58" s="133"/>
      <c r="AT58" s="133"/>
      <c r="AU58" s="133"/>
      <c r="AV58" s="134"/>
      <c r="AW58" s="128"/>
      <c r="AX58" s="128"/>
      <c r="AY58" s="132"/>
    </row>
    <row customHeight="true" ht="23.703703703703702" r="59">
      <c r="A59" s="127"/>
      <c r="B59" s="128"/>
      <c r="C59" s="129"/>
      <c r="D59" s="128"/>
      <c r="E59" s="130"/>
      <c r="F59" s="130"/>
      <c r="G59" s="128"/>
      <c r="H59" s="130"/>
      <c r="I59" s="134"/>
      <c r="J59" s="128"/>
      <c r="K59" s="128"/>
      <c r="L59" s="128"/>
      <c r="M59" s="130"/>
      <c r="N59" s="133"/>
      <c r="O59" s="133"/>
      <c r="P59" s="128"/>
      <c r="Q59" s="128"/>
      <c r="R59" s="128"/>
      <c r="S59" s="130"/>
      <c r="T59" s="128"/>
      <c r="U59" s="134"/>
      <c r="V59" s="128"/>
      <c r="W59" s="128"/>
      <c r="X59" s="128"/>
      <c r="Y59" s="128"/>
      <c r="Z59" s="128"/>
      <c r="AA59" s="135"/>
      <c r="AB59" s="128"/>
      <c r="AC59" s="151"/>
      <c r="AD59" s="152"/>
      <c r="AE59" s="128"/>
      <c r="AF59" s="132"/>
      <c r="AG59" s="128"/>
      <c r="AH59" s="153"/>
      <c r="AI59" s="167"/>
      <c r="AJ59" s="130"/>
      <c r="AK59" s="132"/>
      <c r="AL59" s="153"/>
      <c r="AM59" s="130"/>
      <c r="AN59" s="133"/>
      <c r="AO59" s="147"/>
      <c r="AP59" s="147"/>
      <c r="AQ59" s="156"/>
      <c r="AR59" s="132"/>
      <c r="AS59" s="133"/>
      <c r="AT59" s="133"/>
      <c r="AU59" s="133"/>
      <c r="AV59" s="134"/>
      <c r="AW59" s="128"/>
      <c r="AX59" s="128"/>
      <c r="AY59" s="132"/>
    </row>
    <row customHeight="true" ht="23.703703703703702" r="60">
      <c r="A60" s="127"/>
      <c r="B60" s="128"/>
      <c r="C60" s="129"/>
      <c r="D60" s="128"/>
      <c r="E60" s="130"/>
      <c r="F60" s="130"/>
      <c r="G60" s="128"/>
      <c r="H60" s="130"/>
      <c r="I60" s="134"/>
      <c r="J60" s="128"/>
      <c r="K60" s="128"/>
      <c r="L60" s="128"/>
      <c r="M60" s="130"/>
      <c r="N60" s="133"/>
      <c r="O60" s="133"/>
      <c r="P60" s="128"/>
      <c r="Q60" s="128"/>
      <c r="R60" s="128"/>
      <c r="S60" s="130"/>
      <c r="T60" s="128"/>
      <c r="U60" s="134"/>
      <c r="V60" s="128"/>
      <c r="W60" s="128"/>
      <c r="X60" s="128"/>
      <c r="Y60" s="128"/>
      <c r="Z60" s="128"/>
      <c r="AA60" s="135"/>
      <c r="AB60" s="128"/>
      <c r="AC60" s="151"/>
      <c r="AD60" s="152"/>
      <c r="AE60" s="128"/>
      <c r="AF60" s="132"/>
      <c r="AG60" s="128"/>
      <c r="AH60" s="153"/>
      <c r="AI60" s="167"/>
      <c r="AJ60" s="130"/>
      <c r="AK60" s="132"/>
      <c r="AL60" s="153"/>
      <c r="AM60" s="130"/>
      <c r="AN60" s="133"/>
      <c r="AO60" s="147"/>
      <c r="AP60" s="147"/>
      <c r="AQ60" s="156"/>
      <c r="AR60" s="132"/>
      <c r="AS60" s="133"/>
      <c r="AT60" s="133"/>
      <c r="AU60" s="133"/>
      <c r="AV60" s="134"/>
      <c r="AW60" s="128"/>
      <c r="AX60" s="128"/>
      <c r="AY60" s="132"/>
    </row>
    <row customHeight="true" ht="23.703703703703702" r="61">
      <c r="A61" s="127"/>
      <c r="B61" s="128"/>
      <c r="C61" s="129"/>
      <c r="D61" s="128"/>
      <c r="E61" s="130"/>
      <c r="F61" s="130"/>
      <c r="G61" s="128"/>
      <c r="H61" s="130"/>
      <c r="I61" s="134"/>
      <c r="J61" s="128"/>
      <c r="K61" s="128"/>
      <c r="L61" s="128"/>
      <c r="M61" s="130"/>
      <c r="N61" s="133"/>
      <c r="O61" s="133"/>
      <c r="P61" s="128"/>
      <c r="Q61" s="128"/>
      <c r="R61" s="128"/>
      <c r="S61" s="130"/>
      <c r="T61" s="128"/>
      <c r="U61" s="134"/>
      <c r="V61" s="128"/>
      <c r="W61" s="128"/>
      <c r="X61" s="128"/>
      <c r="Y61" s="128"/>
      <c r="Z61" s="128"/>
      <c r="AA61" s="135"/>
      <c r="AB61" s="128"/>
      <c r="AC61" s="151"/>
      <c r="AD61" s="152"/>
      <c r="AE61" s="128"/>
      <c r="AF61" s="132"/>
      <c r="AG61" s="128"/>
      <c r="AH61" s="153"/>
      <c r="AI61" s="167"/>
      <c r="AJ61" s="130"/>
      <c r="AK61" s="132"/>
      <c r="AL61" s="153"/>
      <c r="AM61" s="130"/>
      <c r="AN61" s="133"/>
      <c r="AO61" s="147"/>
      <c r="AP61" s="147"/>
      <c r="AQ61" s="156"/>
      <c r="AR61" s="132"/>
      <c r="AS61" s="133"/>
      <c r="AT61" s="133"/>
      <c r="AU61" s="133"/>
      <c r="AV61" s="134"/>
      <c r="AW61" s="128"/>
      <c r="AX61" s="128"/>
      <c r="AY61" s="132"/>
    </row>
    <row customHeight="true" ht="23.703703703703702" r="62">
      <c r="A62" s="127"/>
      <c r="B62" s="128"/>
      <c r="C62" s="129"/>
      <c r="D62" s="128"/>
      <c r="E62" s="130"/>
      <c r="F62" s="130"/>
      <c r="G62" s="128"/>
      <c r="H62" s="130"/>
      <c r="I62" s="134"/>
      <c r="J62" s="128"/>
      <c r="K62" s="128"/>
      <c r="L62" s="128"/>
      <c r="M62" s="130"/>
      <c r="N62" s="133"/>
      <c r="O62" s="133"/>
      <c r="P62" s="128"/>
      <c r="Q62" s="128"/>
      <c r="R62" s="128"/>
      <c r="S62" s="130"/>
      <c r="T62" s="128"/>
      <c r="U62" s="134"/>
      <c r="V62" s="128"/>
      <c r="W62" s="128"/>
      <c r="X62" s="128"/>
      <c r="Y62" s="128"/>
      <c r="Z62" s="128"/>
      <c r="AA62" s="135"/>
      <c r="AB62" s="128"/>
      <c r="AC62" s="151"/>
      <c r="AD62" s="152"/>
      <c r="AE62" s="128"/>
      <c r="AF62" s="132"/>
      <c r="AG62" s="128"/>
      <c r="AH62" s="153"/>
      <c r="AI62" s="167"/>
      <c r="AJ62" s="130"/>
      <c r="AK62" s="132"/>
      <c r="AL62" s="153"/>
      <c r="AM62" s="130"/>
      <c r="AN62" s="133"/>
      <c r="AO62" s="147"/>
      <c r="AP62" s="147"/>
      <c r="AQ62" s="156"/>
      <c r="AR62" s="132"/>
      <c r="AS62" s="133"/>
      <c r="AT62" s="133"/>
      <c r="AU62" s="133"/>
      <c r="AV62" s="134"/>
      <c r="AW62" s="128"/>
      <c r="AX62" s="128"/>
      <c r="AY62" s="132"/>
    </row>
    <row customHeight="true" ht="23.703703703703702" r="63">
      <c r="A63" s="127"/>
      <c r="B63" s="128"/>
      <c r="C63" s="129"/>
      <c r="D63" s="128"/>
      <c r="E63" s="130"/>
      <c r="F63" s="130"/>
      <c r="G63" s="128"/>
      <c r="H63" s="130"/>
      <c r="I63" s="134"/>
      <c r="J63" s="128"/>
      <c r="K63" s="128"/>
      <c r="L63" s="128"/>
      <c r="M63" s="130"/>
      <c r="N63" s="133"/>
      <c r="O63" s="133"/>
      <c r="P63" s="128"/>
      <c r="Q63" s="128"/>
      <c r="R63" s="128"/>
      <c r="S63" s="130"/>
      <c r="T63" s="128"/>
      <c r="U63" s="134"/>
      <c r="V63" s="128"/>
      <c r="W63" s="128"/>
      <c r="X63" s="128"/>
      <c r="Y63" s="128"/>
      <c r="Z63" s="128"/>
      <c r="AA63" s="135"/>
      <c r="AB63" s="128"/>
      <c r="AC63" s="151"/>
      <c r="AD63" s="152"/>
      <c r="AE63" s="128"/>
      <c r="AF63" s="132"/>
      <c r="AG63" s="128"/>
      <c r="AH63" s="153"/>
      <c r="AI63" s="167"/>
      <c r="AJ63" s="130"/>
      <c r="AK63" s="132"/>
      <c r="AL63" s="153"/>
      <c r="AM63" s="130"/>
      <c r="AN63" s="133"/>
      <c r="AO63" s="147"/>
      <c r="AP63" s="147"/>
      <c r="AQ63" s="156"/>
      <c r="AR63" s="132"/>
      <c r="AS63" s="133"/>
      <c r="AT63" s="133"/>
      <c r="AU63" s="133"/>
      <c r="AV63" s="134"/>
      <c r="AW63" s="128"/>
      <c r="AX63" s="128"/>
      <c r="AY63" s="132"/>
    </row>
    <row customHeight="true" ht="23.703703703703702" r="64">
      <c r="A64" s="127"/>
      <c r="B64" s="128"/>
      <c r="C64" s="129"/>
      <c r="D64" s="128"/>
      <c r="E64" s="130"/>
      <c r="F64" s="130"/>
      <c r="G64" s="128"/>
      <c r="H64" s="130"/>
      <c r="I64" s="134"/>
      <c r="J64" s="128"/>
      <c r="K64" s="128"/>
      <c r="L64" s="128"/>
      <c r="M64" s="130"/>
      <c r="N64" s="133"/>
      <c r="O64" s="133"/>
      <c r="P64" s="128"/>
      <c r="Q64" s="128"/>
      <c r="R64" s="128"/>
      <c r="S64" s="130"/>
      <c r="T64" s="128"/>
      <c r="U64" s="134"/>
      <c r="V64" s="128"/>
      <c r="W64" s="128"/>
      <c r="X64" s="128"/>
      <c r="Y64" s="128"/>
      <c r="Z64" s="128"/>
      <c r="AA64" s="135"/>
      <c r="AB64" s="128"/>
      <c r="AC64" s="151"/>
      <c r="AD64" s="152"/>
      <c r="AE64" s="128"/>
      <c r="AF64" s="132"/>
      <c r="AG64" s="128"/>
      <c r="AH64" s="153"/>
      <c r="AI64" s="167"/>
      <c r="AJ64" s="130"/>
      <c r="AK64" s="132"/>
      <c r="AL64" s="153"/>
      <c r="AM64" s="130"/>
      <c r="AN64" s="133"/>
      <c r="AO64" s="147"/>
      <c r="AP64" s="147"/>
      <c r="AQ64" s="156"/>
      <c r="AR64" s="132"/>
      <c r="AS64" s="133"/>
      <c r="AT64" s="133"/>
      <c r="AU64" s="133"/>
      <c r="AV64" s="134"/>
      <c r="AW64" s="128"/>
      <c r="AX64" s="128"/>
      <c r="AY64" s="132"/>
    </row>
    <row customHeight="true" ht="23.703703703703702" r="65">
      <c r="A65" s="127"/>
      <c r="B65" s="128"/>
      <c r="C65" s="129"/>
      <c r="D65" s="128"/>
      <c r="E65" s="130"/>
      <c r="F65" s="130"/>
      <c r="G65" s="128"/>
      <c r="H65" s="130"/>
      <c r="I65" s="134"/>
      <c r="J65" s="128"/>
      <c r="K65" s="128"/>
      <c r="L65" s="128"/>
      <c r="M65" s="130"/>
      <c r="N65" s="133"/>
      <c r="O65" s="133"/>
      <c r="P65" s="128"/>
      <c r="Q65" s="128"/>
      <c r="R65" s="128"/>
      <c r="S65" s="130"/>
      <c r="T65" s="128"/>
      <c r="U65" s="134"/>
      <c r="V65" s="128"/>
      <c r="W65" s="128"/>
      <c r="X65" s="128"/>
      <c r="Y65" s="128"/>
      <c r="Z65" s="128"/>
      <c r="AA65" s="135"/>
      <c r="AB65" s="128"/>
      <c r="AC65" s="151"/>
      <c r="AD65" s="152"/>
      <c r="AE65" s="128"/>
      <c r="AF65" s="132"/>
      <c r="AG65" s="128"/>
      <c r="AH65" s="153"/>
      <c r="AI65" s="167"/>
      <c r="AJ65" s="130"/>
      <c r="AK65" s="132"/>
      <c r="AL65" s="153"/>
      <c r="AM65" s="130"/>
      <c r="AN65" s="133"/>
      <c r="AO65" s="147"/>
      <c r="AP65" s="147"/>
      <c r="AQ65" s="156"/>
      <c r="AR65" s="132"/>
      <c r="AS65" s="133"/>
      <c r="AT65" s="133"/>
      <c r="AU65" s="133"/>
      <c r="AV65" s="134"/>
      <c r="AW65" s="128"/>
      <c r="AX65" s="128"/>
      <c r="AY65" s="132"/>
    </row>
    <row customHeight="true" ht="23.703703703703702" r="66">
      <c r="A66" s="127"/>
      <c r="B66" s="128"/>
      <c r="C66" s="129"/>
      <c r="D66" s="128"/>
      <c r="E66" s="130"/>
      <c r="F66" s="130"/>
      <c r="G66" s="128"/>
      <c r="H66" s="130"/>
      <c r="I66" s="134"/>
      <c r="J66" s="128"/>
      <c r="K66" s="128"/>
      <c r="L66" s="128"/>
      <c r="M66" s="130"/>
      <c r="N66" s="133"/>
      <c r="O66" s="133"/>
      <c r="P66" s="128"/>
      <c r="Q66" s="128"/>
      <c r="R66" s="128"/>
      <c r="S66" s="130"/>
      <c r="T66" s="128"/>
      <c r="U66" s="134"/>
      <c r="V66" s="128"/>
      <c r="W66" s="128"/>
      <c r="X66" s="128"/>
      <c r="Y66" s="128"/>
      <c r="Z66" s="128"/>
      <c r="AA66" s="135"/>
      <c r="AB66" s="128"/>
      <c r="AC66" s="151"/>
      <c r="AD66" s="152"/>
      <c r="AE66" s="128"/>
      <c r="AF66" s="132"/>
      <c r="AG66" s="128"/>
      <c r="AH66" s="153"/>
      <c r="AI66" s="167"/>
      <c r="AJ66" s="130"/>
      <c r="AK66" s="132"/>
      <c r="AL66" s="153"/>
      <c r="AM66" s="130"/>
      <c r="AN66" s="133"/>
      <c r="AO66" s="147"/>
      <c r="AP66" s="147"/>
      <c r="AQ66" s="156"/>
      <c r="AR66" s="132"/>
      <c r="AS66" s="133"/>
      <c r="AT66" s="133"/>
      <c r="AU66" s="133"/>
      <c r="AV66" s="134"/>
      <c r="AW66" s="128"/>
      <c r="AX66" s="128"/>
      <c r="AY66" s="132"/>
    </row>
    <row customHeight="true" ht="23.703703703703702" r="67">
      <c r="A67" s="127"/>
      <c r="B67" s="128"/>
      <c r="C67" s="129"/>
      <c r="D67" s="128"/>
      <c r="E67" s="130"/>
      <c r="F67" s="130"/>
      <c r="G67" s="128"/>
      <c r="H67" s="130"/>
      <c r="I67" s="134"/>
      <c r="J67" s="128"/>
      <c r="K67" s="128"/>
      <c r="L67" s="128"/>
      <c r="M67" s="130"/>
      <c r="N67" s="133"/>
      <c r="O67" s="133"/>
      <c r="P67" s="128"/>
      <c r="Q67" s="128"/>
      <c r="R67" s="128"/>
      <c r="S67" s="130"/>
      <c r="T67" s="128"/>
      <c r="U67" s="134"/>
      <c r="V67" s="128"/>
      <c r="W67" s="128"/>
      <c r="X67" s="128"/>
      <c r="Y67" s="128"/>
      <c r="Z67" s="128"/>
      <c r="AA67" s="135"/>
      <c r="AB67" s="128"/>
      <c r="AC67" s="151"/>
      <c r="AD67" s="152"/>
      <c r="AE67" s="128"/>
      <c r="AF67" s="132"/>
      <c r="AG67" s="128"/>
      <c r="AH67" s="153"/>
      <c r="AI67" s="167"/>
      <c r="AJ67" s="130"/>
      <c r="AK67" s="132"/>
      <c r="AL67" s="153"/>
      <c r="AM67" s="130"/>
      <c r="AN67" s="133"/>
      <c r="AO67" s="147"/>
      <c r="AP67" s="147"/>
      <c r="AQ67" s="156"/>
      <c r="AR67" s="132"/>
      <c r="AS67" s="133"/>
      <c r="AT67" s="133"/>
      <c r="AU67" s="133"/>
      <c r="AV67" s="134"/>
      <c r="AW67" s="128"/>
      <c r="AX67" s="128"/>
      <c r="AY67" s="132"/>
    </row>
    <row customHeight="true" ht="23.703703703703702" r="68">
      <c r="A68" s="127"/>
      <c r="B68" s="128"/>
      <c r="C68" s="129"/>
      <c r="D68" s="128"/>
      <c r="E68" s="130"/>
      <c r="F68" s="130"/>
      <c r="G68" s="128"/>
      <c r="H68" s="130"/>
      <c r="I68" s="134"/>
      <c r="J68" s="128"/>
      <c r="K68" s="128"/>
      <c r="L68" s="128"/>
      <c r="M68" s="130"/>
      <c r="N68" s="133"/>
      <c r="O68" s="133"/>
      <c r="P68" s="128"/>
      <c r="Q68" s="128"/>
      <c r="R68" s="128"/>
      <c r="S68" s="130"/>
      <c r="T68" s="128"/>
      <c r="U68" s="134"/>
      <c r="V68" s="128"/>
      <c r="W68" s="128"/>
      <c r="X68" s="128"/>
      <c r="Y68" s="128"/>
      <c r="Z68" s="128"/>
      <c r="AA68" s="135"/>
      <c r="AB68" s="128"/>
      <c r="AC68" s="151"/>
      <c r="AD68" s="152"/>
      <c r="AE68" s="128"/>
      <c r="AF68" s="132"/>
      <c r="AG68" s="128"/>
      <c r="AH68" s="153"/>
      <c r="AI68" s="167"/>
      <c r="AJ68" s="130"/>
      <c r="AK68" s="132"/>
      <c r="AL68" s="153"/>
      <c r="AM68" s="130"/>
      <c r="AN68" s="133"/>
      <c r="AO68" s="147"/>
      <c r="AP68" s="147"/>
      <c r="AQ68" s="156"/>
      <c r="AR68" s="132"/>
      <c r="AS68" s="133"/>
      <c r="AT68" s="133"/>
      <c r="AU68" s="133"/>
      <c r="AV68" s="134"/>
      <c r="AW68" s="128"/>
      <c r="AX68" s="128"/>
      <c r="AY68" s="132"/>
    </row>
    <row customHeight="true" ht="23.703703703703702" r="69">
      <c r="A69" s="127"/>
      <c r="B69" s="128"/>
      <c r="C69" s="129"/>
      <c r="D69" s="128"/>
      <c r="E69" s="130"/>
      <c r="F69" s="130"/>
      <c r="G69" s="128"/>
      <c r="H69" s="130"/>
      <c r="I69" s="134"/>
      <c r="J69" s="128"/>
      <c r="K69" s="128"/>
      <c r="L69" s="128"/>
      <c r="M69" s="130"/>
      <c r="N69" s="133"/>
      <c r="O69" s="133"/>
      <c r="P69" s="128"/>
      <c r="Q69" s="128"/>
      <c r="R69" s="128"/>
      <c r="S69" s="130"/>
      <c r="T69" s="128"/>
      <c r="U69" s="134"/>
      <c r="V69" s="128"/>
      <c r="W69" s="128"/>
      <c r="X69" s="128"/>
      <c r="Y69" s="128"/>
      <c r="Z69" s="128"/>
      <c r="AA69" s="135"/>
      <c r="AB69" s="128"/>
      <c r="AC69" s="151"/>
      <c r="AD69" s="152"/>
      <c r="AE69" s="128"/>
      <c r="AF69" s="132"/>
      <c r="AG69" s="128"/>
      <c r="AH69" s="153"/>
      <c r="AI69" s="167"/>
      <c r="AJ69" s="130"/>
      <c r="AK69" s="132"/>
      <c r="AL69" s="153"/>
      <c r="AM69" s="130"/>
      <c r="AN69" s="133"/>
      <c r="AO69" s="147"/>
      <c r="AP69" s="147"/>
      <c r="AQ69" s="156"/>
      <c r="AR69" s="132"/>
      <c r="AS69" s="133"/>
      <c r="AT69" s="133"/>
      <c r="AU69" s="133"/>
      <c r="AV69" s="134"/>
      <c r="AW69" s="128"/>
      <c r="AX69" s="128"/>
      <c r="AY69" s="132"/>
    </row>
    <row customHeight="true" ht="23.703703703703702" r="70">
      <c r="A70" s="127"/>
      <c r="B70" s="128"/>
      <c r="C70" s="129"/>
      <c r="D70" s="128"/>
      <c r="E70" s="130"/>
      <c r="F70" s="130"/>
      <c r="G70" s="128"/>
      <c r="H70" s="130"/>
      <c r="I70" s="134"/>
      <c r="J70" s="128"/>
      <c r="K70" s="128"/>
      <c r="L70" s="128"/>
      <c r="M70" s="130"/>
      <c r="N70" s="133"/>
      <c r="O70" s="133"/>
      <c r="P70" s="128"/>
      <c r="Q70" s="128"/>
      <c r="R70" s="128"/>
      <c r="S70" s="130"/>
      <c r="T70" s="128"/>
      <c r="U70" s="134"/>
      <c r="V70" s="128"/>
      <c r="W70" s="128"/>
      <c r="X70" s="128"/>
      <c r="Y70" s="128"/>
      <c r="Z70" s="128"/>
      <c r="AA70" s="135"/>
      <c r="AB70" s="128"/>
      <c r="AC70" s="151"/>
      <c r="AD70" s="152"/>
      <c r="AE70" s="128"/>
      <c r="AF70" s="132"/>
      <c r="AG70" s="128"/>
      <c r="AH70" s="153"/>
      <c r="AI70" s="167"/>
      <c r="AJ70" s="130"/>
      <c r="AK70" s="132"/>
      <c r="AL70" s="153"/>
      <c r="AM70" s="130"/>
      <c r="AN70" s="133"/>
      <c r="AO70" s="147"/>
      <c r="AP70" s="147"/>
      <c r="AQ70" s="156"/>
      <c r="AR70" s="132"/>
      <c r="AS70" s="133"/>
      <c r="AT70" s="133"/>
      <c r="AU70" s="133"/>
      <c r="AV70" s="134"/>
      <c r="AW70" s="128"/>
      <c r="AX70" s="128"/>
      <c r="AY70" s="132"/>
    </row>
    <row customHeight="true" ht="23.703703703703702" r="71">
      <c r="A71" s="127"/>
      <c r="B71" s="128"/>
      <c r="C71" s="129"/>
      <c r="D71" s="128"/>
      <c r="E71" s="130"/>
      <c r="F71" s="130"/>
      <c r="G71" s="128"/>
      <c r="H71" s="130"/>
      <c r="I71" s="134"/>
      <c r="J71" s="128"/>
      <c r="K71" s="128"/>
      <c r="L71" s="128"/>
      <c r="M71" s="130"/>
      <c r="N71" s="133"/>
      <c r="O71" s="133"/>
      <c r="P71" s="128"/>
      <c r="Q71" s="128"/>
      <c r="R71" s="128"/>
      <c r="S71" s="130"/>
      <c r="T71" s="128"/>
      <c r="U71" s="134"/>
      <c r="V71" s="128"/>
      <c r="W71" s="128"/>
      <c r="X71" s="128"/>
      <c r="Y71" s="128"/>
      <c r="Z71" s="128"/>
      <c r="AA71" s="135"/>
      <c r="AB71" s="128"/>
      <c r="AC71" s="151"/>
      <c r="AD71" s="152"/>
      <c r="AE71" s="128"/>
      <c r="AF71" s="132"/>
      <c r="AG71" s="128"/>
      <c r="AH71" s="153"/>
      <c r="AI71" s="167"/>
      <c r="AJ71" s="130"/>
      <c r="AK71" s="132"/>
      <c r="AL71" s="153"/>
      <c r="AM71" s="130"/>
      <c r="AN71" s="133"/>
      <c r="AO71" s="147"/>
      <c r="AP71" s="147"/>
      <c r="AQ71" s="156"/>
      <c r="AR71" s="132"/>
      <c r="AS71" s="133"/>
      <c r="AT71" s="133"/>
      <c r="AU71" s="133"/>
      <c r="AV71" s="134"/>
      <c r="AW71" s="128"/>
      <c r="AX71" s="128"/>
      <c r="AY71" s="132"/>
    </row>
    <row customHeight="true" ht="23.703703703703702" r="72">
      <c r="A72" s="127"/>
      <c r="B72" s="128"/>
      <c r="C72" s="129"/>
      <c r="D72" s="128"/>
      <c r="E72" s="130"/>
      <c r="F72" s="130"/>
      <c r="G72" s="128"/>
      <c r="H72" s="130"/>
      <c r="I72" s="134"/>
      <c r="J72" s="128"/>
      <c r="K72" s="128"/>
      <c r="L72" s="128"/>
      <c r="M72" s="130"/>
      <c r="N72" s="133"/>
      <c r="O72" s="133"/>
      <c r="P72" s="128"/>
      <c r="Q72" s="128"/>
      <c r="R72" s="128"/>
      <c r="S72" s="130"/>
      <c r="T72" s="128"/>
      <c r="U72" s="134"/>
      <c r="V72" s="128"/>
      <c r="W72" s="128"/>
      <c r="X72" s="128"/>
      <c r="Y72" s="128"/>
      <c r="Z72" s="128"/>
      <c r="AA72" s="135"/>
      <c r="AB72" s="128"/>
      <c r="AC72" s="151"/>
      <c r="AD72" s="152"/>
      <c r="AE72" s="128"/>
      <c r="AF72" s="132"/>
      <c r="AG72" s="128"/>
      <c r="AH72" s="153"/>
      <c r="AI72" s="167"/>
      <c r="AJ72" s="130"/>
      <c r="AK72" s="132"/>
      <c r="AL72" s="153"/>
      <c r="AM72" s="130"/>
      <c r="AN72" s="133"/>
      <c r="AO72" s="147"/>
      <c r="AP72" s="147"/>
      <c r="AQ72" s="156"/>
      <c r="AR72" s="132"/>
      <c r="AS72" s="133"/>
      <c r="AT72" s="133"/>
      <c r="AU72" s="133"/>
      <c r="AV72" s="134"/>
      <c r="AW72" s="128"/>
      <c r="AX72" s="128"/>
      <c r="AY72" s="132"/>
    </row>
    <row customHeight="true" ht="23.703703703703702" r="73">
      <c r="A73" s="127"/>
      <c r="B73" s="128"/>
      <c r="C73" s="129"/>
      <c r="D73" s="128"/>
      <c r="E73" s="130"/>
      <c r="F73" s="130"/>
      <c r="G73" s="128"/>
      <c r="H73" s="130"/>
      <c r="I73" s="134"/>
      <c r="J73" s="128"/>
      <c r="K73" s="128"/>
      <c r="L73" s="128"/>
      <c r="M73" s="130"/>
      <c r="N73" s="133"/>
      <c r="O73" s="133"/>
      <c r="P73" s="128"/>
      <c r="Q73" s="128"/>
      <c r="R73" s="128"/>
      <c r="S73" s="130"/>
      <c r="T73" s="128"/>
      <c r="U73" s="134"/>
      <c r="V73" s="128"/>
      <c r="W73" s="128"/>
      <c r="X73" s="128"/>
      <c r="Y73" s="128"/>
      <c r="Z73" s="128"/>
      <c r="AA73" s="135"/>
      <c r="AB73" s="128"/>
      <c r="AC73" s="151"/>
      <c r="AD73" s="152"/>
      <c r="AE73" s="128"/>
      <c r="AF73" s="132"/>
      <c r="AG73" s="128"/>
      <c r="AH73" s="153"/>
      <c r="AI73" s="167"/>
      <c r="AJ73" s="130"/>
      <c r="AK73" s="132"/>
      <c r="AL73" s="153"/>
      <c r="AM73" s="130"/>
      <c r="AN73" s="133"/>
      <c r="AO73" s="147"/>
      <c r="AP73" s="147"/>
      <c r="AQ73" s="156"/>
      <c r="AR73" s="132"/>
      <c r="AS73" s="133"/>
      <c r="AT73" s="133"/>
      <c r="AU73" s="133"/>
      <c r="AV73" s="134"/>
      <c r="AW73" s="128"/>
      <c r="AX73" s="128"/>
      <c r="AY73" s="132"/>
    </row>
    <row customHeight="true" ht="23.703703703703702" r="74">
      <c r="A74" s="127"/>
      <c r="B74" s="128"/>
      <c r="C74" s="129"/>
      <c r="D74" s="128"/>
      <c r="E74" s="130"/>
      <c r="F74" s="130"/>
      <c r="G74" s="128"/>
      <c r="H74" s="130"/>
      <c r="I74" s="134"/>
      <c r="J74" s="128"/>
      <c r="K74" s="128"/>
      <c r="L74" s="128"/>
      <c r="M74" s="130"/>
      <c r="N74" s="133"/>
      <c r="O74" s="133"/>
      <c r="P74" s="128"/>
      <c r="Q74" s="128"/>
      <c r="R74" s="128"/>
      <c r="S74" s="130"/>
      <c r="T74" s="128"/>
      <c r="U74" s="134"/>
      <c r="V74" s="128"/>
      <c r="W74" s="128"/>
      <c r="X74" s="128"/>
      <c r="Y74" s="128"/>
      <c r="Z74" s="128"/>
      <c r="AA74" s="135"/>
      <c r="AB74" s="128"/>
      <c r="AC74" s="151"/>
      <c r="AD74" s="152"/>
      <c r="AE74" s="128"/>
      <c r="AF74" s="132"/>
      <c r="AG74" s="128"/>
      <c r="AH74" s="153"/>
      <c r="AI74" s="167"/>
      <c r="AJ74" s="130"/>
      <c r="AK74" s="132"/>
      <c r="AL74" s="153"/>
      <c r="AM74" s="130"/>
      <c r="AN74" s="133"/>
      <c r="AO74" s="147"/>
      <c r="AP74" s="147"/>
      <c r="AQ74" s="156"/>
      <c r="AR74" s="132"/>
      <c r="AS74" s="133"/>
      <c r="AT74" s="133"/>
      <c r="AU74" s="133"/>
      <c r="AV74" s="134"/>
      <c r="AW74" s="128"/>
      <c r="AX74" s="128"/>
      <c r="AY74" s="132"/>
    </row>
    <row customHeight="true" ht="23.703703703703702" r="75">
      <c r="A75" s="127"/>
      <c r="B75" s="128"/>
      <c r="C75" s="129"/>
      <c r="D75" s="128"/>
      <c r="E75" s="130"/>
      <c r="F75" s="130"/>
      <c r="G75" s="128"/>
      <c r="H75" s="130"/>
      <c r="I75" s="134"/>
      <c r="J75" s="128"/>
      <c r="K75" s="128"/>
      <c r="L75" s="128"/>
      <c r="M75" s="130"/>
      <c r="N75" s="133"/>
      <c r="O75" s="133"/>
      <c r="P75" s="128"/>
      <c r="Q75" s="128"/>
      <c r="R75" s="128"/>
      <c r="S75" s="130"/>
      <c r="T75" s="128"/>
      <c r="U75" s="134"/>
      <c r="V75" s="128"/>
      <c r="W75" s="128"/>
      <c r="X75" s="128"/>
      <c r="Y75" s="128"/>
      <c r="Z75" s="128"/>
      <c r="AA75" s="135"/>
      <c r="AB75" s="128"/>
      <c r="AC75" s="151"/>
      <c r="AD75" s="152"/>
      <c r="AE75" s="128"/>
      <c r="AF75" s="132"/>
      <c r="AG75" s="128"/>
      <c r="AH75" s="153"/>
      <c r="AI75" s="167"/>
      <c r="AJ75" s="130"/>
      <c r="AK75" s="132"/>
      <c r="AL75" s="153"/>
      <c r="AM75" s="130"/>
      <c r="AN75" s="133"/>
      <c r="AO75" s="147"/>
      <c r="AP75" s="147"/>
      <c r="AQ75" s="156"/>
      <c r="AR75" s="132"/>
      <c r="AS75" s="133"/>
      <c r="AT75" s="133"/>
      <c r="AU75" s="133"/>
      <c r="AV75" s="134"/>
      <c r="AW75" s="128"/>
      <c r="AX75" s="128"/>
      <c r="AY75" s="132"/>
    </row>
    <row customHeight="true" ht="23.703703703703702" r="76">
      <c r="A76" s="127"/>
      <c r="B76" s="128"/>
      <c r="C76" s="129"/>
      <c r="D76" s="128"/>
      <c r="E76" s="130"/>
      <c r="F76" s="130"/>
      <c r="G76" s="128"/>
      <c r="H76" s="130"/>
      <c r="I76" s="134"/>
      <c r="J76" s="128"/>
      <c r="K76" s="128"/>
      <c r="L76" s="128"/>
      <c r="M76" s="130"/>
      <c r="N76" s="133"/>
      <c r="O76" s="133"/>
      <c r="P76" s="128"/>
      <c r="Q76" s="128"/>
      <c r="R76" s="128"/>
      <c r="S76" s="130"/>
      <c r="T76" s="128"/>
      <c r="U76" s="134"/>
      <c r="V76" s="128"/>
      <c r="W76" s="128"/>
      <c r="X76" s="128"/>
      <c r="Y76" s="128"/>
      <c r="Z76" s="128"/>
      <c r="AA76" s="135"/>
      <c r="AB76" s="128"/>
      <c r="AC76" s="151"/>
      <c r="AD76" s="152"/>
      <c r="AE76" s="128"/>
      <c r="AF76" s="132"/>
      <c r="AG76" s="128"/>
      <c r="AH76" s="153"/>
      <c r="AI76" s="167"/>
      <c r="AJ76" s="130"/>
      <c r="AK76" s="132"/>
      <c r="AL76" s="153"/>
      <c r="AM76" s="130"/>
      <c r="AN76" s="133"/>
      <c r="AO76" s="147"/>
      <c r="AP76" s="147"/>
      <c r="AQ76" s="156"/>
      <c r="AR76" s="132"/>
      <c r="AS76" s="133"/>
      <c r="AT76" s="133"/>
      <c r="AU76" s="133"/>
      <c r="AV76" s="134"/>
      <c r="AW76" s="128"/>
      <c r="AX76" s="128"/>
      <c r="AY76" s="132"/>
    </row>
    <row customHeight="true" ht="23.703703703703702" r="77">
      <c r="A77" s="127"/>
      <c r="B77" s="128"/>
      <c r="C77" s="129"/>
      <c r="D77" s="128"/>
      <c r="E77" s="130"/>
      <c r="F77" s="130"/>
      <c r="G77" s="128"/>
      <c r="H77" s="130"/>
      <c r="I77" s="134"/>
      <c r="J77" s="128"/>
      <c r="K77" s="128"/>
      <c r="L77" s="128"/>
      <c r="M77" s="130"/>
      <c r="N77" s="133"/>
      <c r="O77" s="133"/>
      <c r="P77" s="128"/>
      <c r="Q77" s="128"/>
      <c r="R77" s="128"/>
      <c r="S77" s="130"/>
      <c r="T77" s="128"/>
      <c r="U77" s="134"/>
      <c r="V77" s="128"/>
      <c r="W77" s="128"/>
      <c r="X77" s="128"/>
      <c r="Y77" s="128"/>
      <c r="Z77" s="128"/>
      <c r="AA77" s="135"/>
      <c r="AB77" s="128"/>
      <c r="AC77" s="151"/>
      <c r="AD77" s="152"/>
      <c r="AE77" s="128"/>
      <c r="AF77" s="132"/>
      <c r="AG77" s="128"/>
      <c r="AH77" s="153"/>
      <c r="AI77" s="167"/>
      <c r="AJ77" s="130"/>
      <c r="AK77" s="132"/>
      <c r="AL77" s="153"/>
      <c r="AM77" s="130"/>
      <c r="AN77" s="133"/>
      <c r="AO77" s="147"/>
      <c r="AP77" s="147"/>
      <c r="AQ77" s="156"/>
      <c r="AR77" s="132"/>
      <c r="AS77" s="133"/>
      <c r="AT77" s="133"/>
      <c r="AU77" s="133"/>
      <c r="AV77" s="134"/>
      <c r="AW77" s="128"/>
      <c r="AX77" s="128"/>
      <c r="AY77" s="132"/>
    </row>
    <row customHeight="true" ht="23.703703703703702" r="78">
      <c r="A78" s="127"/>
      <c r="B78" s="128"/>
      <c r="C78" s="129"/>
      <c r="D78" s="128"/>
      <c r="E78" s="130"/>
      <c r="F78" s="130"/>
      <c r="G78" s="128"/>
      <c r="H78" s="130"/>
      <c r="I78" s="134"/>
      <c r="J78" s="128"/>
      <c r="K78" s="128"/>
      <c r="L78" s="128"/>
      <c r="M78" s="130"/>
      <c r="N78" s="133"/>
      <c r="O78" s="133"/>
      <c r="P78" s="128"/>
      <c r="Q78" s="128"/>
      <c r="R78" s="128"/>
      <c r="S78" s="130"/>
      <c r="T78" s="128"/>
      <c r="U78" s="134"/>
      <c r="V78" s="128"/>
      <c r="W78" s="128"/>
      <c r="X78" s="128"/>
      <c r="Y78" s="128"/>
      <c r="Z78" s="128"/>
      <c r="AA78" s="135"/>
      <c r="AB78" s="128"/>
      <c r="AC78" s="151"/>
      <c r="AD78" s="152"/>
      <c r="AE78" s="128"/>
      <c r="AF78" s="132"/>
      <c r="AG78" s="128"/>
      <c r="AH78" s="153"/>
      <c r="AI78" s="167"/>
      <c r="AJ78" s="130"/>
      <c r="AK78" s="132"/>
      <c r="AL78" s="153"/>
      <c r="AM78" s="130"/>
      <c r="AN78" s="133"/>
      <c r="AO78" s="147"/>
      <c r="AP78" s="147"/>
      <c r="AQ78" s="156"/>
      <c r="AR78" s="132"/>
      <c r="AS78" s="133"/>
      <c r="AT78" s="133"/>
      <c r="AU78" s="133"/>
      <c r="AV78" s="134"/>
      <c r="AW78" s="128"/>
      <c r="AX78" s="128"/>
      <c r="AY78" s="132"/>
    </row>
    <row customHeight="true" ht="23.703703703703702" r="79">
      <c r="A79" s="127"/>
      <c r="B79" s="128"/>
      <c r="C79" s="129"/>
      <c r="D79" s="128"/>
      <c r="E79" s="130"/>
      <c r="F79" s="130"/>
      <c r="G79" s="128"/>
      <c r="H79" s="130"/>
      <c r="I79" s="134"/>
      <c r="J79" s="128"/>
      <c r="K79" s="128"/>
      <c r="L79" s="128"/>
      <c r="M79" s="130"/>
      <c r="N79" s="133"/>
      <c r="O79" s="133"/>
      <c r="P79" s="128"/>
      <c r="Q79" s="128"/>
      <c r="R79" s="128"/>
      <c r="S79" s="130"/>
      <c r="T79" s="128"/>
      <c r="U79" s="134"/>
      <c r="V79" s="128"/>
      <c r="W79" s="128"/>
      <c r="X79" s="128"/>
      <c r="Y79" s="128"/>
      <c r="Z79" s="128"/>
      <c r="AA79" s="135"/>
      <c r="AB79" s="128"/>
      <c r="AC79" s="151"/>
      <c r="AD79" s="152"/>
      <c r="AE79" s="128"/>
      <c r="AF79" s="132"/>
      <c r="AG79" s="128"/>
      <c r="AH79" s="153"/>
      <c r="AI79" s="167"/>
      <c r="AJ79" s="130"/>
      <c r="AK79" s="132"/>
      <c r="AL79" s="153"/>
      <c r="AM79" s="130"/>
      <c r="AN79" s="133"/>
      <c r="AO79" s="147"/>
      <c r="AP79" s="147"/>
      <c r="AQ79" s="156"/>
      <c r="AR79" s="132"/>
      <c r="AS79" s="133"/>
      <c r="AT79" s="133"/>
      <c r="AU79" s="133"/>
      <c r="AV79" s="134"/>
      <c r="AW79" s="128"/>
      <c r="AX79" s="128"/>
      <c r="AY79" s="132"/>
    </row>
    <row customHeight="true" ht="23.703703703703702" r="80">
      <c r="A80" s="127"/>
      <c r="B80" s="128"/>
      <c r="C80" s="129"/>
      <c r="D80" s="128"/>
      <c r="E80" s="130"/>
      <c r="F80" s="130"/>
      <c r="G80" s="128"/>
      <c r="H80" s="130"/>
      <c r="I80" s="134"/>
      <c r="J80" s="128"/>
      <c r="K80" s="128"/>
      <c r="L80" s="128"/>
      <c r="M80" s="130"/>
      <c r="N80" s="133"/>
      <c r="O80" s="133"/>
      <c r="P80" s="128"/>
      <c r="Q80" s="128"/>
      <c r="R80" s="128"/>
      <c r="S80" s="130"/>
      <c r="T80" s="128"/>
      <c r="U80" s="134"/>
      <c r="V80" s="128"/>
      <c r="W80" s="128"/>
      <c r="X80" s="128"/>
      <c r="Y80" s="128"/>
      <c r="Z80" s="128"/>
      <c r="AA80" s="135"/>
      <c r="AB80" s="128"/>
      <c r="AC80" s="151"/>
      <c r="AD80" s="152"/>
      <c r="AE80" s="128"/>
      <c r="AF80" s="132"/>
      <c r="AG80" s="128"/>
      <c r="AH80" s="153"/>
      <c r="AI80" s="167"/>
      <c r="AJ80" s="130"/>
      <c r="AK80" s="132"/>
      <c r="AL80" s="153"/>
      <c r="AM80" s="130"/>
      <c r="AN80" s="133"/>
      <c r="AO80" s="147"/>
      <c r="AP80" s="147"/>
      <c r="AQ80" s="156"/>
      <c r="AR80" s="132"/>
      <c r="AS80" s="133"/>
      <c r="AT80" s="133"/>
      <c r="AU80" s="133"/>
      <c r="AV80" s="134"/>
      <c r="AW80" s="128"/>
      <c r="AX80" s="128"/>
      <c r="AY80" s="132"/>
    </row>
    <row customHeight="true" ht="23.703703703703702" r="81">
      <c r="A81" s="127"/>
      <c r="B81" s="128"/>
      <c r="C81" s="129"/>
      <c r="D81" s="128"/>
      <c r="E81" s="130"/>
      <c r="F81" s="130"/>
      <c r="G81" s="128"/>
      <c r="H81" s="130"/>
      <c r="I81" s="134"/>
      <c r="J81" s="128"/>
      <c r="K81" s="128"/>
      <c r="L81" s="128"/>
      <c r="M81" s="130"/>
      <c r="N81" s="133"/>
      <c r="O81" s="133"/>
      <c r="P81" s="128"/>
      <c r="Q81" s="128"/>
      <c r="R81" s="128"/>
      <c r="S81" s="130"/>
      <c r="T81" s="128"/>
      <c r="U81" s="134"/>
      <c r="V81" s="128"/>
      <c r="W81" s="128"/>
      <c r="X81" s="128"/>
      <c r="Y81" s="128"/>
      <c r="Z81" s="128"/>
      <c r="AA81" s="135"/>
      <c r="AB81" s="128"/>
      <c r="AC81" s="151"/>
      <c r="AD81" s="152"/>
      <c r="AE81" s="128"/>
      <c r="AF81" s="132"/>
      <c r="AG81" s="128"/>
      <c r="AH81" s="153"/>
      <c r="AI81" s="167"/>
      <c r="AJ81" s="130"/>
      <c r="AK81" s="132"/>
      <c r="AL81" s="153"/>
      <c r="AM81" s="130"/>
      <c r="AN81" s="133"/>
      <c r="AO81" s="147"/>
      <c r="AP81" s="147"/>
      <c r="AQ81" s="156"/>
      <c r="AR81" s="132"/>
      <c r="AS81" s="133"/>
      <c r="AT81" s="133"/>
      <c r="AU81" s="133"/>
      <c r="AV81" s="134"/>
      <c r="AW81" s="128"/>
      <c r="AX81" s="128"/>
      <c r="AY81" s="132"/>
    </row>
    <row customHeight="true" ht="23.703703703703702" r="82">
      <c r="A82" s="127"/>
      <c r="B82" s="128"/>
      <c r="C82" s="129"/>
      <c r="D82" s="128"/>
      <c r="E82" s="130"/>
      <c r="F82" s="130"/>
      <c r="G82" s="128"/>
      <c r="H82" s="130"/>
      <c r="I82" s="134"/>
      <c r="J82" s="128"/>
      <c r="K82" s="128"/>
      <c r="L82" s="128"/>
      <c r="M82" s="130"/>
      <c r="N82" s="133"/>
      <c r="O82" s="133"/>
      <c r="P82" s="128"/>
      <c r="Q82" s="128"/>
      <c r="R82" s="128"/>
      <c r="S82" s="130"/>
      <c r="T82" s="128"/>
      <c r="U82" s="134"/>
      <c r="V82" s="128"/>
      <c r="W82" s="128"/>
      <c r="X82" s="128"/>
      <c r="Y82" s="128"/>
      <c r="Z82" s="128"/>
      <c r="AA82" s="135"/>
      <c r="AB82" s="128"/>
      <c r="AC82" s="151"/>
      <c r="AD82" s="152"/>
      <c r="AE82" s="128"/>
      <c r="AF82" s="132"/>
      <c r="AG82" s="128"/>
      <c r="AH82" s="153"/>
      <c r="AI82" s="167"/>
      <c r="AJ82" s="130"/>
      <c r="AK82" s="132"/>
      <c r="AL82" s="153"/>
      <c r="AM82" s="130"/>
      <c r="AN82" s="133"/>
      <c r="AO82" s="147"/>
      <c r="AP82" s="147"/>
      <c r="AQ82" s="156"/>
      <c r="AR82" s="132"/>
      <c r="AS82" s="133"/>
      <c r="AT82" s="133"/>
      <c r="AU82" s="133"/>
      <c r="AV82" s="134"/>
      <c r="AW82" s="128"/>
      <c r="AX82" s="128"/>
      <c r="AY82" s="132"/>
    </row>
    <row customHeight="true" ht="23.703703703703702" r="83">
      <c r="A83" s="127"/>
      <c r="B83" s="128"/>
      <c r="C83" s="129"/>
      <c r="D83" s="128"/>
      <c r="E83" s="130"/>
      <c r="F83" s="130"/>
      <c r="G83" s="128"/>
      <c r="H83" s="130"/>
      <c r="I83" s="134"/>
      <c r="J83" s="128"/>
      <c r="K83" s="128"/>
      <c r="L83" s="128"/>
      <c r="M83" s="130"/>
      <c r="N83" s="133"/>
      <c r="O83" s="133"/>
      <c r="P83" s="128"/>
      <c r="Q83" s="128"/>
      <c r="R83" s="128"/>
      <c r="S83" s="130"/>
      <c r="T83" s="128"/>
      <c r="U83" s="134"/>
      <c r="V83" s="128"/>
      <c r="W83" s="128"/>
      <c r="X83" s="128"/>
      <c r="Y83" s="128"/>
      <c r="Z83" s="128"/>
      <c r="AA83" s="135"/>
      <c r="AB83" s="128"/>
      <c r="AC83" s="151"/>
      <c r="AD83" s="152"/>
      <c r="AE83" s="128"/>
      <c r="AF83" s="132"/>
      <c r="AG83" s="128"/>
      <c r="AH83" s="153"/>
      <c r="AI83" s="167"/>
      <c r="AJ83" s="130"/>
      <c r="AK83" s="132"/>
      <c r="AL83" s="153"/>
      <c r="AM83" s="130"/>
      <c r="AN83" s="133"/>
      <c r="AO83" s="147"/>
      <c r="AP83" s="147"/>
      <c r="AQ83" s="156"/>
      <c r="AR83" s="132"/>
      <c r="AS83" s="133"/>
      <c r="AT83" s="133"/>
      <c r="AU83" s="133"/>
      <c r="AV83" s="134"/>
      <c r="AW83" s="128"/>
      <c r="AX83" s="128"/>
      <c r="AY83" s="132"/>
    </row>
    <row customHeight="true" ht="23.703703703703702" r="84">
      <c r="A84" s="127"/>
      <c r="B84" s="128"/>
      <c r="C84" s="129"/>
      <c r="D84" s="128"/>
      <c r="E84" s="130"/>
      <c r="F84" s="130"/>
      <c r="G84" s="128"/>
      <c r="H84" s="130"/>
      <c r="I84" s="134"/>
      <c r="J84" s="128"/>
      <c r="K84" s="128"/>
      <c r="L84" s="128"/>
      <c r="M84" s="130"/>
      <c r="N84" s="133"/>
      <c r="O84" s="133"/>
      <c r="P84" s="128"/>
      <c r="Q84" s="128"/>
      <c r="R84" s="128"/>
      <c r="S84" s="130"/>
      <c r="T84" s="128"/>
      <c r="U84" s="134"/>
      <c r="V84" s="128"/>
      <c r="W84" s="128"/>
      <c r="X84" s="128"/>
      <c r="Y84" s="128"/>
      <c r="Z84" s="128"/>
      <c r="AA84" s="135"/>
      <c r="AB84" s="128"/>
      <c r="AC84" s="151"/>
      <c r="AD84" s="152"/>
      <c r="AE84" s="128"/>
      <c r="AF84" s="132"/>
      <c r="AG84" s="128"/>
      <c r="AH84" s="153"/>
      <c r="AI84" s="167"/>
      <c r="AJ84" s="130"/>
      <c r="AK84" s="132"/>
      <c r="AL84" s="153"/>
      <c r="AM84" s="130"/>
      <c r="AN84" s="133"/>
      <c r="AO84" s="147"/>
      <c r="AP84" s="147"/>
      <c r="AQ84" s="156"/>
      <c r="AR84" s="132"/>
      <c r="AS84" s="133"/>
      <c r="AT84" s="133"/>
      <c r="AU84" s="133"/>
      <c r="AV84" s="134"/>
      <c r="AW84" s="128"/>
      <c r="AX84" s="128"/>
      <c r="AY84" s="132"/>
    </row>
    <row customHeight="true" ht="23.703703703703702" r="85">
      <c r="A85" s="127"/>
      <c r="B85" s="128"/>
      <c r="C85" s="129"/>
      <c r="D85" s="128"/>
      <c r="E85" s="130"/>
      <c r="F85" s="130"/>
      <c r="G85" s="128"/>
      <c r="H85" s="130"/>
      <c r="I85" s="134"/>
      <c r="J85" s="128"/>
      <c r="K85" s="128"/>
      <c r="L85" s="128"/>
      <c r="M85" s="130"/>
      <c r="N85" s="133"/>
      <c r="O85" s="133"/>
      <c r="P85" s="128"/>
      <c r="Q85" s="128"/>
      <c r="R85" s="128"/>
      <c r="S85" s="130"/>
      <c r="T85" s="128"/>
      <c r="U85" s="134"/>
      <c r="V85" s="128"/>
      <c r="W85" s="128"/>
      <c r="X85" s="128"/>
      <c r="Y85" s="128"/>
      <c r="Z85" s="128"/>
      <c r="AA85" s="135"/>
      <c r="AB85" s="128"/>
      <c r="AC85" s="151"/>
      <c r="AD85" s="152"/>
      <c r="AE85" s="128"/>
      <c r="AF85" s="132"/>
      <c r="AG85" s="128"/>
      <c r="AH85" s="153"/>
      <c r="AI85" s="167"/>
      <c r="AJ85" s="130"/>
      <c r="AK85" s="132"/>
      <c r="AL85" s="153"/>
      <c r="AM85" s="130"/>
      <c r="AN85" s="133"/>
      <c r="AO85" s="147"/>
      <c r="AP85" s="147"/>
      <c r="AQ85" s="156"/>
      <c r="AR85" s="132"/>
      <c r="AS85" s="133"/>
      <c r="AT85" s="133"/>
      <c r="AU85" s="133"/>
      <c r="AV85" s="134"/>
      <c r="AW85" s="128"/>
      <c r="AX85" s="128"/>
      <c r="AY85" s="132"/>
    </row>
    <row customHeight="true" ht="23.703703703703702" r="86">
      <c r="A86" s="127"/>
      <c r="B86" s="128"/>
      <c r="C86" s="129"/>
      <c r="D86" s="128"/>
      <c r="E86" s="130"/>
      <c r="F86" s="130"/>
      <c r="G86" s="128"/>
      <c r="H86" s="130"/>
      <c r="I86" s="134"/>
      <c r="J86" s="128"/>
      <c r="K86" s="128"/>
      <c r="L86" s="128"/>
      <c r="M86" s="130"/>
      <c r="N86" s="133"/>
      <c r="O86" s="133"/>
      <c r="P86" s="128"/>
      <c r="Q86" s="128"/>
      <c r="R86" s="128"/>
      <c r="S86" s="130"/>
      <c r="T86" s="128"/>
      <c r="U86" s="134"/>
      <c r="V86" s="128"/>
      <c r="W86" s="128"/>
      <c r="X86" s="128"/>
      <c r="Y86" s="128"/>
      <c r="Z86" s="128"/>
      <c r="AA86" s="135"/>
      <c r="AB86" s="128"/>
      <c r="AC86" s="151"/>
      <c r="AD86" s="152"/>
      <c r="AE86" s="128"/>
      <c r="AF86" s="132"/>
      <c r="AG86" s="128"/>
      <c r="AH86" s="153"/>
      <c r="AI86" s="167"/>
      <c r="AJ86" s="130"/>
      <c r="AK86" s="132"/>
      <c r="AL86" s="153"/>
      <c r="AM86" s="130"/>
      <c r="AN86" s="133"/>
      <c r="AO86" s="147"/>
      <c r="AP86" s="147"/>
      <c r="AQ86" s="156"/>
      <c r="AR86" s="132"/>
      <c r="AS86" s="133"/>
      <c r="AT86" s="133"/>
      <c r="AU86" s="133"/>
      <c r="AV86" s="134"/>
      <c r="AW86" s="128"/>
      <c r="AX86" s="128"/>
      <c r="AY86" s="132"/>
    </row>
    <row customHeight="true" ht="23.703703703703702" r="87">
      <c r="A87" s="127"/>
      <c r="B87" s="128"/>
      <c r="C87" s="129"/>
      <c r="D87" s="128"/>
      <c r="E87" s="130"/>
      <c r="F87" s="130"/>
      <c r="G87" s="128"/>
      <c r="H87" s="130"/>
      <c r="I87" s="134"/>
      <c r="J87" s="128"/>
      <c r="K87" s="128"/>
      <c r="L87" s="128"/>
      <c r="M87" s="130"/>
      <c r="N87" s="133"/>
      <c r="O87" s="133"/>
      <c r="P87" s="128"/>
      <c r="Q87" s="128"/>
      <c r="R87" s="128"/>
      <c r="S87" s="130"/>
      <c r="T87" s="128"/>
      <c r="U87" s="134"/>
      <c r="V87" s="128"/>
      <c r="W87" s="128"/>
      <c r="X87" s="128"/>
      <c r="Y87" s="128"/>
      <c r="Z87" s="128"/>
      <c r="AA87" s="135"/>
      <c r="AB87" s="128"/>
      <c r="AC87" s="151"/>
      <c r="AD87" s="152"/>
      <c r="AE87" s="128"/>
      <c r="AF87" s="132"/>
      <c r="AG87" s="128"/>
      <c r="AH87" s="153"/>
      <c r="AI87" s="167"/>
      <c r="AJ87" s="130"/>
      <c r="AK87" s="132"/>
      <c r="AL87" s="153"/>
      <c r="AM87" s="130"/>
      <c r="AN87" s="133"/>
      <c r="AO87" s="147"/>
      <c r="AP87" s="147"/>
      <c r="AQ87" s="156"/>
      <c r="AR87" s="132"/>
      <c r="AS87" s="133"/>
      <c r="AT87" s="133"/>
      <c r="AU87" s="133"/>
      <c r="AV87" s="134"/>
      <c r="AW87" s="128"/>
      <c r="AX87" s="128"/>
      <c r="AY87" s="132"/>
    </row>
    <row customHeight="true" ht="23.703703703703702" r="88">
      <c r="A88" s="127"/>
      <c r="B88" s="128"/>
      <c r="C88" s="129"/>
      <c r="D88" s="128"/>
      <c r="E88" s="130"/>
      <c r="F88" s="130"/>
      <c r="G88" s="128"/>
      <c r="H88" s="130"/>
      <c r="I88" s="134"/>
      <c r="J88" s="128"/>
      <c r="K88" s="128"/>
      <c r="L88" s="128"/>
      <c r="M88" s="130"/>
      <c r="N88" s="133"/>
      <c r="O88" s="133"/>
      <c r="P88" s="128"/>
      <c r="Q88" s="128"/>
      <c r="R88" s="128"/>
      <c r="S88" s="130"/>
      <c r="T88" s="128"/>
      <c r="U88" s="134"/>
      <c r="V88" s="128"/>
      <c r="W88" s="128"/>
      <c r="X88" s="128"/>
      <c r="Y88" s="128"/>
      <c r="Z88" s="128"/>
      <c r="AA88" s="135"/>
      <c r="AB88" s="128"/>
      <c r="AC88" s="151"/>
      <c r="AD88" s="152"/>
      <c r="AE88" s="128"/>
      <c r="AF88" s="132"/>
      <c r="AG88" s="128"/>
      <c r="AH88" s="153"/>
      <c r="AI88" s="167"/>
      <c r="AJ88" s="130"/>
      <c r="AK88" s="132"/>
      <c r="AL88" s="153"/>
      <c r="AM88" s="130"/>
      <c r="AN88" s="133"/>
      <c r="AO88" s="147"/>
      <c r="AP88" s="147"/>
      <c r="AQ88" s="156"/>
      <c r="AR88" s="132"/>
      <c r="AS88" s="133"/>
      <c r="AT88" s="133"/>
      <c r="AU88" s="133"/>
      <c r="AV88" s="134"/>
      <c r="AW88" s="128"/>
      <c r="AX88" s="128"/>
      <c r="AY88" s="132"/>
    </row>
    <row customHeight="true" ht="23.703703703703702" r="89">
      <c r="A89" s="127"/>
      <c r="B89" s="128"/>
      <c r="C89" s="129"/>
      <c r="D89" s="128"/>
      <c r="E89" s="130"/>
      <c r="F89" s="130"/>
      <c r="G89" s="128"/>
      <c r="H89" s="130"/>
      <c r="I89" s="134"/>
      <c r="J89" s="128"/>
      <c r="K89" s="128"/>
      <c r="L89" s="128"/>
      <c r="M89" s="130"/>
      <c r="N89" s="133"/>
      <c r="O89" s="133"/>
      <c r="P89" s="128"/>
      <c r="Q89" s="128"/>
      <c r="R89" s="128"/>
      <c r="S89" s="130"/>
      <c r="T89" s="128"/>
      <c r="U89" s="134"/>
      <c r="V89" s="128"/>
      <c r="W89" s="128"/>
      <c r="X89" s="128"/>
      <c r="Y89" s="128"/>
      <c r="Z89" s="128"/>
      <c r="AA89" s="135"/>
      <c r="AB89" s="128"/>
      <c r="AC89" s="151"/>
      <c r="AD89" s="152"/>
      <c r="AE89" s="128"/>
      <c r="AF89" s="132"/>
      <c r="AG89" s="128"/>
      <c r="AH89" s="153"/>
      <c r="AI89" s="167"/>
      <c r="AJ89" s="130"/>
      <c r="AK89" s="132"/>
      <c r="AL89" s="153"/>
      <c r="AM89" s="130"/>
      <c r="AN89" s="133"/>
      <c r="AO89" s="147"/>
      <c r="AP89" s="147"/>
      <c r="AQ89" s="156"/>
      <c r="AR89" s="132"/>
      <c r="AS89" s="133"/>
      <c r="AT89" s="133"/>
      <c r="AU89" s="133"/>
      <c r="AV89" s="134"/>
      <c r="AW89" s="128"/>
      <c r="AX89" s="128"/>
      <c r="AY89" s="132"/>
    </row>
    <row customHeight="true" ht="23.703703703703702" r="90">
      <c r="A90" s="127"/>
      <c r="B90" s="128"/>
      <c r="C90" s="129"/>
      <c r="D90" s="128"/>
      <c r="E90" s="130"/>
      <c r="F90" s="130"/>
      <c r="G90" s="128"/>
      <c r="H90" s="130"/>
      <c r="I90" s="134"/>
      <c r="J90" s="128"/>
      <c r="K90" s="128"/>
      <c r="L90" s="128"/>
      <c r="M90" s="130"/>
      <c r="N90" s="133"/>
      <c r="O90" s="133"/>
      <c r="P90" s="128"/>
      <c r="Q90" s="128"/>
      <c r="R90" s="128"/>
      <c r="S90" s="130"/>
      <c r="T90" s="128"/>
      <c r="U90" s="134"/>
      <c r="V90" s="128"/>
      <c r="W90" s="128"/>
      <c r="X90" s="128"/>
      <c r="Y90" s="128"/>
      <c r="Z90" s="128"/>
      <c r="AA90" s="135"/>
      <c r="AB90" s="128"/>
      <c r="AC90" s="151"/>
      <c r="AD90" s="152"/>
      <c r="AE90" s="128"/>
      <c r="AF90" s="132"/>
      <c r="AG90" s="128"/>
      <c r="AH90" s="153"/>
      <c r="AI90" s="167"/>
      <c r="AJ90" s="130"/>
      <c r="AK90" s="132"/>
      <c r="AL90" s="153"/>
      <c r="AM90" s="130"/>
      <c r="AN90" s="133"/>
      <c r="AO90" s="147"/>
      <c r="AP90" s="147"/>
      <c r="AQ90" s="156"/>
      <c r="AR90" s="132"/>
      <c r="AS90" s="133"/>
      <c r="AT90" s="133"/>
      <c r="AU90" s="133"/>
      <c r="AV90" s="134"/>
      <c r="AW90" s="128"/>
      <c r="AX90" s="128"/>
      <c r="AY90" s="132"/>
    </row>
    <row customHeight="true" ht="23.703703703703702" r="91">
      <c r="A91" s="127"/>
      <c r="B91" s="128"/>
      <c r="C91" s="129"/>
      <c r="D91" s="128"/>
      <c r="E91" s="130"/>
      <c r="F91" s="130"/>
      <c r="G91" s="128"/>
      <c r="H91" s="130"/>
      <c r="I91" s="134"/>
      <c r="J91" s="128"/>
      <c r="K91" s="128"/>
      <c r="L91" s="128"/>
      <c r="M91" s="130"/>
      <c r="N91" s="133"/>
      <c r="O91" s="133"/>
      <c r="P91" s="128"/>
      <c r="Q91" s="128"/>
      <c r="R91" s="128"/>
      <c r="S91" s="130"/>
      <c r="T91" s="128"/>
      <c r="U91" s="134"/>
      <c r="V91" s="128"/>
      <c r="W91" s="128"/>
      <c r="X91" s="128"/>
      <c r="Y91" s="128"/>
      <c r="Z91" s="128"/>
      <c r="AA91" s="135"/>
      <c r="AB91" s="128"/>
      <c r="AC91" s="151"/>
      <c r="AD91" s="152"/>
      <c r="AE91" s="128"/>
      <c r="AF91" s="132"/>
      <c r="AG91" s="128"/>
      <c r="AH91" s="153"/>
      <c r="AI91" s="167"/>
      <c r="AJ91" s="130"/>
      <c r="AK91" s="132"/>
      <c r="AL91" s="153"/>
      <c r="AM91" s="130"/>
      <c r="AN91" s="133"/>
      <c r="AO91" s="147"/>
      <c r="AP91" s="147"/>
      <c r="AQ91" s="156"/>
      <c r="AR91" s="132"/>
      <c r="AS91" s="133"/>
      <c r="AT91" s="133"/>
      <c r="AU91" s="133"/>
      <c r="AV91" s="134"/>
      <c r="AW91" s="128"/>
      <c r="AX91" s="128"/>
      <c r="AY91" s="132"/>
    </row>
    <row customHeight="true" ht="23.703703703703702" r="92">
      <c r="A92" s="127"/>
      <c r="B92" s="128"/>
      <c r="C92" s="129"/>
      <c r="D92" s="128"/>
      <c r="E92" s="130"/>
      <c r="F92" s="130"/>
      <c r="G92" s="128"/>
      <c r="H92" s="130"/>
      <c r="I92" s="134"/>
      <c r="J92" s="128"/>
      <c r="K92" s="128"/>
      <c r="L92" s="128"/>
      <c r="M92" s="130"/>
      <c r="N92" s="133"/>
      <c r="O92" s="133"/>
      <c r="P92" s="128"/>
      <c r="Q92" s="128"/>
      <c r="R92" s="128"/>
      <c r="S92" s="130"/>
      <c r="T92" s="128"/>
      <c r="U92" s="134"/>
      <c r="V92" s="128"/>
      <c r="W92" s="128"/>
      <c r="X92" s="128"/>
      <c r="Y92" s="128"/>
      <c r="Z92" s="128"/>
      <c r="AA92" s="135"/>
      <c r="AB92" s="128"/>
      <c r="AC92" s="151"/>
      <c r="AD92" s="152"/>
      <c r="AE92" s="128"/>
      <c r="AF92" s="132"/>
      <c r="AG92" s="128"/>
      <c r="AH92" s="153"/>
      <c r="AI92" s="167"/>
      <c r="AJ92" s="130"/>
      <c r="AK92" s="132"/>
      <c r="AL92" s="153"/>
      <c r="AM92" s="130"/>
      <c r="AN92" s="133"/>
      <c r="AO92" s="147"/>
      <c r="AP92" s="147"/>
      <c r="AQ92" s="156"/>
      <c r="AR92" s="132"/>
      <c r="AS92" s="133"/>
      <c r="AT92" s="133"/>
      <c r="AU92" s="133"/>
      <c r="AV92" s="134"/>
      <c r="AW92" s="128"/>
      <c r="AX92" s="128"/>
      <c r="AY92" s="132"/>
    </row>
    <row customHeight="true" ht="23.703703703703702" r="93">
      <c r="A93" s="127"/>
      <c r="B93" s="128"/>
      <c r="C93" s="129"/>
      <c r="D93" s="128"/>
      <c r="E93" s="130"/>
      <c r="F93" s="130"/>
      <c r="G93" s="128"/>
      <c r="H93" s="130"/>
      <c r="I93" s="134"/>
      <c r="J93" s="128"/>
      <c r="K93" s="128"/>
      <c r="L93" s="128"/>
      <c r="M93" s="130"/>
      <c r="N93" s="133"/>
      <c r="O93" s="133"/>
      <c r="P93" s="128"/>
      <c r="Q93" s="128"/>
      <c r="R93" s="128"/>
      <c r="S93" s="130"/>
      <c r="T93" s="128"/>
      <c r="U93" s="134"/>
      <c r="V93" s="128"/>
      <c r="W93" s="128"/>
      <c r="X93" s="128"/>
      <c r="Y93" s="128"/>
      <c r="Z93" s="128"/>
      <c r="AA93" s="135"/>
      <c r="AB93" s="128"/>
      <c r="AC93" s="151"/>
      <c r="AD93" s="152"/>
      <c r="AE93" s="128"/>
      <c r="AF93" s="132"/>
      <c r="AG93" s="128"/>
      <c r="AH93" s="153"/>
      <c r="AI93" s="167"/>
      <c r="AJ93" s="130"/>
      <c r="AK93" s="132"/>
      <c r="AL93" s="153"/>
      <c r="AM93" s="130"/>
      <c r="AN93" s="133"/>
      <c r="AO93" s="147"/>
      <c r="AP93" s="147"/>
      <c r="AQ93" s="156"/>
      <c r="AR93" s="132"/>
      <c r="AS93" s="133"/>
      <c r="AT93" s="133"/>
      <c r="AU93" s="133"/>
      <c r="AV93" s="134"/>
      <c r="AW93" s="128"/>
      <c r="AX93" s="128"/>
      <c r="AY93" s="132"/>
    </row>
    <row customHeight="true" ht="23.703703703703702" r="94">
      <c r="A94" s="127"/>
      <c r="B94" s="128"/>
      <c r="C94" s="129"/>
      <c r="D94" s="128"/>
      <c r="E94" s="130"/>
      <c r="F94" s="130"/>
      <c r="G94" s="128"/>
      <c r="H94" s="130"/>
      <c r="I94" s="134"/>
      <c r="J94" s="128"/>
      <c r="K94" s="128"/>
      <c r="L94" s="128"/>
      <c r="M94" s="130"/>
      <c r="N94" s="133"/>
      <c r="O94" s="133"/>
      <c r="P94" s="128"/>
      <c r="Q94" s="128"/>
      <c r="R94" s="128"/>
      <c r="S94" s="130"/>
      <c r="T94" s="128"/>
      <c r="U94" s="134"/>
      <c r="V94" s="128"/>
      <c r="W94" s="128"/>
      <c r="X94" s="128"/>
      <c r="Y94" s="128"/>
      <c r="Z94" s="128"/>
      <c r="AA94" s="135"/>
      <c r="AB94" s="128"/>
      <c r="AC94" s="151"/>
      <c r="AD94" s="152"/>
      <c r="AE94" s="128"/>
      <c r="AF94" s="132"/>
      <c r="AG94" s="128"/>
      <c r="AH94" s="153"/>
      <c r="AI94" s="167"/>
      <c r="AJ94" s="130"/>
      <c r="AK94" s="132"/>
      <c r="AL94" s="153"/>
      <c r="AM94" s="130"/>
      <c r="AN94" s="133"/>
      <c r="AO94" s="147"/>
      <c r="AP94" s="147"/>
      <c r="AQ94" s="156"/>
      <c r="AR94" s="132"/>
      <c r="AS94" s="133"/>
      <c r="AT94" s="133"/>
      <c r="AU94" s="133"/>
      <c r="AV94" s="134"/>
      <c r="AW94" s="128"/>
      <c r="AX94" s="128"/>
      <c r="AY94" s="132"/>
    </row>
    <row customHeight="true" ht="23.703703703703702" r="95">
      <c r="A95" s="127"/>
      <c r="B95" s="128"/>
      <c r="C95" s="129"/>
      <c r="D95" s="128"/>
      <c r="E95" s="130"/>
      <c r="F95" s="130"/>
      <c r="G95" s="128"/>
      <c r="H95" s="130"/>
      <c r="I95" s="134"/>
      <c r="J95" s="128"/>
      <c r="K95" s="128"/>
      <c r="L95" s="128"/>
      <c r="M95" s="130"/>
      <c r="N95" s="133"/>
      <c r="O95" s="133"/>
      <c r="P95" s="128"/>
      <c r="Q95" s="128"/>
      <c r="R95" s="128"/>
      <c r="S95" s="130"/>
      <c r="T95" s="128"/>
      <c r="U95" s="134"/>
      <c r="V95" s="128"/>
      <c r="W95" s="128"/>
      <c r="X95" s="128"/>
      <c r="Y95" s="128"/>
      <c r="Z95" s="128"/>
      <c r="AA95" s="135"/>
      <c r="AB95" s="128"/>
      <c r="AC95" s="151"/>
      <c r="AD95" s="152"/>
      <c r="AE95" s="128"/>
      <c r="AF95" s="132"/>
      <c r="AG95" s="128"/>
      <c r="AH95" s="153"/>
      <c r="AI95" s="167"/>
      <c r="AJ95" s="130"/>
      <c r="AK95" s="132"/>
      <c r="AL95" s="153"/>
      <c r="AM95" s="130"/>
      <c r="AN95" s="133"/>
      <c r="AO95" s="147"/>
      <c r="AP95" s="147"/>
      <c r="AQ95" s="156"/>
      <c r="AR95" s="132"/>
      <c r="AS95" s="133"/>
      <c r="AT95" s="133"/>
      <c r="AU95" s="133"/>
      <c r="AV95" s="134"/>
      <c r="AW95" s="128"/>
      <c r="AX95" s="128"/>
      <c r="AY95" s="132"/>
    </row>
    <row customHeight="true" ht="23.703703703703702" r="96">
      <c r="A96" s="127"/>
      <c r="B96" s="128"/>
      <c r="C96" s="129"/>
      <c r="D96" s="128"/>
      <c r="E96" s="130"/>
      <c r="F96" s="130"/>
      <c r="G96" s="128"/>
      <c r="H96" s="130"/>
      <c r="I96" s="134"/>
      <c r="J96" s="128"/>
      <c r="K96" s="128"/>
      <c r="L96" s="128"/>
      <c r="M96" s="130"/>
      <c r="N96" s="133"/>
      <c r="O96" s="133"/>
      <c r="P96" s="128"/>
      <c r="Q96" s="128"/>
      <c r="R96" s="128"/>
      <c r="S96" s="130"/>
      <c r="T96" s="128"/>
      <c r="U96" s="134"/>
      <c r="V96" s="128"/>
      <c r="W96" s="128"/>
      <c r="X96" s="128"/>
      <c r="Y96" s="128"/>
      <c r="Z96" s="128"/>
      <c r="AA96" s="135"/>
      <c r="AB96" s="128"/>
      <c r="AC96" s="151"/>
      <c r="AD96" s="152"/>
      <c r="AE96" s="128"/>
      <c r="AF96" s="132"/>
      <c r="AG96" s="128"/>
      <c r="AH96" s="153"/>
      <c r="AI96" s="167"/>
      <c r="AJ96" s="130"/>
      <c r="AK96" s="132"/>
      <c r="AL96" s="153"/>
      <c r="AM96" s="130"/>
      <c r="AN96" s="133"/>
      <c r="AO96" s="147"/>
      <c r="AP96" s="147"/>
      <c r="AQ96" s="156"/>
      <c r="AR96" s="132"/>
      <c r="AS96" s="133"/>
      <c r="AT96" s="133"/>
      <c r="AU96" s="133"/>
      <c r="AV96" s="134"/>
      <c r="AW96" s="128"/>
      <c r="AX96" s="128"/>
      <c r="AY96" s="132"/>
    </row>
    <row customHeight="true" ht="23.703703703703702" r="97">
      <c r="A97" s="127"/>
      <c r="B97" s="128"/>
      <c r="C97" s="129"/>
      <c r="D97" s="128"/>
      <c r="E97" s="130"/>
      <c r="F97" s="130"/>
      <c r="G97" s="128"/>
      <c r="H97" s="130"/>
      <c r="I97" s="134"/>
      <c r="J97" s="128"/>
      <c r="K97" s="128"/>
      <c r="L97" s="128"/>
      <c r="M97" s="130"/>
      <c r="N97" s="133"/>
      <c r="O97" s="133"/>
      <c r="P97" s="128"/>
      <c r="Q97" s="128"/>
      <c r="R97" s="128"/>
      <c r="S97" s="130"/>
      <c r="T97" s="128"/>
      <c r="U97" s="134"/>
      <c r="V97" s="128"/>
      <c r="W97" s="128"/>
      <c r="X97" s="128"/>
      <c r="Y97" s="128"/>
      <c r="Z97" s="128"/>
      <c r="AA97" s="135"/>
      <c r="AB97" s="128"/>
      <c r="AC97" s="151"/>
      <c r="AD97" s="152"/>
      <c r="AE97" s="128"/>
      <c r="AF97" s="132"/>
      <c r="AG97" s="128"/>
      <c r="AH97" s="153"/>
      <c r="AI97" s="167"/>
      <c r="AJ97" s="130"/>
      <c r="AK97" s="132"/>
      <c r="AL97" s="153"/>
      <c r="AM97" s="130"/>
      <c r="AN97" s="133"/>
      <c r="AO97" s="147"/>
      <c r="AP97" s="147"/>
      <c r="AQ97" s="156"/>
      <c r="AR97" s="132"/>
      <c r="AS97" s="133"/>
      <c r="AT97" s="133"/>
      <c r="AU97" s="133"/>
      <c r="AV97" s="134"/>
      <c r="AW97" s="128"/>
      <c r="AX97" s="128"/>
      <c r="AY97" s="132"/>
    </row>
    <row customHeight="true" ht="23.703703703703702" r="98">
      <c r="A98" s="127"/>
      <c r="B98" s="128"/>
      <c r="C98" s="129"/>
      <c r="D98" s="128"/>
      <c r="E98" s="130"/>
      <c r="F98" s="130"/>
      <c r="G98" s="128"/>
      <c r="H98" s="130"/>
      <c r="I98" s="134"/>
      <c r="J98" s="128"/>
      <c r="K98" s="128"/>
      <c r="L98" s="128"/>
      <c r="M98" s="130"/>
      <c r="N98" s="133"/>
      <c r="O98" s="133"/>
      <c r="P98" s="128"/>
      <c r="Q98" s="128"/>
      <c r="R98" s="128"/>
      <c r="S98" s="130"/>
      <c r="T98" s="128"/>
      <c r="U98" s="134"/>
      <c r="V98" s="128"/>
      <c r="W98" s="128"/>
      <c r="X98" s="128"/>
      <c r="Y98" s="128"/>
      <c r="Z98" s="128"/>
      <c r="AA98" s="135"/>
      <c r="AB98" s="128"/>
      <c r="AC98" s="151"/>
      <c r="AD98" s="152"/>
      <c r="AE98" s="128"/>
      <c r="AF98" s="132"/>
      <c r="AG98" s="128"/>
      <c r="AH98" s="153"/>
      <c r="AI98" s="167"/>
      <c r="AJ98" s="130"/>
      <c r="AK98" s="132"/>
      <c r="AL98" s="153"/>
      <c r="AM98" s="130"/>
      <c r="AN98" s="133"/>
      <c r="AO98" s="147"/>
      <c r="AP98" s="147"/>
      <c r="AQ98" s="156"/>
      <c r="AR98" s="132"/>
      <c r="AS98" s="133"/>
      <c r="AT98" s="133"/>
      <c r="AU98" s="133"/>
      <c r="AV98" s="134"/>
      <c r="AW98" s="128"/>
      <c r="AX98" s="128"/>
      <c r="AY98" s="132"/>
    </row>
    <row customHeight="true" ht="23.703703703703702" r="99">
      <c r="A99" s="127"/>
      <c r="B99" s="128"/>
      <c r="C99" s="129"/>
      <c r="D99" s="128"/>
      <c r="E99" s="130"/>
      <c r="F99" s="130"/>
      <c r="G99" s="128"/>
      <c r="H99" s="130"/>
      <c r="I99" s="134"/>
      <c r="J99" s="128"/>
      <c r="K99" s="128"/>
      <c r="L99" s="128"/>
      <c r="M99" s="130"/>
      <c r="N99" s="133"/>
      <c r="O99" s="133"/>
      <c r="P99" s="128"/>
      <c r="Q99" s="128"/>
      <c r="R99" s="128"/>
      <c r="S99" s="130"/>
      <c r="T99" s="128"/>
      <c r="U99" s="134"/>
      <c r="V99" s="128"/>
      <c r="W99" s="128"/>
      <c r="X99" s="128"/>
      <c r="Y99" s="128"/>
      <c r="Z99" s="128"/>
      <c r="AA99" s="135"/>
      <c r="AB99" s="128"/>
      <c r="AC99" s="151"/>
      <c r="AD99" s="152"/>
      <c r="AE99" s="128"/>
      <c r="AF99" s="132"/>
      <c r="AG99" s="128"/>
      <c r="AH99" s="153"/>
      <c r="AI99" s="167"/>
      <c r="AJ99" s="130"/>
      <c r="AK99" s="132"/>
      <c r="AL99" s="153"/>
      <c r="AM99" s="130"/>
      <c r="AN99" s="133"/>
      <c r="AO99" s="147"/>
      <c r="AP99" s="147"/>
      <c r="AQ99" s="156"/>
      <c r="AR99" s="132"/>
      <c r="AS99" s="133"/>
      <c r="AT99" s="133"/>
      <c r="AU99" s="133"/>
      <c r="AV99" s="134"/>
      <c r="AW99" s="128"/>
      <c r="AX99" s="128"/>
      <c r="AY99" s="132"/>
    </row>
    <row customHeight="true" ht="23.703703703703702" r="100">
      <c r="A100" s="127"/>
      <c r="B100" s="128"/>
      <c r="C100" s="129"/>
      <c r="D100" s="128"/>
      <c r="E100" s="130"/>
      <c r="F100" s="130"/>
      <c r="G100" s="128"/>
      <c r="H100" s="130"/>
      <c r="I100" s="134"/>
      <c r="J100" s="128"/>
      <c r="K100" s="128"/>
      <c r="L100" s="128"/>
      <c r="M100" s="130"/>
      <c r="N100" s="133"/>
      <c r="O100" s="133"/>
      <c r="P100" s="128"/>
      <c r="Q100" s="128"/>
      <c r="R100" s="128"/>
      <c r="S100" s="130"/>
      <c r="T100" s="128"/>
      <c r="U100" s="134"/>
      <c r="V100" s="128"/>
      <c r="W100" s="128"/>
      <c r="X100" s="128"/>
      <c r="Y100" s="128"/>
      <c r="Z100" s="128"/>
      <c r="AA100" s="135"/>
      <c r="AB100" s="128"/>
      <c r="AC100" s="151"/>
      <c r="AD100" s="152"/>
      <c r="AE100" s="128"/>
      <c r="AF100" s="132"/>
      <c r="AG100" s="128"/>
      <c r="AH100" s="153"/>
      <c r="AI100" s="167"/>
      <c r="AJ100" s="130"/>
      <c r="AK100" s="132"/>
      <c r="AL100" s="153"/>
      <c r="AM100" s="130"/>
      <c r="AN100" s="133"/>
      <c r="AO100" s="147"/>
      <c r="AP100" s="147"/>
      <c r="AQ100" s="156"/>
      <c r="AR100" s="132"/>
      <c r="AS100" s="133"/>
      <c r="AT100" s="133"/>
      <c r="AU100" s="133"/>
      <c r="AV100" s="134"/>
      <c r="AW100" s="128"/>
      <c r="AX100" s="128"/>
      <c r="AY100" s="132"/>
    </row>
    <row customHeight="true" ht="23.703703703703702" r="101">
      <c r="A101" s="127"/>
      <c r="B101" s="128"/>
      <c r="C101" s="129"/>
      <c r="D101" s="128"/>
      <c r="E101" s="130"/>
      <c r="F101" s="130"/>
      <c r="G101" s="128"/>
      <c r="H101" s="130"/>
      <c r="I101" s="134"/>
      <c r="J101" s="128"/>
      <c r="K101" s="128"/>
      <c r="L101" s="128"/>
      <c r="M101" s="130"/>
      <c r="N101" s="133"/>
      <c r="O101" s="133"/>
      <c r="P101" s="128"/>
      <c r="Q101" s="128"/>
      <c r="R101" s="128"/>
      <c r="S101" s="130"/>
      <c r="T101" s="128"/>
      <c r="U101" s="134"/>
      <c r="V101" s="128"/>
      <c r="W101" s="128"/>
      <c r="X101" s="128"/>
      <c r="Y101" s="128"/>
      <c r="Z101" s="128"/>
      <c r="AA101" s="135"/>
      <c r="AB101" s="128"/>
      <c r="AC101" s="151"/>
      <c r="AD101" s="152"/>
      <c r="AE101" s="128"/>
      <c r="AF101" s="132"/>
      <c r="AG101" s="128"/>
      <c r="AH101" s="153"/>
      <c r="AI101" s="167"/>
      <c r="AJ101" s="130"/>
      <c r="AK101" s="132"/>
      <c r="AL101" s="153"/>
      <c r="AM101" s="130"/>
      <c r="AN101" s="133"/>
      <c r="AO101" s="147"/>
      <c r="AP101" s="147"/>
      <c r="AQ101" s="156"/>
      <c r="AR101" s="132"/>
      <c r="AS101" s="133"/>
      <c r="AT101" s="133"/>
      <c r="AU101" s="133"/>
      <c r="AV101" s="134"/>
      <c r="AW101" s="128"/>
      <c r="AX101" s="128"/>
      <c r="AY101" s="132"/>
    </row>
    <row customHeight="true" ht="23.703703703703702" r="102">
      <c r="A102" s="127"/>
      <c r="B102" s="128"/>
      <c r="C102" s="129"/>
      <c r="D102" s="128"/>
      <c r="E102" s="130"/>
      <c r="F102" s="130"/>
      <c r="G102" s="128"/>
      <c r="H102" s="130"/>
      <c r="I102" s="134"/>
      <c r="J102" s="128"/>
      <c r="K102" s="128"/>
      <c r="L102" s="128"/>
      <c r="M102" s="130"/>
      <c r="N102" s="133"/>
      <c r="O102" s="133"/>
      <c r="P102" s="128"/>
      <c r="Q102" s="128"/>
      <c r="R102" s="128"/>
      <c r="S102" s="130"/>
      <c r="T102" s="128"/>
      <c r="U102" s="134"/>
      <c r="V102" s="128"/>
      <c r="W102" s="128"/>
      <c r="X102" s="128"/>
      <c r="Y102" s="128"/>
      <c r="Z102" s="128"/>
      <c r="AA102" s="135"/>
      <c r="AB102" s="128"/>
      <c r="AC102" s="151"/>
      <c r="AD102" s="152"/>
      <c r="AE102" s="128"/>
      <c r="AF102" s="132"/>
      <c r="AG102" s="128"/>
      <c r="AH102" s="153"/>
      <c r="AI102" s="167"/>
      <c r="AJ102" s="130"/>
      <c r="AK102" s="132"/>
      <c r="AL102" s="153"/>
      <c r="AM102" s="130"/>
      <c r="AN102" s="133"/>
      <c r="AO102" s="147"/>
      <c r="AP102" s="147"/>
      <c r="AQ102" s="156"/>
      <c r="AR102" s="132"/>
      <c r="AS102" s="133"/>
      <c r="AT102" s="133"/>
      <c r="AU102" s="133"/>
      <c r="AV102" s="134"/>
      <c r="AW102" s="128"/>
      <c r="AX102" s="128"/>
      <c r="AY102" s="132"/>
    </row>
    <row customHeight="true" ht="23.703703703703702" r="103">
      <c r="A103" s="127"/>
      <c r="B103" s="128"/>
      <c r="C103" s="129"/>
      <c r="D103" s="128"/>
      <c r="E103" s="130"/>
      <c r="F103" s="130"/>
      <c r="G103" s="128"/>
      <c r="H103" s="130"/>
      <c r="I103" s="134"/>
      <c r="J103" s="128"/>
      <c r="K103" s="128"/>
      <c r="L103" s="128"/>
      <c r="M103" s="130"/>
      <c r="N103" s="133"/>
      <c r="O103" s="133"/>
      <c r="P103" s="128"/>
      <c r="Q103" s="128"/>
      <c r="R103" s="128"/>
      <c r="S103" s="130"/>
      <c r="T103" s="128"/>
      <c r="U103" s="134"/>
      <c r="V103" s="128"/>
      <c r="W103" s="128"/>
      <c r="X103" s="128"/>
      <c r="Y103" s="128"/>
      <c r="Z103" s="128"/>
      <c r="AA103" s="135"/>
      <c r="AB103" s="128"/>
      <c r="AC103" s="151"/>
      <c r="AD103" s="152"/>
      <c r="AE103" s="128"/>
      <c r="AF103" s="132"/>
      <c r="AG103" s="128"/>
      <c r="AH103" s="153"/>
      <c r="AI103" s="167"/>
      <c r="AJ103" s="130"/>
      <c r="AK103" s="132"/>
      <c r="AL103" s="153"/>
      <c r="AM103" s="130"/>
      <c r="AN103" s="133"/>
      <c r="AO103" s="147"/>
      <c r="AP103" s="147"/>
      <c r="AQ103" s="156"/>
      <c r="AR103" s="132"/>
      <c r="AS103" s="133"/>
      <c r="AT103" s="133"/>
      <c r="AU103" s="133"/>
      <c r="AV103" s="134"/>
      <c r="AW103" s="128"/>
      <c r="AX103" s="128"/>
      <c r="AY103" s="132"/>
    </row>
    <row customHeight="true" ht="23.703703703703702" r="104">
      <c r="A104" s="127"/>
      <c r="B104" s="128"/>
      <c r="C104" s="129"/>
      <c r="D104" s="128"/>
      <c r="E104" s="130"/>
      <c r="F104" s="130"/>
      <c r="G104" s="128"/>
      <c r="H104" s="130"/>
      <c r="I104" s="134"/>
      <c r="J104" s="128"/>
      <c r="K104" s="128"/>
      <c r="L104" s="128"/>
      <c r="M104" s="130"/>
      <c r="N104" s="133"/>
      <c r="O104" s="133"/>
      <c r="P104" s="128"/>
      <c r="Q104" s="128"/>
      <c r="R104" s="128"/>
      <c r="S104" s="130"/>
      <c r="T104" s="128"/>
      <c r="U104" s="134"/>
      <c r="V104" s="128"/>
      <c r="W104" s="128"/>
      <c r="X104" s="128"/>
      <c r="Y104" s="128"/>
      <c r="Z104" s="128"/>
      <c r="AA104" s="135"/>
      <c r="AB104" s="128"/>
      <c r="AC104" s="151"/>
      <c r="AD104" s="152"/>
      <c r="AE104" s="128"/>
      <c r="AF104" s="132"/>
      <c r="AG104" s="128"/>
      <c r="AH104" s="153"/>
      <c r="AI104" s="167"/>
      <c r="AJ104" s="130"/>
      <c r="AK104" s="132"/>
      <c r="AL104" s="153"/>
      <c r="AM104" s="130"/>
      <c r="AN104" s="133"/>
      <c r="AO104" s="147"/>
      <c r="AP104" s="147"/>
      <c r="AQ104" s="156"/>
      <c r="AR104" s="132"/>
      <c r="AS104" s="133"/>
      <c r="AT104" s="133"/>
      <c r="AU104" s="133"/>
      <c r="AV104" s="134"/>
      <c r="AW104" s="128"/>
      <c r="AX104" s="128"/>
      <c r="AY104" s="132"/>
    </row>
    <row customHeight="true" ht="23.703703703703702" r="105">
      <c r="A105" s="127"/>
      <c r="B105" s="128"/>
      <c r="C105" s="129"/>
      <c r="D105" s="128"/>
      <c r="E105" s="130"/>
      <c r="F105" s="130"/>
      <c r="G105" s="128"/>
      <c r="H105" s="130"/>
      <c r="I105" s="134"/>
      <c r="J105" s="128"/>
      <c r="K105" s="128"/>
      <c r="L105" s="128"/>
      <c r="M105" s="130"/>
      <c r="N105" s="133"/>
      <c r="O105" s="133"/>
      <c r="P105" s="128"/>
      <c r="Q105" s="128"/>
      <c r="R105" s="128"/>
      <c r="S105" s="130"/>
      <c r="T105" s="128"/>
      <c r="U105" s="134"/>
      <c r="V105" s="128"/>
      <c r="W105" s="128"/>
      <c r="X105" s="128"/>
      <c r="Y105" s="128"/>
      <c r="Z105" s="128"/>
      <c r="AA105" s="135"/>
      <c r="AB105" s="128"/>
      <c r="AC105" s="151"/>
      <c r="AD105" s="152"/>
      <c r="AE105" s="128"/>
      <c r="AF105" s="132"/>
      <c r="AG105" s="128"/>
      <c r="AH105" s="153"/>
      <c r="AI105" s="167"/>
      <c r="AJ105" s="130"/>
      <c r="AK105" s="132"/>
      <c r="AL105" s="153"/>
      <c r="AM105" s="130"/>
      <c r="AN105" s="133"/>
      <c r="AO105" s="147"/>
      <c r="AP105" s="147"/>
      <c r="AQ105" s="156"/>
      <c r="AR105" s="132"/>
      <c r="AS105" s="133"/>
      <c r="AT105" s="133"/>
      <c r="AU105" s="133"/>
      <c r="AV105" s="134"/>
      <c r="AW105" s="128"/>
      <c r="AX105" s="128"/>
      <c r="AY105" s="132"/>
    </row>
    <row customHeight="true" ht="23.703703703703702" r="106">
      <c r="A106" s="127"/>
      <c r="B106" s="128"/>
      <c r="C106" s="129"/>
      <c r="D106" s="128"/>
      <c r="E106" s="130"/>
      <c r="F106" s="130"/>
      <c r="G106" s="128"/>
      <c r="H106" s="130"/>
      <c r="I106" s="134"/>
      <c r="J106" s="128"/>
      <c r="K106" s="128"/>
      <c r="L106" s="128"/>
      <c r="M106" s="130"/>
      <c r="N106" s="133"/>
      <c r="O106" s="133"/>
      <c r="P106" s="128"/>
      <c r="Q106" s="128"/>
      <c r="R106" s="128"/>
      <c r="S106" s="130"/>
      <c r="T106" s="128"/>
      <c r="U106" s="134"/>
      <c r="V106" s="128"/>
      <c r="W106" s="128"/>
      <c r="X106" s="128"/>
      <c r="Y106" s="128"/>
      <c r="Z106" s="128"/>
      <c r="AA106" s="135"/>
      <c r="AB106" s="128"/>
      <c r="AC106" s="151"/>
      <c r="AD106" s="152"/>
      <c r="AE106" s="128"/>
      <c r="AF106" s="132"/>
      <c r="AG106" s="128"/>
      <c r="AH106" s="153"/>
      <c r="AI106" s="167"/>
      <c r="AJ106" s="130"/>
      <c r="AK106" s="132"/>
      <c r="AL106" s="153"/>
      <c r="AM106" s="130"/>
      <c r="AN106" s="133"/>
      <c r="AO106" s="147"/>
      <c r="AP106" s="147"/>
      <c r="AQ106" s="156"/>
      <c r="AR106" s="132"/>
      <c r="AS106" s="133"/>
      <c r="AT106" s="133"/>
      <c r="AU106" s="133"/>
      <c r="AV106" s="134"/>
      <c r="AW106" s="128"/>
      <c r="AX106" s="128"/>
      <c r="AY106" s="132"/>
    </row>
    <row customHeight="true" ht="23.703703703703702" r="107">
      <c r="A107" s="127"/>
      <c r="B107" s="128"/>
      <c r="C107" s="129"/>
      <c r="D107" s="128"/>
      <c r="E107" s="130"/>
      <c r="F107" s="130"/>
      <c r="G107" s="128"/>
      <c r="H107" s="130"/>
      <c r="I107" s="134"/>
      <c r="J107" s="128"/>
      <c r="K107" s="128"/>
      <c r="L107" s="128"/>
      <c r="M107" s="130"/>
      <c r="N107" s="133"/>
      <c r="O107" s="133"/>
      <c r="P107" s="128"/>
      <c r="Q107" s="128"/>
      <c r="R107" s="128"/>
      <c r="S107" s="130"/>
      <c r="T107" s="128"/>
      <c r="U107" s="134"/>
      <c r="V107" s="128"/>
      <c r="W107" s="128"/>
      <c r="X107" s="128"/>
      <c r="Y107" s="128"/>
      <c r="Z107" s="128"/>
      <c r="AA107" s="135"/>
      <c r="AB107" s="128"/>
      <c r="AC107" s="151"/>
      <c r="AD107" s="152"/>
      <c r="AE107" s="128"/>
      <c r="AF107" s="132"/>
      <c r="AG107" s="128"/>
      <c r="AH107" s="153"/>
      <c r="AI107" s="167"/>
      <c r="AJ107" s="130"/>
      <c r="AK107" s="132"/>
      <c r="AL107" s="153"/>
      <c r="AM107" s="130"/>
      <c r="AN107" s="133"/>
      <c r="AO107" s="147"/>
      <c r="AP107" s="147"/>
      <c r="AQ107" s="156"/>
      <c r="AR107" s="132"/>
      <c r="AS107" s="133"/>
      <c r="AT107" s="133"/>
      <c r="AU107" s="133"/>
      <c r="AV107" s="134"/>
      <c r="AW107" s="128"/>
      <c r="AX107" s="128"/>
      <c r="AY107" s="132"/>
    </row>
    <row customHeight="true" ht="23.703703703703702" r="108">
      <c r="A108" s="127"/>
      <c r="B108" s="128"/>
      <c r="C108" s="129"/>
      <c r="D108" s="128"/>
      <c r="E108" s="130"/>
      <c r="F108" s="130"/>
      <c r="G108" s="128"/>
      <c r="H108" s="130"/>
      <c r="I108" s="134"/>
      <c r="J108" s="128"/>
      <c r="K108" s="128"/>
      <c r="L108" s="128"/>
      <c r="M108" s="130"/>
      <c r="N108" s="133"/>
      <c r="O108" s="133"/>
      <c r="P108" s="128"/>
      <c r="Q108" s="128"/>
      <c r="R108" s="128"/>
      <c r="S108" s="130"/>
      <c r="T108" s="128"/>
      <c r="U108" s="134"/>
      <c r="V108" s="128"/>
      <c r="W108" s="128"/>
      <c r="X108" s="128"/>
      <c r="Y108" s="128"/>
      <c r="Z108" s="128"/>
      <c r="AA108" s="135"/>
      <c r="AB108" s="128"/>
      <c r="AC108" s="151"/>
      <c r="AD108" s="152"/>
      <c r="AE108" s="128"/>
      <c r="AF108" s="132"/>
      <c r="AG108" s="128"/>
      <c r="AH108" s="153"/>
      <c r="AI108" s="167"/>
      <c r="AJ108" s="130"/>
      <c r="AK108" s="132"/>
      <c r="AL108" s="153"/>
      <c r="AM108" s="130"/>
      <c r="AN108" s="133"/>
      <c r="AO108" s="147"/>
      <c r="AP108" s="147"/>
      <c r="AQ108" s="156"/>
      <c r="AR108" s="132"/>
      <c r="AS108" s="133"/>
      <c r="AT108" s="133"/>
      <c r="AU108" s="133"/>
      <c r="AV108" s="134"/>
      <c r="AW108" s="128"/>
      <c r="AX108" s="128"/>
      <c r="AY108" s="132"/>
    </row>
    <row customHeight="true" ht="23.703703703703702" r="109">
      <c r="A109" s="127"/>
      <c r="B109" s="128"/>
      <c r="C109" s="129"/>
      <c r="D109" s="128"/>
      <c r="E109" s="130"/>
      <c r="F109" s="130"/>
      <c r="G109" s="128"/>
      <c r="H109" s="130"/>
      <c r="I109" s="134"/>
      <c r="J109" s="128"/>
      <c r="K109" s="128"/>
      <c r="L109" s="128"/>
      <c r="M109" s="130"/>
      <c r="N109" s="133"/>
      <c r="O109" s="133"/>
      <c r="P109" s="128"/>
      <c r="Q109" s="128"/>
      <c r="R109" s="128"/>
      <c r="S109" s="130"/>
      <c r="T109" s="128"/>
      <c r="U109" s="134"/>
      <c r="V109" s="128"/>
      <c r="W109" s="128"/>
      <c r="X109" s="128"/>
      <c r="Y109" s="128"/>
      <c r="Z109" s="128"/>
      <c r="AA109" s="135"/>
      <c r="AB109" s="128"/>
      <c r="AC109" s="151"/>
      <c r="AD109" s="152"/>
      <c r="AE109" s="128"/>
      <c r="AF109" s="132"/>
      <c r="AG109" s="128"/>
      <c r="AH109" s="153"/>
      <c r="AI109" s="167"/>
      <c r="AJ109" s="130"/>
      <c r="AK109" s="132"/>
      <c r="AL109" s="153"/>
      <c r="AM109" s="130"/>
      <c r="AN109" s="133"/>
      <c r="AO109" s="147"/>
      <c r="AP109" s="147"/>
      <c r="AQ109" s="156"/>
      <c r="AR109" s="132"/>
      <c r="AS109" s="133"/>
      <c r="AT109" s="133"/>
      <c r="AU109" s="133"/>
      <c r="AV109" s="134"/>
      <c r="AW109" s="128"/>
      <c r="AX109" s="128"/>
      <c r="AY109" s="132"/>
    </row>
    <row customHeight="true" ht="23.703703703703702" r="110">
      <c r="A110" s="168"/>
      <c r="B110" s="169"/>
      <c r="C110" s="170"/>
      <c r="D110" s="171"/>
      <c r="E110" s="171"/>
      <c r="F110" s="171"/>
      <c r="G110" s="171"/>
      <c r="H110" s="172"/>
      <c r="I110" s="173"/>
      <c r="J110" s="171"/>
      <c r="K110" s="171"/>
      <c r="L110" s="171"/>
      <c r="M110" s="172"/>
      <c r="N110" s="174"/>
      <c r="O110" s="175"/>
      <c r="P110" s="171"/>
      <c r="Q110" s="171"/>
      <c r="R110" s="171"/>
      <c r="S110" s="172"/>
      <c r="T110" s="171"/>
      <c r="U110" s="173"/>
      <c r="V110" s="171"/>
      <c r="W110" s="171"/>
      <c r="X110" s="171"/>
      <c r="Y110" s="171"/>
      <c r="Z110" s="171"/>
      <c r="AA110" s="176"/>
      <c r="AB110" s="171"/>
      <c r="AC110" s="171"/>
      <c r="AD110" s="176"/>
      <c r="AE110" s="177"/>
      <c r="AF110" s="178"/>
      <c r="AG110" s="177"/>
      <c r="AH110" s="179"/>
      <c r="AI110" s="180"/>
      <c r="AJ110" s="172"/>
      <c r="AK110" s="172"/>
      <c r="AL110" s="179"/>
      <c r="AM110" s="172"/>
      <c r="AN110" s="174"/>
      <c r="AO110" s="181"/>
      <c r="AP110" s="181"/>
      <c r="AQ110" s="182"/>
      <c r="AR110" s="183"/>
      <c r="AS110" s="174"/>
      <c r="AT110" s="174"/>
      <c r="AU110" s="174"/>
      <c r="AV110" s="173"/>
      <c r="AW110" s="171"/>
      <c r="AX110" s="171"/>
      <c r="AY110" s="183"/>
    </row>
    <row customHeight="true" ht="37.77777777777778" r="111">
      <c r="A111" s="184"/>
      <c r="B111" s="185"/>
      <c r="C111" s="186" t="s">
        <v>253</v>
      </c>
      <c r="D111" s="185"/>
      <c r="E111" s="185"/>
      <c r="F111" s="185"/>
      <c r="G111" s="185"/>
      <c r="H111" s="187"/>
      <c r="I111" s="188"/>
      <c r="J111" s="185"/>
      <c r="K111" s="185"/>
      <c r="L111" s="185">
        <f>SUM(L3:L110)</f>
      </c>
      <c r="M111" s="187">
        <f>P111/L111</f>
      </c>
      <c r="N111" s="185">
        <f>SUM(N3:N110)</f>
      </c>
      <c r="O111" s="185">
        <f>SUM(O3:O110)</f>
      </c>
      <c r="P111" s="185">
        <f>SUM(P3:P110)</f>
      </c>
      <c r="Q111" s="185"/>
      <c r="R111" s="185"/>
      <c r="S111" s="187"/>
      <c r="T111" s="185"/>
      <c r="U111" s="188">
        <f>SUM(U3:U110)</f>
      </c>
      <c r="V111" s="185"/>
      <c r="W111" s="185"/>
      <c r="X111" s="185"/>
      <c r="Y111" s="185"/>
      <c r="Z111" s="185"/>
      <c r="AA111" s="189"/>
      <c r="AB111" s="185"/>
      <c r="AC111" s="185"/>
      <c r="AD111" s="185">
        <f>SUM(AD3:AD110)</f>
      </c>
      <c r="AE111" s="185">
        <f>SUM(AE3:AE110)</f>
      </c>
      <c r="AF111" s="190"/>
      <c r="AG111" s="185">
        <f>SUM(AG3:AG110)</f>
      </c>
      <c r="AH111" s="191">
        <f>AL111/AE111</f>
      </c>
      <c r="AI111" s="192"/>
      <c r="AJ111" s="187">
        <f>AG111/AE111</f>
      </c>
      <c r="AK111" s="187">
        <f>#REF!/P111</f>
      </c>
      <c r="AL111" s="185">
        <f>SUM(AL3:AL110)</f>
      </c>
      <c r="AM111" s="187">
        <f>AL111/U111</f>
      </c>
      <c r="AN111" s="193">
        <f>AL111/AG111</f>
      </c>
      <c r="AO111" s="182"/>
      <c r="AP111" s="182"/>
      <c r="AQ111" s="182">
        <f>SUM(AQ3:AQ110)</f>
      </c>
      <c r="AR111" s="194">
        <f>AQ111/U111</f>
      </c>
      <c r="AS111" s="193"/>
      <c r="AT111" s="193"/>
      <c r="AU111" s="193"/>
      <c r="AV111" s="188"/>
      <c r="AW111" s="185"/>
      <c r="AX111" s="185"/>
      <c r="AY111" s="194"/>
    </row>
  </sheetData>
  <mergeCells>
    <mergeCell ref="V1:Y1"/>
    <mergeCell ref="AD1:AM1"/>
    <mergeCell ref="AO1:AU1"/>
    <mergeCell ref="AV1:BA1"/>
    <mergeCell ref="BB1:BF1"/>
    <mergeCell ref="A29:C2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Z1:Z2"/>
    <mergeCell ref="AA1:AA2"/>
    <mergeCell ref="AB1:AB2"/>
    <mergeCell ref="AC1:AC2"/>
  </mergeCells>
  <conditionalFormatting sqref="AD109:AD109">
    <cfRule priority="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{51B9639E-F2D1-406C-AF51-CC70DBB98316}</x14:id>
        </ext>
      </extLst>
    </cfRule>
  </conditionalFormatting>
  <conditionalFormatting sqref="AD108:AD108">
    <cfRule priority="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{1C56C956-3FE5-4A63-B690-464292C773D5}</x14:id>
        </ext>
      </extLst>
    </cfRule>
  </conditionalFormatting>
  <conditionalFormatting sqref="AD107:AD107">
    <cfRule priority="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{7AC151FA-BA6B-4861-9099-8CD584C69EC8}</x14:id>
        </ext>
      </extLst>
    </cfRule>
  </conditionalFormatting>
  <conditionalFormatting sqref="AD106:AD106">
    <cfRule priority="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{EEEA7650-1959-4C8E-8B69-4DDBED882022}</x14:id>
        </ext>
      </extLst>
    </cfRule>
  </conditionalFormatting>
  <conditionalFormatting sqref="AD105:AD105">
    <cfRule priority="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{1E06C771-5B50-49A1-8E0A-CF64AD7BDBCC}</x14:id>
        </ext>
      </extLst>
    </cfRule>
  </conditionalFormatting>
  <conditionalFormatting sqref="AD104:AD104">
    <cfRule priority="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{C55C050D-653B-409F-BE48-186B1F076A97}</x14:id>
        </ext>
      </extLst>
    </cfRule>
  </conditionalFormatting>
  <conditionalFormatting sqref="AD103:AD103">
    <cfRule priority="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{8A74C065-D3C1-4BF0-BE67-170D036FDE75}</x14:id>
        </ext>
      </extLst>
    </cfRule>
  </conditionalFormatting>
  <conditionalFormatting sqref="AD102:AD102">
    <cfRule priority="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{4D34873F-B0F7-4F84-9CCE-1B5355703458}</x14:id>
        </ext>
      </extLst>
    </cfRule>
  </conditionalFormatting>
  <conditionalFormatting sqref="AD101:AD101">
    <cfRule priority="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{D88C02A3-F492-4CFE-907B-80EC41AC09EF}</x14:id>
        </ext>
      </extLst>
    </cfRule>
  </conditionalFormatting>
  <conditionalFormatting sqref="AD100:AD100">
    <cfRule priority="1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{4F6B4231-E156-46BF-92C2-B6CE75A7AF12}</x14:id>
        </ext>
      </extLst>
    </cfRule>
  </conditionalFormatting>
  <conditionalFormatting sqref="AD99:AD99">
    <cfRule priority="1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{FB593342-66A8-4E05-9FDE-42AB70034FAC}</x14:id>
        </ext>
      </extLst>
    </cfRule>
  </conditionalFormatting>
  <conditionalFormatting sqref="AD98:AD98">
    <cfRule priority="1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{6D1010FF-AF1B-4C9A-BA10-16BA811C8584}</x14:id>
        </ext>
      </extLst>
    </cfRule>
  </conditionalFormatting>
  <conditionalFormatting sqref="AD97:AD97">
    <cfRule priority="1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{7465A773-031A-477D-B26D-B178764E7567}</x14:id>
        </ext>
      </extLst>
    </cfRule>
  </conditionalFormatting>
  <conditionalFormatting sqref="AD96:AD96">
    <cfRule priority="1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{86DB1696-0A25-49B4-A258-CCBD51A90251}</x14:id>
        </ext>
      </extLst>
    </cfRule>
  </conditionalFormatting>
  <conditionalFormatting sqref="AD95:AD95">
    <cfRule priority="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{08D4A08C-AD1E-484A-9ED5-D6C95C2B5424}</x14:id>
        </ext>
      </extLst>
    </cfRule>
  </conditionalFormatting>
  <conditionalFormatting sqref="AD94:AD94">
    <cfRule priority="1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{DA4FA98E-FD94-49DA-B310-40D43991ECD5}</x14:id>
        </ext>
      </extLst>
    </cfRule>
  </conditionalFormatting>
  <conditionalFormatting sqref="AD93:AD93">
    <cfRule priority="1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{6535D8A0-BE0F-46B7-A9D6-52A10A469CBB}</x14:id>
        </ext>
      </extLst>
    </cfRule>
  </conditionalFormatting>
  <conditionalFormatting sqref="AD92:AD92">
    <cfRule priority="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{83D6B521-92E5-4BD4-931F-575593F93508}</x14:id>
        </ext>
      </extLst>
    </cfRule>
  </conditionalFormatting>
  <conditionalFormatting sqref="AD91:AD91">
    <cfRule priority="1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{BD72239D-F64F-41A3-9B4D-D6CE58DD6B4F}</x14:id>
        </ext>
      </extLst>
    </cfRule>
  </conditionalFormatting>
  <conditionalFormatting sqref="AD90:AD90">
    <cfRule priority="2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{53737D7A-AB97-41AB-9786-A3D165AC3D56}</x14:id>
        </ext>
      </extLst>
    </cfRule>
  </conditionalFormatting>
  <conditionalFormatting sqref="AD89:AD89">
    <cfRule priority="2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{E1DFDEF8-691C-47B2-BB68-A22E91D06D43}</x14:id>
        </ext>
      </extLst>
    </cfRule>
  </conditionalFormatting>
  <conditionalFormatting sqref="AD88:AD88">
    <cfRule priority="2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{AEC900AD-1458-4005-A507-D7CCC2A2635B}</x14:id>
        </ext>
      </extLst>
    </cfRule>
  </conditionalFormatting>
  <conditionalFormatting sqref="AD87:AD87">
    <cfRule priority="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{9A02B44F-0D74-40AD-B112-0A01402CA58C}</x14:id>
        </ext>
      </extLst>
    </cfRule>
  </conditionalFormatting>
  <conditionalFormatting sqref="AD86:AD86">
    <cfRule priority="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{89B03840-DA8E-4E04-9FDD-04A36D87EA91}</x14:id>
        </ext>
      </extLst>
    </cfRule>
  </conditionalFormatting>
  <conditionalFormatting sqref="AD85:AD85">
    <cfRule priority="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{4E767E76-C5C7-4DDA-BD55-0299EBFC3B49}</x14:id>
        </ext>
      </extLst>
    </cfRule>
  </conditionalFormatting>
  <conditionalFormatting sqref="AD84:AD84">
    <cfRule priority="2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{FCD3DA49-B3F6-4F5A-A640-10E5E946C4D0}</x14:id>
        </ext>
      </extLst>
    </cfRule>
  </conditionalFormatting>
  <conditionalFormatting sqref="AD83:AD83">
    <cfRule priority="2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{D778A470-7E4E-4544-B63E-D7BEB37A0B98}</x14:id>
        </ext>
      </extLst>
    </cfRule>
  </conditionalFormatting>
  <conditionalFormatting sqref="AD82:AD82">
    <cfRule priority="2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{0DAE6305-5CD5-4E8A-AEF8-01F429C62A13}</x14:id>
        </ext>
      </extLst>
    </cfRule>
  </conditionalFormatting>
  <conditionalFormatting sqref="AD81:AD81">
    <cfRule priority="2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{E45F60F6-8147-48BF-8CAA-EA15561846C2}</x14:id>
        </ext>
      </extLst>
    </cfRule>
  </conditionalFormatting>
  <conditionalFormatting sqref="AD80:AD80">
    <cfRule priority="3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{A575EA53-8CC1-4397-BBF1-445A0904A1CA}</x14:id>
        </ext>
      </extLst>
    </cfRule>
  </conditionalFormatting>
  <conditionalFormatting sqref="AD79:AD79">
    <cfRule priority="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{586BBBAC-83F8-455A-A2D6-80F6B46D9E94}</x14:id>
        </ext>
      </extLst>
    </cfRule>
  </conditionalFormatting>
  <conditionalFormatting sqref="AD78:AD78">
    <cfRule priority="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{F4D37EEB-2373-44E6-9EF8-2AC8A2F1AD8D}</x14:id>
        </ext>
      </extLst>
    </cfRule>
  </conditionalFormatting>
  <conditionalFormatting sqref="AD77:AD77">
    <cfRule priority="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{254D6FE0-877B-43DC-B615-4C6C8DB796A3}</x14:id>
        </ext>
      </extLst>
    </cfRule>
  </conditionalFormatting>
  <conditionalFormatting sqref="AD76:AD76">
    <cfRule priority="3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{C010B066-D987-42F9-9CC9-484D739B5EFE}</x14:id>
        </ext>
      </extLst>
    </cfRule>
  </conditionalFormatting>
  <conditionalFormatting sqref="AD75:AD75">
    <cfRule priority="3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{5F5FB9A5-85CE-467C-BE35-B49557FCEC12}</x14:id>
        </ext>
      </extLst>
    </cfRule>
  </conditionalFormatting>
  <conditionalFormatting sqref="AD74:AD74">
    <cfRule priority="3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{D876923F-311B-41FE-8584-8DFA9EFB55F4}</x14:id>
        </ext>
      </extLst>
    </cfRule>
  </conditionalFormatting>
  <conditionalFormatting sqref="AD73:AD73">
    <cfRule priority="3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{FF07FD47-F5E4-4A7D-BEB0-EAEEF4FF90C6}</x14:id>
        </ext>
      </extLst>
    </cfRule>
  </conditionalFormatting>
  <conditionalFormatting sqref="AD72:AD72">
    <cfRule priority="3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{8E235BB7-AB3A-4321-927B-EDAAA83CD3D5}</x14:id>
        </ext>
      </extLst>
    </cfRule>
  </conditionalFormatting>
  <conditionalFormatting sqref="AD71:AD71">
    <cfRule priority="3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{B3BF771F-35DA-4E03-AF2A-1A5C2D5F6F3F}</x14:id>
        </ext>
      </extLst>
    </cfRule>
  </conditionalFormatting>
  <conditionalFormatting sqref="AD70:AD70">
    <cfRule priority="4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{90C6CBA5-190B-49DD-AB41-D8422700DC1B}</x14:id>
        </ext>
      </extLst>
    </cfRule>
  </conditionalFormatting>
  <conditionalFormatting sqref="AD69:AD69">
    <cfRule priority="4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{89CAAF0E-CE1A-487B-9A27-23C183DCA2CD}</x14:id>
        </ext>
      </extLst>
    </cfRule>
  </conditionalFormatting>
  <conditionalFormatting sqref="AD68:AD68">
    <cfRule priority="4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{BAAFA271-7261-465C-B9C0-702B4F38D2E1}</x14:id>
        </ext>
      </extLst>
    </cfRule>
  </conditionalFormatting>
  <conditionalFormatting sqref="AD67:AD67">
    <cfRule priority="4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{5507033D-8F23-4984-AE19-A73FE9F236C0}</x14:id>
        </ext>
      </extLst>
    </cfRule>
  </conditionalFormatting>
  <conditionalFormatting sqref="AD66:AD66">
    <cfRule priority="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{D3CD4263-AB41-48B2-909D-53DC568B6803}</x14:id>
        </ext>
      </extLst>
    </cfRule>
  </conditionalFormatting>
  <conditionalFormatting sqref="AD65:AD65">
    <cfRule priority="4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{8D14E704-4B6A-4BFC-A78F-2FEABA755BFB}</x14:id>
        </ext>
      </extLst>
    </cfRule>
  </conditionalFormatting>
  <conditionalFormatting sqref="AD64:AD64">
    <cfRule priority="4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{651D1B1C-7B49-433C-BB56-3EF0345AADBD}</x14:id>
        </ext>
      </extLst>
    </cfRule>
  </conditionalFormatting>
  <conditionalFormatting sqref="AD63:AD63">
    <cfRule priority="4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{51DB1C4C-8FEC-42D0-85EA-7E56404366D1}</x14:id>
        </ext>
      </extLst>
    </cfRule>
  </conditionalFormatting>
  <conditionalFormatting sqref="AD62:AD62">
    <cfRule priority="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{2665D052-DD5D-4BF6-956B-D4948A318CFD}</x14:id>
        </ext>
      </extLst>
    </cfRule>
  </conditionalFormatting>
  <conditionalFormatting sqref="AD61:AD61">
    <cfRule priority="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{6B466BA6-B82F-44E6-8BF0-17C1F33D582F}</x14:id>
        </ext>
      </extLst>
    </cfRule>
  </conditionalFormatting>
  <conditionalFormatting sqref="AD60:AD60">
    <cfRule priority="5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{90D577D5-955D-4531-9F3B-94F0DCC7EB25}</x14:id>
        </ext>
      </extLst>
    </cfRule>
  </conditionalFormatting>
  <conditionalFormatting sqref="AD59:AD59">
    <cfRule priority="5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{40E8946C-3B48-4225-B9F2-F7DBB7428B8E}</x14:id>
        </ext>
      </extLst>
    </cfRule>
  </conditionalFormatting>
  <conditionalFormatting sqref="AD58:AD58">
    <cfRule priority="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{683F50EF-22FA-4734-8D57-1A1B4A996A9E}</x14:id>
        </ext>
      </extLst>
    </cfRule>
  </conditionalFormatting>
  <conditionalFormatting sqref="AD57:AD57">
    <cfRule priority="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{0480FAB4-C6B7-4F1F-AEA9-AFA19473E859}</x14:id>
        </ext>
      </extLst>
    </cfRule>
  </conditionalFormatting>
  <conditionalFormatting sqref="AD56:AD56">
    <cfRule priority="5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{B9EE1D2C-00E3-4C5D-A84E-7746DC51A676}</x14:id>
        </ext>
      </extLst>
    </cfRule>
  </conditionalFormatting>
  <conditionalFormatting sqref="AD55:AD55">
    <cfRule priority="5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{FB689CF8-AF0B-40F2-9D53-AA96D8201703}</x14:id>
        </ext>
      </extLst>
    </cfRule>
  </conditionalFormatting>
  <conditionalFormatting sqref="AD54:AD54">
    <cfRule priority="5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{BDFC0882-6C9F-482E-AE5B-9D19D4640F99}</x14:id>
        </ext>
      </extLst>
    </cfRule>
  </conditionalFormatting>
  <conditionalFormatting sqref="AD53:AD53">
    <cfRule priority="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{8B04FF76-6216-4522-8992-75463AB49A14}</x14:id>
        </ext>
      </extLst>
    </cfRule>
  </conditionalFormatting>
  <conditionalFormatting sqref="AD52:AD52">
    <cfRule priority="5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{708604AE-3215-4DF1-A113-E6284E4846F1}</x14:id>
        </ext>
      </extLst>
    </cfRule>
  </conditionalFormatting>
  <conditionalFormatting sqref="AD51:AD51">
    <cfRule priority="5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{A2FC2104-87F6-48B9-9D11-B6098A00D758}</x14:id>
        </ext>
      </extLst>
    </cfRule>
  </conditionalFormatting>
  <conditionalFormatting sqref="AD50:AD50">
    <cfRule priority="6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{1BF1351D-B93E-48D1-BF4E-D4D1259CEA6D}</x14:id>
        </ext>
      </extLst>
    </cfRule>
  </conditionalFormatting>
  <conditionalFormatting sqref="AD49:AD49">
    <cfRule priority="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{73A4F4F5-AF51-4147-8A5A-ECD191272283}</x14:id>
        </ext>
      </extLst>
    </cfRule>
  </conditionalFormatting>
  <conditionalFormatting sqref="AD48:AD48">
    <cfRule priority="6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{A7612118-677A-41A9-9501-C13BD25408DE}</x14:id>
        </ext>
      </extLst>
    </cfRule>
  </conditionalFormatting>
  <conditionalFormatting sqref="AD47:AD47">
    <cfRule priority="6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{AF1BB923-7B3D-4714-AB2C-4AE525355CCE}</x14:id>
        </ext>
      </extLst>
    </cfRule>
  </conditionalFormatting>
  <conditionalFormatting sqref="AD46:AD46">
    <cfRule priority="6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{AE81937D-BB97-4CEC-A051-EE3B69F03D11}</x14:id>
        </ext>
      </extLst>
    </cfRule>
  </conditionalFormatting>
  <conditionalFormatting sqref="AD45:AD45">
    <cfRule priority="6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{FA92CEA3-7C7E-4A40-9B31-0B5255AC1707}</x14:id>
        </ext>
      </extLst>
    </cfRule>
  </conditionalFormatting>
  <conditionalFormatting sqref="AD44:AD44">
    <cfRule priority="6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{5CCC3DC0-7287-480A-8900-C4D54810FDD5}</x14:id>
        </ext>
      </extLst>
    </cfRule>
  </conditionalFormatting>
  <conditionalFormatting sqref="AD43:AD43">
    <cfRule priority="6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{302D1AE0-F21B-4F16-8341-CDDBB910F1D0}</x14:id>
        </ext>
      </extLst>
    </cfRule>
  </conditionalFormatting>
  <conditionalFormatting sqref="AD42:AD42">
    <cfRule priority="6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{7AFB8D44-77EF-4012-87CF-524B24951AA5}</x14:id>
        </ext>
      </extLst>
    </cfRule>
  </conditionalFormatting>
  <conditionalFormatting sqref="AD41:AD41">
    <cfRule priority="6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{6889FF83-9A8A-4863-8B01-7F8D1475FBC8}</x14:id>
        </ext>
      </extLst>
    </cfRule>
  </conditionalFormatting>
  <conditionalFormatting sqref="AD40:AD40">
    <cfRule priority="7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{BFAC9FC9-8850-4115-B3DB-4010FC7804F3}</x14:id>
        </ext>
      </extLst>
    </cfRule>
  </conditionalFormatting>
  <conditionalFormatting sqref="AD39:AD39">
    <cfRule priority="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{4B582314-4248-4031-98A1-1BA12A1E494A}</x14:id>
        </ext>
      </extLst>
    </cfRule>
  </conditionalFormatting>
  <conditionalFormatting sqref="AD38:AD38">
    <cfRule priority="7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{8C9CEB8C-0772-415B-B2DF-6F2D36F82BA9}</x14:id>
        </ext>
      </extLst>
    </cfRule>
  </conditionalFormatting>
  <conditionalFormatting sqref="AD37:AD37">
    <cfRule priority="7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{99967D55-F0FC-4E94-964D-D33084801DBF}</x14:id>
        </ext>
      </extLst>
    </cfRule>
  </conditionalFormatting>
  <conditionalFormatting sqref="AD36:AD36">
    <cfRule priority="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{330CB1C6-240E-4FE4-A163-C7A9EDCD72D3}</x14:id>
        </ext>
      </extLst>
    </cfRule>
  </conditionalFormatting>
  <conditionalFormatting sqref="AD35:AD35">
    <cfRule priority="7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{953F160C-095B-4475-9011-DACD171C036B}</x14:id>
        </ext>
      </extLst>
    </cfRule>
  </conditionalFormatting>
  <conditionalFormatting sqref="AD34:AD34">
    <cfRule priority="7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{D34ACEE6-BEC7-4AC0-8C9E-E02900C070E3}</x14:id>
        </ext>
      </extLst>
    </cfRule>
  </conditionalFormatting>
  <conditionalFormatting sqref="AD33:AD33">
    <cfRule priority="7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{61C92C89-4812-4383-B60D-029B05AD1547}</x14:id>
        </ext>
      </extLst>
    </cfRule>
  </conditionalFormatting>
  <conditionalFormatting sqref="AD32:AD32">
    <cfRule priority="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{B40ADD80-D9FC-4151-BE97-15BAB0038701}</x14:id>
        </ext>
      </extLst>
    </cfRule>
  </conditionalFormatting>
  <conditionalFormatting sqref="AD31:AD31">
    <cfRule priority="7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{B85BD02E-868B-4435-A15D-0E8EAE9F20E5}</x14:id>
        </ext>
      </extLst>
    </cfRule>
  </conditionalFormatting>
  <conditionalFormatting sqref="AD30:AD30">
    <cfRule priority="8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{ACC2402B-FB42-49EE-BCBE-F5F20E5D844E}</x14:id>
        </ext>
      </extLst>
    </cfRule>
  </conditionalFormatting>
  <conditionalFormatting sqref="AD29:AD29">
    <cfRule priority="8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{3D122774-3186-4756-8432-29A9005A7E1C}</x14:id>
        </ext>
      </extLst>
    </cfRule>
  </conditionalFormatting>
  <conditionalFormatting sqref="AD28:AD28">
    <cfRule priority="8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{2AE528C9-6656-41CF-A69B-D68A21A55F28}</x14:id>
        </ext>
      </extLst>
    </cfRule>
  </conditionalFormatting>
  <conditionalFormatting sqref="AD17:AD27">
    <cfRule priority="8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{1DDF1024-2FFB-483D-8ACB-3DC45519E9D1}</x14:id>
        </ext>
      </extLst>
    </cfRule>
  </conditionalFormatting>
  <conditionalFormatting sqref="AD6:AD16">
    <cfRule priority="8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{04F76C2C-6A79-47CC-9743-31F8DFAE7216}</x14:id>
        </ext>
      </extLst>
    </cfRule>
  </conditionalFormatting>
  <conditionalFormatting sqref="AD5:AD5">
    <cfRule priority="8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{909BDB66-2251-491E-8661-5A72691132A9}</x14:id>
        </ext>
      </extLst>
    </cfRule>
  </conditionalFormatting>
  <conditionalFormatting sqref="AD4:AD4">
    <cfRule priority="8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{DF61590F-4C68-46A5-B62D-368C8CD58014}</x14:id>
        </ext>
      </extLst>
    </cfRule>
  </conditionalFormatting>
  <conditionalFormatting sqref="AD3:AD3">
    <cfRule priority="8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{C2452EAA-0378-4E07-A711-83469907965C}</x14:id>
        </ext>
      </extLst>
    </cfRule>
  </conditionalFormatting>
  <conditionalFormatting sqref="AD109:AD109">
    <cfRule priority="8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{533AF5D5-C617-4CFC-964E-9264F13F2778}</x14:id>
        </ext>
      </extLst>
    </cfRule>
  </conditionalFormatting>
  <conditionalFormatting sqref="AD108:AD108">
    <cfRule priority="8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{F9918B71-A6DE-4394-8BF4-3C87F680C819}</x14:id>
        </ext>
      </extLst>
    </cfRule>
  </conditionalFormatting>
  <conditionalFormatting sqref="AD107:AD107">
    <cfRule priority="9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{32FB2D39-D342-44D9-A5D2-65523D51B53D}</x14:id>
        </ext>
      </extLst>
    </cfRule>
  </conditionalFormatting>
  <conditionalFormatting sqref="AD106:AD106">
    <cfRule priority="9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{ADD2A583-229A-410C-9A85-00468DE92A8C}</x14:id>
        </ext>
      </extLst>
    </cfRule>
  </conditionalFormatting>
  <conditionalFormatting sqref="AD105:AD105">
    <cfRule priority="9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{59C3194A-6147-4906-988F-40284FB2B5E9}</x14:id>
        </ext>
      </extLst>
    </cfRule>
  </conditionalFormatting>
  <conditionalFormatting sqref="AD104:AD104">
    <cfRule priority="9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{D82CAB4C-9973-4CAD-8FCE-877DC5C842CC}</x14:id>
        </ext>
      </extLst>
    </cfRule>
  </conditionalFormatting>
  <conditionalFormatting sqref="AD103:AD103">
    <cfRule priority="9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{37B21F04-3F6D-4026-A4FC-371D631F1FA3}</x14:id>
        </ext>
      </extLst>
    </cfRule>
  </conditionalFormatting>
  <conditionalFormatting sqref="AD102:AD102">
    <cfRule priority="9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{71042E26-8D63-4A70-A8E4-07AAE2AC5618}</x14:id>
        </ext>
      </extLst>
    </cfRule>
  </conditionalFormatting>
  <conditionalFormatting sqref="AD101:AD101">
    <cfRule priority="9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{70CD4598-9440-4A67-BD81-C099CD74054F}</x14:id>
        </ext>
      </extLst>
    </cfRule>
  </conditionalFormatting>
  <conditionalFormatting sqref="AD100:AD100">
    <cfRule priority="9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{942C91DA-49B5-4704-8C24-BACF3A9AE80F}</x14:id>
        </ext>
      </extLst>
    </cfRule>
  </conditionalFormatting>
  <conditionalFormatting sqref="AD99:AD99">
    <cfRule priority="9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{9A028A53-C3F8-406C-8745-71BC53FA1566}</x14:id>
        </ext>
      </extLst>
    </cfRule>
  </conditionalFormatting>
  <conditionalFormatting sqref="AD98:AD98">
    <cfRule priority="9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{485F39C8-94FC-4D92-9C91-8E3848A04440}</x14:id>
        </ext>
      </extLst>
    </cfRule>
  </conditionalFormatting>
  <conditionalFormatting sqref="AD97:AD97">
    <cfRule priority="10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{FC43C719-391E-4418-8A0D-F23238EFC928}</x14:id>
        </ext>
      </extLst>
    </cfRule>
  </conditionalFormatting>
  <conditionalFormatting sqref="AD96:AD96">
    <cfRule priority="10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{A9EECCD1-C7DA-494C-B260-05CC0FA2D6F0}</x14:id>
        </ext>
      </extLst>
    </cfRule>
  </conditionalFormatting>
  <conditionalFormatting sqref="AD95:AD95">
    <cfRule priority="10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{D680B6D2-EFE9-4C44-B749-50C94782DA53}</x14:id>
        </ext>
      </extLst>
    </cfRule>
  </conditionalFormatting>
  <conditionalFormatting sqref="AD94:AD94">
    <cfRule priority="10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{20B1840F-6736-41A5-901E-27082639B753}</x14:id>
        </ext>
      </extLst>
    </cfRule>
  </conditionalFormatting>
  <conditionalFormatting sqref="AD93:AD93">
    <cfRule priority="10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{7C7AA984-2517-47A2-B3AB-0C71900A2092}</x14:id>
        </ext>
      </extLst>
    </cfRule>
  </conditionalFormatting>
  <conditionalFormatting sqref="AD92:AD92">
    <cfRule priority="10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{4D16F60B-6E81-460B-9A4D-DF694236139F}</x14:id>
        </ext>
      </extLst>
    </cfRule>
  </conditionalFormatting>
  <conditionalFormatting sqref="AD91:AD91">
    <cfRule priority="10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{9417C435-69BC-446E-9524-3EDCE1F1EF59}</x14:id>
        </ext>
      </extLst>
    </cfRule>
  </conditionalFormatting>
  <conditionalFormatting sqref="AD90:AD90">
    <cfRule priority="10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{5EA38D91-935D-4901-B411-ACBEA5C7E50C}</x14:id>
        </ext>
      </extLst>
    </cfRule>
  </conditionalFormatting>
  <conditionalFormatting sqref="AD89:AD89">
    <cfRule priority="10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{459C76AA-35DB-458A-8BCE-C09515936BCF}</x14:id>
        </ext>
      </extLst>
    </cfRule>
  </conditionalFormatting>
  <conditionalFormatting sqref="AD88:AD88">
    <cfRule priority="10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{AFBF11CE-E7DC-437C-A9EC-49098BEA06F1}</x14:id>
        </ext>
      </extLst>
    </cfRule>
  </conditionalFormatting>
  <conditionalFormatting sqref="AD87:AD87">
    <cfRule priority="11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{1E870145-B5A5-436C-9CBA-8C27A9BAA4BB}</x14:id>
        </ext>
      </extLst>
    </cfRule>
  </conditionalFormatting>
  <conditionalFormatting sqref="AD86:AD86">
    <cfRule priority="11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{8667963A-1F9A-4EE5-ACEB-BA6FFA6E6A78}</x14:id>
        </ext>
      </extLst>
    </cfRule>
  </conditionalFormatting>
  <conditionalFormatting sqref="AD85:AD85">
    <cfRule priority="11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{EB6DB173-BF2E-4B52-8ADB-918CE8EE9E1F}</x14:id>
        </ext>
      </extLst>
    </cfRule>
  </conditionalFormatting>
  <conditionalFormatting sqref="AD84:AD84">
    <cfRule priority="11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{1D8BCCE5-B4E9-410C-8C2C-BC52417F3ADB}</x14:id>
        </ext>
      </extLst>
    </cfRule>
  </conditionalFormatting>
  <conditionalFormatting sqref="AD83:AD83">
    <cfRule priority="11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{364A727C-A261-4854-A5EB-2BB704B62A42}</x14:id>
        </ext>
      </extLst>
    </cfRule>
  </conditionalFormatting>
  <conditionalFormatting sqref="AD82:AD82">
    <cfRule priority="1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{B03CB77B-D2C8-46D5-862A-F1E509FD0287}</x14:id>
        </ext>
      </extLst>
    </cfRule>
  </conditionalFormatting>
  <conditionalFormatting sqref="AD81:AD81">
    <cfRule priority="11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{9824F6E2-B25C-40E7-BE4A-F56FC5798603}</x14:id>
        </ext>
      </extLst>
    </cfRule>
  </conditionalFormatting>
  <conditionalFormatting sqref="AD80:AD80">
    <cfRule priority="11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{E7D024C7-C821-4633-AE32-248AFE68FF8E}</x14:id>
        </ext>
      </extLst>
    </cfRule>
  </conditionalFormatting>
  <conditionalFormatting sqref="AD79:AD79">
    <cfRule priority="1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{EF0C4256-D55D-4C2F-A909-7C8674859ABF}</x14:id>
        </ext>
      </extLst>
    </cfRule>
  </conditionalFormatting>
  <conditionalFormatting sqref="AD78:AD78">
    <cfRule priority="11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{49507ED7-A37F-428E-A488-25EBC5DD5468}</x14:id>
        </ext>
      </extLst>
    </cfRule>
  </conditionalFormatting>
  <conditionalFormatting sqref="AD77:AD77">
    <cfRule priority="12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{E2539F5F-4DA4-4FD9-9618-4139BCF9E69D}</x14:id>
        </ext>
      </extLst>
    </cfRule>
  </conditionalFormatting>
  <conditionalFormatting sqref="AD76:AD76">
    <cfRule priority="12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{4EDE40E5-EF2D-4964-8E0E-938C40713BBC}</x14:id>
        </ext>
      </extLst>
    </cfRule>
  </conditionalFormatting>
  <conditionalFormatting sqref="AD75:AD75">
    <cfRule priority="12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{2B628E91-D16E-4DEC-97F6-7129755DD6CB}</x14:id>
        </ext>
      </extLst>
    </cfRule>
  </conditionalFormatting>
  <conditionalFormatting sqref="AD74:AD74">
    <cfRule priority="1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{1A7A290C-5F7A-43B8-80BA-E141420A9EC6}</x14:id>
        </ext>
      </extLst>
    </cfRule>
  </conditionalFormatting>
  <conditionalFormatting sqref="AD73:AD73">
    <cfRule priority="1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{3231D4EF-A50F-4F19-889E-65FC03B41087}</x14:id>
        </ext>
      </extLst>
    </cfRule>
  </conditionalFormatting>
  <conditionalFormatting sqref="AD72:AD72">
    <cfRule priority="1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{9D86E0FB-37B2-4CCB-856E-F0FD16B7CDDE}</x14:id>
        </ext>
      </extLst>
    </cfRule>
  </conditionalFormatting>
  <conditionalFormatting sqref="AD71:AD71">
    <cfRule priority="12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{52F8A8A1-9E90-43E2-9CC1-CDE70F20386C}</x14:id>
        </ext>
      </extLst>
    </cfRule>
  </conditionalFormatting>
  <conditionalFormatting sqref="AD70:AD70">
    <cfRule priority="12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{131B87CA-6264-492D-8BC4-34C72E485B03}</x14:id>
        </ext>
      </extLst>
    </cfRule>
  </conditionalFormatting>
  <conditionalFormatting sqref="AD69:AD69">
    <cfRule priority="12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{4C20B2A0-38D1-49DE-9313-873198785749}</x14:id>
        </ext>
      </extLst>
    </cfRule>
  </conditionalFormatting>
  <conditionalFormatting sqref="AD68:AD68">
    <cfRule priority="12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{E114F67B-2279-4339-B5FA-5C23D23B6332}</x14:id>
        </ext>
      </extLst>
    </cfRule>
  </conditionalFormatting>
  <conditionalFormatting sqref="AD67:AD67">
    <cfRule priority="13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{AA861654-E880-417C-8C8B-9C54CC9A5BF2}</x14:id>
        </ext>
      </extLst>
    </cfRule>
  </conditionalFormatting>
  <conditionalFormatting sqref="AD66:AD66">
    <cfRule priority="1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{19FDCCC9-5E1B-4C2B-A0CE-1D464458C319}</x14:id>
        </ext>
      </extLst>
    </cfRule>
  </conditionalFormatting>
  <conditionalFormatting sqref="AD65:AD65">
    <cfRule priority="1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{3031BB91-7E5F-4DEE-B591-DD325774208B}</x14:id>
        </ext>
      </extLst>
    </cfRule>
  </conditionalFormatting>
  <conditionalFormatting sqref="AD64:AD64">
    <cfRule priority="1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{12037B25-66B9-466F-8047-4802CB240C8E}</x14:id>
        </ext>
      </extLst>
    </cfRule>
  </conditionalFormatting>
  <conditionalFormatting sqref="AD63:AD63">
    <cfRule priority="13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{31A32280-6148-41A6-A6B7-710EB683932E}</x14:id>
        </ext>
      </extLst>
    </cfRule>
  </conditionalFormatting>
  <conditionalFormatting sqref="AD62:AD62">
    <cfRule priority="13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{EC845FB1-2043-43DB-AE51-02FB809E09B7}</x14:id>
        </ext>
      </extLst>
    </cfRule>
  </conditionalFormatting>
  <conditionalFormatting sqref="AD61:AD61">
    <cfRule priority="13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{33DECA3E-A19D-4E73-B579-39DABB112450}</x14:id>
        </ext>
      </extLst>
    </cfRule>
  </conditionalFormatting>
  <conditionalFormatting sqref="AD60:AD60">
    <cfRule priority="13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{F31B1893-01C5-4A67-BFBB-A816DB1C7751}</x14:id>
        </ext>
      </extLst>
    </cfRule>
  </conditionalFormatting>
  <conditionalFormatting sqref="AD59:AD59">
    <cfRule priority="13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{8EB31019-036E-4B37-A8A7-AAC397896AF0}</x14:id>
        </ext>
      </extLst>
    </cfRule>
  </conditionalFormatting>
  <conditionalFormatting sqref="AD58:AD58">
    <cfRule priority="13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{73C41010-3AF9-4DBF-BA51-18E11B87E7C8}</x14:id>
        </ext>
      </extLst>
    </cfRule>
  </conditionalFormatting>
  <conditionalFormatting sqref="AD57:AD57">
    <cfRule priority="14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{EDAF01D6-E43F-480D-A07E-0C0832D1DB80}</x14:id>
        </ext>
      </extLst>
    </cfRule>
  </conditionalFormatting>
  <conditionalFormatting sqref="AD56:AD56">
    <cfRule priority="14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{50DADE1C-D3B6-44BA-BC4D-DC3AD5E973A7}</x14:id>
        </ext>
      </extLst>
    </cfRule>
  </conditionalFormatting>
  <conditionalFormatting sqref="AD55:AD55">
    <cfRule priority="14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{758675AB-C317-4E2F-9F23-49625950F9C6}</x14:id>
        </ext>
      </extLst>
    </cfRule>
  </conditionalFormatting>
  <conditionalFormatting sqref="AD54:AD54">
    <cfRule priority="14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{6CE7175E-5B63-492C-A4AA-4012F18D23E4}</x14:id>
        </ext>
      </extLst>
    </cfRule>
  </conditionalFormatting>
  <conditionalFormatting sqref="AD53:AD53">
    <cfRule priority="14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{6F753CFC-40B3-4F35-B59D-7B2FA4982266}</x14:id>
        </ext>
      </extLst>
    </cfRule>
  </conditionalFormatting>
  <conditionalFormatting sqref="AD52:AD52">
    <cfRule priority="14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{06F0FEB1-CF07-46BE-89BD-FC4CD21179A2}</x14:id>
        </ext>
      </extLst>
    </cfRule>
  </conditionalFormatting>
  <conditionalFormatting sqref="AD51:AD51">
    <cfRule priority="14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{9C895C4A-0630-4D2B-802A-CBD2EC7F1C6C}</x14:id>
        </ext>
      </extLst>
    </cfRule>
  </conditionalFormatting>
  <conditionalFormatting sqref="AD50:AD50">
    <cfRule priority="14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{997E1CD3-60A5-433C-B3F4-EAA289A058F7}</x14:id>
        </ext>
      </extLst>
    </cfRule>
  </conditionalFormatting>
  <conditionalFormatting sqref="AD49:AD49">
    <cfRule priority="14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{04A31726-2002-4752-B35D-788412C1FCC4}</x14:id>
        </ext>
      </extLst>
    </cfRule>
  </conditionalFormatting>
  <conditionalFormatting sqref="AD48:AD48">
    <cfRule priority="1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{263CBE80-7233-484D-93F9-B5BE6155CFB9}</x14:id>
        </ext>
      </extLst>
    </cfRule>
  </conditionalFormatting>
  <conditionalFormatting sqref="AD47:AD47">
    <cfRule priority="15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{FFC2A01A-CCC4-49BB-8D30-A2943E65CF36}</x14:id>
        </ext>
      </extLst>
    </cfRule>
  </conditionalFormatting>
  <conditionalFormatting sqref="AD46:AD46">
    <cfRule priority="15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{1D071352-D245-4049-82FE-3CA7BAC38155}</x14:id>
        </ext>
      </extLst>
    </cfRule>
  </conditionalFormatting>
  <conditionalFormatting sqref="AD45:AD45">
    <cfRule priority="1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{F908232D-B755-4FB2-8659-065FB137D015}</x14:id>
        </ext>
      </extLst>
    </cfRule>
  </conditionalFormatting>
  <conditionalFormatting sqref="AD44:AD44">
    <cfRule priority="1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{EC3EDD69-E6A9-4586-A0AF-E4E912AE1C9D}</x14:id>
        </ext>
      </extLst>
    </cfRule>
  </conditionalFormatting>
  <conditionalFormatting sqref="AD43:AD43">
    <cfRule priority="15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{AD600F52-5C4F-4095-AEC4-3F64DC0268C7}</x14:id>
        </ext>
      </extLst>
    </cfRule>
  </conditionalFormatting>
  <conditionalFormatting sqref="AD42:AD42">
    <cfRule priority="15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{59D3EE8E-C650-4172-947E-6EFE2ECCB5E9}</x14:id>
        </ext>
      </extLst>
    </cfRule>
  </conditionalFormatting>
  <conditionalFormatting sqref="AD41:AD41">
    <cfRule priority="15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{5E27926F-F5FD-4B4E-8FC1-840FAC335779}</x14:id>
        </ext>
      </extLst>
    </cfRule>
  </conditionalFormatting>
  <conditionalFormatting sqref="AD40:AD40">
    <cfRule priority="1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{A5497925-A4A1-40C7-95AB-4FA3B8993820}</x14:id>
        </ext>
      </extLst>
    </cfRule>
  </conditionalFormatting>
  <conditionalFormatting sqref="AD39:AD39">
    <cfRule priority="15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{3BB6BC85-14A4-4AF7-9919-A88C073D4746}</x14:id>
        </ext>
      </extLst>
    </cfRule>
  </conditionalFormatting>
  <conditionalFormatting sqref="AD38:AD38">
    <cfRule priority="15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{3B0A4581-79B1-4BE0-A399-C48808A9FE1C}</x14:id>
        </ext>
      </extLst>
    </cfRule>
  </conditionalFormatting>
  <conditionalFormatting sqref="AD37:AD37">
    <cfRule priority="16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{38867C21-B722-49F9-8465-2F48B8A08F6E}</x14:id>
        </ext>
      </extLst>
    </cfRule>
  </conditionalFormatting>
  <conditionalFormatting sqref="AD36:AD36">
    <cfRule priority="1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{0BC2319C-8781-44F3-84D3-CAFB0AA5D571}</x14:id>
        </ext>
      </extLst>
    </cfRule>
  </conditionalFormatting>
  <conditionalFormatting sqref="AD35:AD35">
    <cfRule priority="16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{CAA09E9B-A23F-42CE-87B8-929516153FDF}</x14:id>
        </ext>
      </extLst>
    </cfRule>
  </conditionalFormatting>
  <conditionalFormatting sqref="AD34:AD34">
    <cfRule priority="16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{EADB98E3-5039-44E8-B44F-D3141C964FB3}</x14:id>
        </ext>
      </extLst>
    </cfRule>
  </conditionalFormatting>
  <conditionalFormatting sqref="AD33:AD33">
    <cfRule priority="16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{5901C194-70E4-47CA-A250-2D7D3EDFF6E2}</x14:id>
        </ext>
      </extLst>
    </cfRule>
  </conditionalFormatting>
  <conditionalFormatting sqref="AD32:AD32">
    <cfRule priority="16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{BDD3B9E1-E485-4F84-9169-D6EBA9CE51EE}</x14:id>
        </ext>
      </extLst>
    </cfRule>
  </conditionalFormatting>
  <conditionalFormatting sqref="AD31:AD31">
    <cfRule priority="16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{DE7F86BA-4790-46D5-B97E-9AB1B5D0D02D}</x14:id>
        </ext>
      </extLst>
    </cfRule>
  </conditionalFormatting>
  <conditionalFormatting sqref="AD30:AD30">
    <cfRule priority="16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{58FABFAA-3B3E-4481-8C31-B2E372937D62}</x14:id>
        </ext>
      </extLst>
    </cfRule>
  </conditionalFormatting>
  <conditionalFormatting sqref="AD29:AD29">
    <cfRule priority="16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{6B49E600-C61C-46A6-A0B2-7E0AB0565FD2}</x14:id>
        </ext>
      </extLst>
    </cfRule>
  </conditionalFormatting>
  <conditionalFormatting sqref="AD28:AD28">
    <cfRule priority="16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{41494B57-E3A0-415F-9039-97BAE0E02CB6}</x14:id>
        </ext>
      </extLst>
    </cfRule>
  </conditionalFormatting>
  <conditionalFormatting sqref="AD17:AD27">
    <cfRule priority="17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{CAF83C5A-FBFA-4421-95D8-1D8EBBF3DD51}</x14:id>
        </ext>
      </extLst>
    </cfRule>
  </conditionalFormatting>
  <conditionalFormatting sqref="AD6:AD16">
    <cfRule priority="1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{AFB5EBF7-C322-487D-92BC-B338BB253846}</x14:id>
        </ext>
      </extLst>
    </cfRule>
  </conditionalFormatting>
  <conditionalFormatting sqref="AD5:AD5">
    <cfRule priority="17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{861EAF20-4908-4BFA-9A15-97922F289DBE}</x14:id>
        </ext>
      </extLst>
    </cfRule>
  </conditionalFormatting>
  <conditionalFormatting sqref="AD4:AD4">
    <cfRule priority="17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{9FC54251-BD0F-412F-8E6F-B7364768BC01}</x14:id>
        </ext>
      </extLst>
    </cfRule>
  </conditionalFormatting>
  <conditionalFormatting sqref="AD3:AD3">
    <cfRule priority="1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{64EC4018-D97C-44E7-9F0F-7BA5F4AC8C9A}</x14:id>
        </ext>
      </extLst>
    </cfRule>
  </conditionalFormatting>
  <conditionalFormatting sqref="AE109:AE109">
    <cfRule priority="17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{8004732E-599D-4511-8C66-B88C00424681}</x14:id>
        </ext>
      </extLst>
    </cfRule>
  </conditionalFormatting>
  <conditionalFormatting sqref="AE108:AE108">
    <cfRule priority="17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{5CE611A7-B142-4282-85E5-2E3E0C2DBD04}</x14:id>
        </ext>
      </extLst>
    </cfRule>
  </conditionalFormatting>
  <conditionalFormatting sqref="AE107:AE107">
    <cfRule priority="17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{8CD7A40B-2D56-43DE-BE63-FF895657B1EC}</x14:id>
        </ext>
      </extLst>
    </cfRule>
  </conditionalFormatting>
  <conditionalFormatting sqref="AE106:AE106">
    <cfRule priority="17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{079EB142-E3DC-49C1-A3FF-1D42E60B7D95}</x14:id>
        </ext>
      </extLst>
    </cfRule>
  </conditionalFormatting>
  <conditionalFormatting sqref="AE105:AE105">
    <cfRule priority="17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{E8146BD7-EA82-4E58-A406-361E2641EE1C}</x14:id>
        </ext>
      </extLst>
    </cfRule>
  </conditionalFormatting>
  <conditionalFormatting sqref="AE104:AE104">
    <cfRule priority="18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{277438B7-F4EB-414E-8EFE-DEA4F3FD74A4}</x14:id>
        </ext>
      </extLst>
    </cfRule>
  </conditionalFormatting>
  <conditionalFormatting sqref="AE103:AE103">
    <cfRule priority="18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{36F5B2D9-12AE-4215-B616-EDF4BF78B4BD}</x14:id>
        </ext>
      </extLst>
    </cfRule>
  </conditionalFormatting>
  <conditionalFormatting sqref="AE102:AE102">
    <cfRule priority="18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{C1D5F927-DBB9-4906-9AA3-1EF642C1D40D}</x14:id>
        </ext>
      </extLst>
    </cfRule>
  </conditionalFormatting>
  <conditionalFormatting sqref="AE101:AE101">
    <cfRule priority="18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{CEE443AD-BDE1-4501-B7EC-647ACE36832B}</x14:id>
        </ext>
      </extLst>
    </cfRule>
  </conditionalFormatting>
  <conditionalFormatting sqref="AE100:AE100">
    <cfRule priority="18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{E16EBC18-3603-4890-83A6-841B708CDCB9}</x14:id>
        </ext>
      </extLst>
    </cfRule>
  </conditionalFormatting>
  <conditionalFormatting sqref="AE99:AE99">
    <cfRule priority="18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{B658EAAE-F0F5-4E7F-80FC-99A12FE5B83E}</x14:id>
        </ext>
      </extLst>
    </cfRule>
  </conditionalFormatting>
  <conditionalFormatting sqref="AE98:AE98">
    <cfRule priority="18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{0A777797-75A7-454D-B4DC-E545CC461E27}</x14:id>
        </ext>
      </extLst>
    </cfRule>
  </conditionalFormatting>
  <conditionalFormatting sqref="AE97:AE97">
    <cfRule priority="18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{FCBC59B6-2CF2-410C-AA29-D78E5D95D931}</x14:id>
        </ext>
      </extLst>
    </cfRule>
  </conditionalFormatting>
  <conditionalFormatting sqref="AE96:AE96">
    <cfRule priority="18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{BEE9C91B-3752-4478-9B34-85D50EB57E64}</x14:id>
        </ext>
      </extLst>
    </cfRule>
  </conditionalFormatting>
  <conditionalFormatting sqref="AE95:AE95">
    <cfRule priority="18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{70F0DBA1-3AE0-4CDD-959B-DE4EE557143B}</x14:id>
        </ext>
      </extLst>
    </cfRule>
  </conditionalFormatting>
  <conditionalFormatting sqref="AE94:AE94">
    <cfRule priority="19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{84A52708-FF32-4611-BA0F-046A33D32F47}</x14:id>
        </ext>
      </extLst>
    </cfRule>
  </conditionalFormatting>
  <conditionalFormatting sqref="AE93:AE93">
    <cfRule priority="19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{9EF83EC9-C35F-422F-9727-100DC2E93002}</x14:id>
        </ext>
      </extLst>
    </cfRule>
  </conditionalFormatting>
  <conditionalFormatting sqref="AE92:AE92">
    <cfRule priority="19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{4825DE55-8BB7-458A-8ED9-7F13D56254FC}</x14:id>
        </ext>
      </extLst>
    </cfRule>
  </conditionalFormatting>
  <conditionalFormatting sqref="AE91:AE91">
    <cfRule priority="1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{B2353483-099D-48FA-96A0-18AA8A3CA9B8}</x14:id>
        </ext>
      </extLst>
    </cfRule>
  </conditionalFormatting>
  <conditionalFormatting sqref="AE90:AE90">
    <cfRule priority="1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{4EC5582E-7822-414C-89B4-7899680A124D}</x14:id>
        </ext>
      </extLst>
    </cfRule>
  </conditionalFormatting>
  <conditionalFormatting sqref="AE89:AE89">
    <cfRule priority="19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{3E3BF7FF-642C-444F-AE3D-B60316172B07}</x14:id>
        </ext>
      </extLst>
    </cfRule>
  </conditionalFormatting>
  <conditionalFormatting sqref="AE88:AE88">
    <cfRule priority="19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{4FF70AB6-E383-4EAE-8FAB-16F70D44A575}</x14:id>
        </ext>
      </extLst>
    </cfRule>
  </conditionalFormatting>
  <conditionalFormatting sqref="AE87:AE87">
    <cfRule priority="19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{169E5429-923B-4DCB-9F8B-A14ECBB6214D}</x14:id>
        </ext>
      </extLst>
    </cfRule>
  </conditionalFormatting>
  <conditionalFormatting sqref="AE86:AE86">
    <cfRule priority="19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{7E2FF8E6-90E5-40CB-858B-41B085BD6887}</x14:id>
        </ext>
      </extLst>
    </cfRule>
  </conditionalFormatting>
  <conditionalFormatting sqref="AE85:AE85">
    <cfRule priority="19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{4F67A5B8-2708-47CB-8ACD-377E03D0A4B4}</x14:id>
        </ext>
      </extLst>
    </cfRule>
  </conditionalFormatting>
  <conditionalFormatting sqref="AE84:AE84">
    <cfRule priority="20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{38C67EE5-740F-40E4-A797-7D0A67A2C0C4}</x14:id>
        </ext>
      </extLst>
    </cfRule>
  </conditionalFormatting>
  <conditionalFormatting sqref="AE83:AE83">
    <cfRule priority="20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{4FC09380-BA38-4AD4-A3A3-73B743AB8F58}</x14:id>
        </ext>
      </extLst>
    </cfRule>
  </conditionalFormatting>
  <conditionalFormatting sqref="AE82:AE82">
    <cfRule priority="20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{6746B340-4D2C-4E04-8866-0E05E42C9CBA}</x14:id>
        </ext>
      </extLst>
    </cfRule>
  </conditionalFormatting>
  <conditionalFormatting sqref="AE81:AE81">
    <cfRule priority="20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{FCBEFADB-56C5-424D-8C2E-79CB6EA6A68A}</x14:id>
        </ext>
      </extLst>
    </cfRule>
  </conditionalFormatting>
  <conditionalFormatting sqref="AE80:AE80">
    <cfRule priority="20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{B5272F93-B83B-44B2-A13D-AD2D41040566}</x14:id>
        </ext>
      </extLst>
    </cfRule>
  </conditionalFormatting>
  <conditionalFormatting sqref="AE79:AE79">
    <cfRule priority="20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{FD50FA54-8907-4115-AE93-346AA49F1264}</x14:id>
        </ext>
      </extLst>
    </cfRule>
  </conditionalFormatting>
  <conditionalFormatting sqref="AE78:AE78">
    <cfRule priority="20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{769BB52E-0D3F-40B2-8A88-5BCE0754C399}</x14:id>
        </ext>
      </extLst>
    </cfRule>
  </conditionalFormatting>
  <conditionalFormatting sqref="AE77:AE77">
    <cfRule priority="20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{E59B56CD-75B5-4AC4-82CD-BCD23C2482BE}</x14:id>
        </ext>
      </extLst>
    </cfRule>
  </conditionalFormatting>
  <conditionalFormatting sqref="AE76:AE76">
    <cfRule priority="20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{53E69F96-7577-4DBF-9A13-F06A00F246AA}</x14:id>
        </ext>
      </extLst>
    </cfRule>
  </conditionalFormatting>
  <conditionalFormatting sqref="AE75:AE75">
    <cfRule priority="20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{0B03F930-21CD-4E70-9D01-656DEBF7D393}</x14:id>
        </ext>
      </extLst>
    </cfRule>
  </conditionalFormatting>
  <conditionalFormatting sqref="AE74:AE74">
    <cfRule priority="2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{AE45F10A-B9B5-468E-AF95-ED05DE531EAF}</x14:id>
        </ext>
      </extLst>
    </cfRule>
  </conditionalFormatting>
  <conditionalFormatting sqref="AE73:AE73">
    <cfRule priority="2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{8AA97C21-5AFF-412E-B935-79FCA52C8D7C}</x14:id>
        </ext>
      </extLst>
    </cfRule>
  </conditionalFormatting>
  <conditionalFormatting sqref="AE72:AE72">
    <cfRule priority="21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{392E1DCA-1C2F-4B05-A03A-2B95694A8312}</x14:id>
        </ext>
      </extLst>
    </cfRule>
  </conditionalFormatting>
  <conditionalFormatting sqref="AE71:AE71">
    <cfRule priority="2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{E4B175E0-0546-48B6-BE76-B5484223F9BA}</x14:id>
        </ext>
      </extLst>
    </cfRule>
  </conditionalFormatting>
  <conditionalFormatting sqref="AE70:AE70">
    <cfRule priority="21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{8F2A5F01-9BB9-4F8F-A45A-BBE76569FEB2}</x14:id>
        </ext>
      </extLst>
    </cfRule>
  </conditionalFormatting>
  <conditionalFormatting sqref="AE69:AE69">
    <cfRule priority="2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{A74E0D17-73DC-4AD8-B3F1-7E7FD979C6DE}</x14:id>
        </ext>
      </extLst>
    </cfRule>
  </conditionalFormatting>
  <conditionalFormatting sqref="AE68:AE68">
    <cfRule priority="2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{CF980648-9356-4327-9CE2-532AED4DF30B}</x14:id>
        </ext>
      </extLst>
    </cfRule>
  </conditionalFormatting>
  <conditionalFormatting sqref="AE67:AE67">
    <cfRule priority="2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{5E5DD896-681F-4D32-A073-BA69DDBFCF11}</x14:id>
        </ext>
      </extLst>
    </cfRule>
  </conditionalFormatting>
  <conditionalFormatting sqref="AE66:AE66">
    <cfRule priority="2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{57FE4837-C3D2-4EA3-9A69-375DE37AD006}</x14:id>
        </ext>
      </extLst>
    </cfRule>
  </conditionalFormatting>
  <conditionalFormatting sqref="AE65:AE65">
    <cfRule priority="2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{E8EC83DF-AB97-400D-9A25-F44D31DD6B6E}</x14:id>
        </ext>
      </extLst>
    </cfRule>
  </conditionalFormatting>
  <conditionalFormatting sqref="AE64:AE64">
    <cfRule priority="2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{FDF43738-3328-4DEB-B600-B6A016AC9C3E}</x14:id>
        </ext>
      </extLst>
    </cfRule>
  </conditionalFormatting>
  <conditionalFormatting sqref="AE63:AE63">
    <cfRule priority="2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{A1DAD00E-1DFE-47D5-9F59-50B8092FBD18}</x14:id>
        </ext>
      </extLst>
    </cfRule>
  </conditionalFormatting>
  <conditionalFormatting sqref="AE62:AE62">
    <cfRule priority="22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{A5B7CB8F-C559-4E60-8479-52530DEEBA92}</x14:id>
        </ext>
      </extLst>
    </cfRule>
  </conditionalFormatting>
  <conditionalFormatting sqref="AE61:AE61">
    <cfRule priority="22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{069ED24A-A2F9-4CFF-9F81-F4A338BF536C}</x14:id>
        </ext>
      </extLst>
    </cfRule>
  </conditionalFormatting>
  <conditionalFormatting sqref="AE60:AE60">
    <cfRule priority="22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{EB444759-BC86-4CB7-8ED7-6CCC89C3D559}</x14:id>
        </ext>
      </extLst>
    </cfRule>
  </conditionalFormatting>
  <conditionalFormatting sqref="AE59:AE59">
    <cfRule priority="22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{96BFD7C2-2C24-4139-A3C1-D62B86AC1D3A}</x14:id>
        </ext>
      </extLst>
    </cfRule>
  </conditionalFormatting>
  <conditionalFormatting sqref="AE58:AE58">
    <cfRule priority="22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{FFBDFC9C-5588-4C6C-933C-D24DE56524B3}</x14:id>
        </ext>
      </extLst>
    </cfRule>
  </conditionalFormatting>
  <conditionalFormatting sqref="AE57:AE57">
    <cfRule priority="2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{8190A950-54E1-4938-B5DF-3541731A4691}</x14:id>
        </ext>
      </extLst>
    </cfRule>
  </conditionalFormatting>
  <conditionalFormatting sqref="AE56:AE56">
    <cfRule priority="22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{9A472282-0DA1-471C-A1E9-11DBB5FA8545}</x14:id>
        </ext>
      </extLst>
    </cfRule>
  </conditionalFormatting>
  <conditionalFormatting sqref="AE55:AE55">
    <cfRule priority="22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{5C8482A8-39A0-4AE1-AFB8-5E08AB84865D}</x14:id>
        </ext>
      </extLst>
    </cfRule>
  </conditionalFormatting>
  <conditionalFormatting sqref="AE54:AE54">
    <cfRule priority="23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{D4080AB4-C6CD-4024-89B3-605395756EE5}</x14:id>
        </ext>
      </extLst>
    </cfRule>
  </conditionalFormatting>
  <conditionalFormatting sqref="AE53:AE53">
    <cfRule priority="23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{652B302B-54EB-4EEE-858A-3F1FBED7EE5C}</x14:id>
        </ext>
      </extLst>
    </cfRule>
  </conditionalFormatting>
  <conditionalFormatting sqref="AE52:AE52">
    <cfRule priority="23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{DC6FF542-533E-4D53-91A8-F69A0F8815CC}</x14:id>
        </ext>
      </extLst>
    </cfRule>
  </conditionalFormatting>
  <conditionalFormatting sqref="AE51:AE51">
    <cfRule priority="23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{ED86FC20-FED5-4927-8D48-5F3E19F58FAE}</x14:id>
        </ext>
      </extLst>
    </cfRule>
  </conditionalFormatting>
  <conditionalFormatting sqref="AE50:AE50">
    <cfRule priority="23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{46AACA91-A861-46C6-BB05-A69CE08D067F}</x14:id>
        </ext>
      </extLst>
    </cfRule>
  </conditionalFormatting>
  <conditionalFormatting sqref="AE49:AE49">
    <cfRule priority="23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{33737724-3589-4E64-80FB-A41254EE67F0}</x14:id>
        </ext>
      </extLst>
    </cfRule>
  </conditionalFormatting>
  <conditionalFormatting sqref="AE48:AE48">
    <cfRule priority="2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{56A630F1-806A-47F4-844F-CFCE515C9C65}</x14:id>
        </ext>
      </extLst>
    </cfRule>
  </conditionalFormatting>
  <conditionalFormatting sqref="AE47:AE47">
    <cfRule priority="2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{72923F1E-03D0-461E-9E2B-E4797FEB9D24}</x14:id>
        </ext>
      </extLst>
    </cfRule>
  </conditionalFormatting>
  <conditionalFormatting sqref="AE46:AE46">
    <cfRule priority="23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{635C4A26-DDC1-45DB-A22F-95F32392D2D5}</x14:id>
        </ext>
      </extLst>
    </cfRule>
  </conditionalFormatting>
  <conditionalFormatting sqref="AE45:AE45">
    <cfRule priority="23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{55E33509-F469-4F6B-A050-B78D9A57249D}</x14:id>
        </ext>
      </extLst>
    </cfRule>
  </conditionalFormatting>
  <conditionalFormatting sqref="AE44:AE44">
    <cfRule priority="24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{0EE3C82C-2EE6-4F5C-9953-DB7094B78380}</x14:id>
        </ext>
      </extLst>
    </cfRule>
  </conditionalFormatting>
  <conditionalFormatting sqref="AE43:AE43">
    <cfRule priority="2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{D5C3D252-0536-4DA4-A116-4040014F9DE5}</x14:id>
        </ext>
      </extLst>
    </cfRule>
  </conditionalFormatting>
  <conditionalFormatting sqref="AE42:AE42">
    <cfRule priority="2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{17362DFF-0F74-4904-9677-20CA2BD72E3A}</x14:id>
        </ext>
      </extLst>
    </cfRule>
  </conditionalFormatting>
  <conditionalFormatting sqref="AE41:AE41">
    <cfRule priority="2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{D1D21A9C-8BC7-4B05-A8E1-ADAA8E3FADDF}</x14:id>
        </ext>
      </extLst>
    </cfRule>
  </conditionalFormatting>
  <conditionalFormatting sqref="AE40:AE40">
    <cfRule priority="24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{B2C554DA-812F-4897-86A4-D48ED9486C42}</x14:id>
        </ext>
      </extLst>
    </cfRule>
  </conditionalFormatting>
  <conditionalFormatting sqref="AE39:AE39">
    <cfRule priority="2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{08A13748-12A4-410D-B4D2-C6CD1C181BC1}</x14:id>
        </ext>
      </extLst>
    </cfRule>
  </conditionalFormatting>
  <conditionalFormatting sqref="AE38:AE38">
    <cfRule priority="2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{7237FCF9-91AA-4BFD-AC84-75613E91816F}</x14:id>
        </ext>
      </extLst>
    </cfRule>
  </conditionalFormatting>
  <conditionalFormatting sqref="AE37:AE37">
    <cfRule priority="24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{893EFE59-6C2E-473B-B35B-0E0D55C231BE}</x14:id>
        </ext>
      </extLst>
    </cfRule>
  </conditionalFormatting>
  <conditionalFormatting sqref="AE36:AE36">
    <cfRule priority="24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{1DF443BB-9F2E-4618-916D-028C6028BE29}</x14:id>
        </ext>
      </extLst>
    </cfRule>
  </conditionalFormatting>
  <conditionalFormatting sqref="AE35:AE35">
    <cfRule priority="24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{07BC4B62-6CB1-4A0C-A45F-ED73C9EC0950}</x14:id>
        </ext>
      </extLst>
    </cfRule>
  </conditionalFormatting>
  <conditionalFormatting sqref="AE34:AE34">
    <cfRule priority="25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{422B0529-BF84-4715-83D7-621C0FAE6A6C}</x14:id>
        </ext>
      </extLst>
    </cfRule>
  </conditionalFormatting>
  <conditionalFormatting sqref="AE33:AE33">
    <cfRule priority="25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{7B1976EE-E2BD-4FDD-80DF-B3CB2C354FFB}</x14:id>
        </ext>
      </extLst>
    </cfRule>
  </conditionalFormatting>
  <conditionalFormatting sqref="AE32:AE32">
    <cfRule priority="25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{EC7BAB19-24CE-40F1-A6F4-C77426944302}</x14:id>
        </ext>
      </extLst>
    </cfRule>
  </conditionalFormatting>
  <conditionalFormatting sqref="AE31:AE31">
    <cfRule priority="25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{ED150D2B-B5F9-4771-B565-0855EB8114B8}</x14:id>
        </ext>
      </extLst>
    </cfRule>
  </conditionalFormatting>
  <conditionalFormatting sqref="AE30:AE30">
    <cfRule priority="25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{1B4CDA1C-9345-4685-8AD7-55BE151110EE}</x14:id>
        </ext>
      </extLst>
    </cfRule>
  </conditionalFormatting>
  <conditionalFormatting sqref="AE29:AE29">
    <cfRule priority="2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{6EA72F4F-5CA6-4C00-AEC8-37FB04AD2C62}</x14:id>
        </ext>
      </extLst>
    </cfRule>
  </conditionalFormatting>
  <conditionalFormatting sqref="AE28:AE28">
    <cfRule priority="25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{BF08046A-C5BC-4221-AB85-03F9E37174E9}</x14:id>
        </ext>
      </extLst>
    </cfRule>
  </conditionalFormatting>
  <conditionalFormatting sqref="AE17:AE27">
    <cfRule priority="25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{2D6623DB-61B4-4E43-AA21-0FF964371A19}</x14:id>
        </ext>
      </extLst>
    </cfRule>
  </conditionalFormatting>
  <conditionalFormatting sqref="AE6:AE16">
    <cfRule priority="25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{4BAAF6A8-C44E-4FD6-BDF0-C328DB5A5FCF}</x14:id>
        </ext>
      </extLst>
    </cfRule>
  </conditionalFormatting>
  <conditionalFormatting sqref="AE5:AE5">
    <cfRule priority="25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{037325C1-1166-4317-9235-0C5C15BD6425}</x14:id>
        </ext>
      </extLst>
    </cfRule>
  </conditionalFormatting>
  <conditionalFormatting sqref="AE4:AE4">
    <cfRule priority="26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{560D143C-4046-4269-A960-15425C24AFC9}</x14:id>
        </ext>
      </extLst>
    </cfRule>
  </conditionalFormatting>
  <conditionalFormatting sqref="AE3:AE3">
    <cfRule priority="26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{98064ADD-D985-445F-B260-733342D9EFA4}</x14:id>
        </ext>
      </extLst>
    </cfRule>
  </conditionalFormatting>
  <conditionalFormatting sqref="AY109:AY109">
    <cfRule priority="26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{B54BD8AB-0C98-446C-B371-B0107E3C7731}</x14:id>
        </ext>
      </extLst>
    </cfRule>
  </conditionalFormatting>
  <conditionalFormatting sqref="AY108:AY108">
    <cfRule priority="2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{76CD2286-801E-4F52-8475-684DCF57E249}</x14:id>
        </ext>
      </extLst>
    </cfRule>
  </conditionalFormatting>
  <conditionalFormatting sqref="AY107:AY107">
    <cfRule priority="2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{FCBB7997-95C4-48BF-B4DF-943DF3EF163A}</x14:id>
        </ext>
      </extLst>
    </cfRule>
  </conditionalFormatting>
  <conditionalFormatting sqref="AY106:AY106">
    <cfRule priority="26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{F303D53A-C428-4A6F-BAC3-8B69ED6A3738}</x14:id>
        </ext>
      </extLst>
    </cfRule>
  </conditionalFormatting>
  <conditionalFormatting sqref="AY105:AY105">
    <cfRule priority="26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{442069FE-83A1-4B6D-BD07-21C30DE6359B}</x14:id>
        </ext>
      </extLst>
    </cfRule>
  </conditionalFormatting>
  <conditionalFormatting sqref="AY104:AY104">
    <cfRule priority="26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{F6620AEF-8669-49DE-89CB-105D5863E383}</x14:id>
        </ext>
      </extLst>
    </cfRule>
  </conditionalFormatting>
  <conditionalFormatting sqref="AY103:AY103">
    <cfRule priority="26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{BDB9AB52-B954-4E50-8DD3-791928E1D6AC}</x14:id>
        </ext>
      </extLst>
    </cfRule>
  </conditionalFormatting>
  <conditionalFormatting sqref="AY102:AY102">
    <cfRule priority="26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{746B75C6-A4F2-4C10-B7E4-10CD29A92C8A}</x14:id>
        </ext>
      </extLst>
    </cfRule>
  </conditionalFormatting>
  <conditionalFormatting sqref="AY101:AY101">
    <cfRule priority="27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{C74A6A1D-BEC0-41E3-83B7-9646729A24B6}</x14:id>
        </ext>
      </extLst>
    </cfRule>
  </conditionalFormatting>
  <conditionalFormatting sqref="AY100:AY100">
    <cfRule priority="27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{55D6CA28-62E2-41E1-B5ED-92F428BF8BEC}</x14:id>
        </ext>
      </extLst>
    </cfRule>
  </conditionalFormatting>
  <conditionalFormatting sqref="AY99:AY99">
    <cfRule priority="27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{1088C478-09F8-42C1-A844-F79283702405}</x14:id>
        </ext>
      </extLst>
    </cfRule>
  </conditionalFormatting>
  <conditionalFormatting sqref="AY98:AY98">
    <cfRule priority="27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{E88A72F9-EEA0-4E19-943C-8BB96C6EAA49}</x14:id>
        </ext>
      </extLst>
    </cfRule>
  </conditionalFormatting>
  <conditionalFormatting sqref="AY97:AY97">
    <cfRule priority="27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{89DCABA3-11B8-4F8B-BDE7-CF5E9420BC1D}</x14:id>
        </ext>
      </extLst>
    </cfRule>
  </conditionalFormatting>
  <conditionalFormatting sqref="AY96:AY96">
    <cfRule priority="27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{8B5D1F5F-1DB1-4094-BD38-46680C60536B}</x14:id>
        </ext>
      </extLst>
    </cfRule>
  </conditionalFormatting>
  <conditionalFormatting sqref="AY95:AY95">
    <cfRule priority="27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{FD982DFB-0DC9-4A6C-9FDD-F756932EC5F6}</x14:id>
        </ext>
      </extLst>
    </cfRule>
  </conditionalFormatting>
  <conditionalFormatting sqref="AY94:AY94">
    <cfRule priority="27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{A01840A8-1E1C-4296-B75B-E8962F18BCCA}</x14:id>
        </ext>
      </extLst>
    </cfRule>
  </conditionalFormatting>
  <conditionalFormatting sqref="AY93:AY93">
    <cfRule priority="27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{123761C0-D3E8-4E48-89B8-B5BFE1DDA519}</x14:id>
        </ext>
      </extLst>
    </cfRule>
  </conditionalFormatting>
  <conditionalFormatting sqref="AY92:AY92">
    <cfRule priority="27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{0E599AD2-98FE-4E38-81CC-5B218BA3CE03}</x14:id>
        </ext>
      </extLst>
    </cfRule>
  </conditionalFormatting>
  <conditionalFormatting sqref="AY91:AY91">
    <cfRule priority="28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{9D8955F5-F925-4F7D-A2BE-B947C0F4EAB9}</x14:id>
        </ext>
      </extLst>
    </cfRule>
  </conditionalFormatting>
  <conditionalFormatting sqref="AY90:AY90">
    <cfRule priority="28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{6568B8C3-79E2-4FDA-8083-9E6B78175551}</x14:id>
        </ext>
      </extLst>
    </cfRule>
  </conditionalFormatting>
  <conditionalFormatting sqref="AY89:AY89">
    <cfRule priority="28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{D71BC1FD-91A6-42BF-AF55-6E32CE8C17DF}</x14:id>
        </ext>
      </extLst>
    </cfRule>
  </conditionalFormatting>
  <conditionalFormatting sqref="AY88:AY88">
    <cfRule priority="28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{BC055671-2FA4-4F52-A52F-F036439251C8}</x14:id>
        </ext>
      </extLst>
    </cfRule>
  </conditionalFormatting>
  <conditionalFormatting sqref="AY87:AY87">
    <cfRule priority="28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{FAE8CB0B-A06F-4F0C-AFB3-51C29E2503E4}</x14:id>
        </ext>
      </extLst>
    </cfRule>
  </conditionalFormatting>
  <conditionalFormatting sqref="AY86:AY86">
    <cfRule priority="28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{46A7F461-E7F3-4DA3-8DDB-56DC2CEC332E}</x14:id>
        </ext>
      </extLst>
    </cfRule>
  </conditionalFormatting>
  <conditionalFormatting sqref="AY85:AY85">
    <cfRule priority="28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{C112B14B-5620-48DF-BD6E-114C8F987A09}</x14:id>
        </ext>
      </extLst>
    </cfRule>
  </conditionalFormatting>
  <conditionalFormatting sqref="AY84:AY84">
    <cfRule priority="28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{D6256D48-7B84-4966-94C1-E1403A1DC01A}</x14:id>
        </ext>
      </extLst>
    </cfRule>
  </conditionalFormatting>
  <conditionalFormatting sqref="AY83:AY83">
    <cfRule priority="28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{EFF5379B-B449-4338-B973-70D87054DC82}</x14:id>
        </ext>
      </extLst>
    </cfRule>
  </conditionalFormatting>
  <conditionalFormatting sqref="AY82:AY82">
    <cfRule priority="28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{7B08515D-CAC2-4B9E-A394-FB41641293A0}</x14:id>
        </ext>
      </extLst>
    </cfRule>
  </conditionalFormatting>
  <conditionalFormatting sqref="AY81:AY81">
    <cfRule priority="29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{0DA72D94-4F92-462D-83A0-B8C19B14EE3F}</x14:id>
        </ext>
      </extLst>
    </cfRule>
  </conditionalFormatting>
  <conditionalFormatting sqref="AY80:AY80">
    <cfRule priority="29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{22E8D6C0-34EA-4F15-AF17-A441519BE33B}</x14:id>
        </ext>
      </extLst>
    </cfRule>
  </conditionalFormatting>
  <conditionalFormatting sqref="AY79:AY79">
    <cfRule priority="29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{F5281307-2D86-4FB3-AEFE-005C941B9D6F}</x14:id>
        </ext>
      </extLst>
    </cfRule>
  </conditionalFormatting>
  <conditionalFormatting sqref="AY78:AY78">
    <cfRule priority="2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{703CF976-BDCF-486B-A1D9-6F334C531D84}</x14:id>
        </ext>
      </extLst>
    </cfRule>
  </conditionalFormatting>
  <conditionalFormatting sqref="AY77:AY77">
    <cfRule priority="2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{D833EF87-2165-4FEF-A27C-388D5EDD33C1}</x14:id>
        </ext>
      </extLst>
    </cfRule>
  </conditionalFormatting>
  <conditionalFormatting sqref="AY76:AY76">
    <cfRule priority="29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{2A9BA91C-737C-4854-8F8C-FBFDF91236D1}</x14:id>
        </ext>
      </extLst>
    </cfRule>
  </conditionalFormatting>
  <conditionalFormatting sqref="AY75:AY75">
    <cfRule priority="29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{9184A821-5540-4885-B8DB-14A54539BA25}</x14:id>
        </ext>
      </extLst>
    </cfRule>
  </conditionalFormatting>
  <conditionalFormatting sqref="AY74:AY74">
    <cfRule priority="29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{2666ED9E-9538-4FE3-988D-1E7F52F4FB95}</x14:id>
        </ext>
      </extLst>
    </cfRule>
  </conditionalFormatting>
  <conditionalFormatting sqref="AY73:AY73">
    <cfRule priority="29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{E8F6080E-89AD-40C0-B94D-BC015E850EE6}</x14:id>
        </ext>
      </extLst>
    </cfRule>
  </conditionalFormatting>
  <conditionalFormatting sqref="AY72:AY72">
    <cfRule priority="29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{CF35C47E-51B0-428C-8FC3-FB8EE761678B}</x14:id>
        </ext>
      </extLst>
    </cfRule>
  </conditionalFormatting>
  <conditionalFormatting sqref="AY71:AY71">
    <cfRule priority="30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{1DE17299-AEB2-4BEC-B2B2-B21A22DD59BC}</x14:id>
        </ext>
      </extLst>
    </cfRule>
  </conditionalFormatting>
  <conditionalFormatting sqref="AY70:AY70">
    <cfRule priority="30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{8A4E058F-6B5E-4A02-B1CC-F62154768A22}</x14:id>
        </ext>
      </extLst>
    </cfRule>
  </conditionalFormatting>
  <conditionalFormatting sqref="AY69:AY69">
    <cfRule priority="30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{6E47F6DD-7478-45ED-9671-FC2DEA7EF2EF}</x14:id>
        </ext>
      </extLst>
    </cfRule>
  </conditionalFormatting>
  <conditionalFormatting sqref="AY68:AY68">
    <cfRule priority="30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{BFF00F2A-AC9F-45BC-9503-32BE114F9596}</x14:id>
        </ext>
      </extLst>
    </cfRule>
  </conditionalFormatting>
  <conditionalFormatting sqref="AY67:AY67">
    <cfRule priority="30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{53A92963-5D25-4CEE-97FC-C0B02B1C47F7}</x14:id>
        </ext>
      </extLst>
    </cfRule>
  </conditionalFormatting>
  <conditionalFormatting sqref="AY66:AY66">
    <cfRule priority="30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{20FCFF54-9DE1-4216-A9A1-A3BF53C889BC}</x14:id>
        </ext>
      </extLst>
    </cfRule>
  </conditionalFormatting>
  <conditionalFormatting sqref="AY65:AY65">
    <cfRule priority="30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{15252A29-9177-4EFF-98A3-2978686994F3}</x14:id>
        </ext>
      </extLst>
    </cfRule>
  </conditionalFormatting>
  <conditionalFormatting sqref="AY64:AY64">
    <cfRule priority="30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{FF29D546-B230-43BE-B436-4708CD79A60B}</x14:id>
        </ext>
      </extLst>
    </cfRule>
  </conditionalFormatting>
  <conditionalFormatting sqref="AY63:AY63">
    <cfRule priority="30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{0216E67A-DB59-4811-B6F6-2B49EA44C8F5}</x14:id>
        </ext>
      </extLst>
    </cfRule>
  </conditionalFormatting>
  <conditionalFormatting sqref="AY62:AY62">
    <cfRule priority="30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{9A4FC65A-7380-42DF-9171-5C3A602D003C}</x14:id>
        </ext>
      </extLst>
    </cfRule>
  </conditionalFormatting>
  <conditionalFormatting sqref="AY61:AY61">
    <cfRule priority="3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{10A28077-9101-47D5-81B7-0C4746D0BF2A}</x14:id>
        </ext>
      </extLst>
    </cfRule>
  </conditionalFormatting>
  <conditionalFormatting sqref="AY60:AY60">
    <cfRule priority="3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{A953A8FB-DD3E-46EC-9A3C-019A3CB692D1}</x14:id>
        </ext>
      </extLst>
    </cfRule>
  </conditionalFormatting>
  <conditionalFormatting sqref="AY59:AY59">
    <cfRule priority="31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{2CB92457-1E5E-4332-BF9C-864349125232}</x14:id>
        </ext>
      </extLst>
    </cfRule>
  </conditionalFormatting>
  <conditionalFormatting sqref="AY58:AY58">
    <cfRule priority="3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{65A5CCA0-5BCE-4ADE-832D-E57A8E2C55BB}</x14:id>
        </ext>
      </extLst>
    </cfRule>
  </conditionalFormatting>
  <conditionalFormatting sqref="AY57:AY57">
    <cfRule priority="31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{BF08E30B-67AC-4D56-A136-EBE0C287815D}</x14:id>
        </ext>
      </extLst>
    </cfRule>
  </conditionalFormatting>
  <conditionalFormatting sqref="AY56:AY56">
    <cfRule priority="3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{6C4F89C1-D99D-4191-AD87-82D7F5046F68}</x14:id>
        </ext>
      </extLst>
    </cfRule>
  </conditionalFormatting>
  <conditionalFormatting sqref="AY55:AY55">
    <cfRule priority="3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{53C9AABF-FAE2-4ABD-99FB-91DCE838AE2F}</x14:id>
        </ext>
      </extLst>
    </cfRule>
  </conditionalFormatting>
  <conditionalFormatting sqref="AY54:AY54">
    <cfRule priority="3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{5A6ADB71-5024-4B49-BCF8-E775F696F7CC}</x14:id>
        </ext>
      </extLst>
    </cfRule>
  </conditionalFormatting>
  <conditionalFormatting sqref="AY53:AY53">
    <cfRule priority="3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{65C33091-7B1B-4D67-BB8A-F5F2415F5AAE}</x14:id>
        </ext>
      </extLst>
    </cfRule>
  </conditionalFormatting>
  <conditionalFormatting sqref="AY52:AY52">
    <cfRule priority="3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{983851B0-2AE8-4478-9537-BC155273AFC6}</x14:id>
        </ext>
      </extLst>
    </cfRule>
  </conditionalFormatting>
  <conditionalFormatting sqref="AY51:AY51">
    <cfRule priority="3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{475A406B-E5CA-4D4F-8598-D8AB5BCA4A1E}</x14:id>
        </ext>
      </extLst>
    </cfRule>
  </conditionalFormatting>
  <conditionalFormatting sqref="AY50:AY50">
    <cfRule priority="3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{A78F9DC2-8584-4460-9AB1-048052179C15}</x14:id>
        </ext>
      </extLst>
    </cfRule>
  </conditionalFormatting>
  <conditionalFormatting sqref="AY49:AY49">
    <cfRule priority="32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{C3F6CB7D-9FAC-4A2A-8893-DA89F437A645}</x14:id>
        </ext>
      </extLst>
    </cfRule>
  </conditionalFormatting>
  <conditionalFormatting sqref="AY48:AY48">
    <cfRule priority="32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{0BBFCA30-102A-4EEA-820F-E5A8BF88CFB7}</x14:id>
        </ext>
      </extLst>
    </cfRule>
  </conditionalFormatting>
  <conditionalFormatting sqref="AY47:AY47">
    <cfRule priority="32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{68526472-EDD8-4A90-8B9D-F01CB16834C8}</x14:id>
        </ext>
      </extLst>
    </cfRule>
  </conditionalFormatting>
  <conditionalFormatting sqref="AY46:AY46">
    <cfRule priority="32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{FFA2C182-D6EB-48BD-BD3E-DE91B4EB530D}</x14:id>
        </ext>
      </extLst>
    </cfRule>
  </conditionalFormatting>
  <conditionalFormatting sqref="AY45:AY45">
    <cfRule priority="32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{98D1BC93-A207-46F9-B17F-FD25C954941E}</x14:id>
        </ext>
      </extLst>
    </cfRule>
  </conditionalFormatting>
  <conditionalFormatting sqref="AY44:AY44">
    <cfRule priority="32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{E4F0B484-F4BC-4C1E-814C-E485830DEDA0}</x14:id>
        </ext>
      </extLst>
    </cfRule>
  </conditionalFormatting>
  <conditionalFormatting sqref="AY43:AY43">
    <cfRule priority="32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{95CA1CB6-58F8-493C-8703-656C8946470A}</x14:id>
        </ext>
      </extLst>
    </cfRule>
  </conditionalFormatting>
  <conditionalFormatting sqref="AY42:AY42">
    <cfRule priority="32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{FDE2EF37-4DA9-4659-8753-89FFAA082CF4}</x14:id>
        </ext>
      </extLst>
    </cfRule>
  </conditionalFormatting>
  <conditionalFormatting sqref="AY41:AY41">
    <cfRule priority="33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{5DEDAA63-F344-439F-A7FF-AC6F7B03F004}</x14:id>
        </ext>
      </extLst>
    </cfRule>
  </conditionalFormatting>
  <conditionalFormatting sqref="AY40:AY40">
    <cfRule priority="33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{83BB5069-6BF5-46B6-B8B1-9AF067F9CD5A}</x14:id>
        </ext>
      </extLst>
    </cfRule>
  </conditionalFormatting>
  <conditionalFormatting sqref="AY39:AY39">
    <cfRule priority="33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{5AC26CBE-C437-4371-8A30-54760ECDE71F}</x14:id>
        </ext>
      </extLst>
    </cfRule>
  </conditionalFormatting>
  <conditionalFormatting sqref="AY38:AY38">
    <cfRule priority="33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{2DC5B494-7CC8-492D-B61D-7495B7583785}</x14:id>
        </ext>
      </extLst>
    </cfRule>
  </conditionalFormatting>
  <conditionalFormatting sqref="AY37:AY37">
    <cfRule priority="33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{4B0DC9D8-EAF2-4F58-A402-BA9A22FB8C55}</x14:id>
        </ext>
      </extLst>
    </cfRule>
  </conditionalFormatting>
  <conditionalFormatting sqref="AY36:AY36">
    <cfRule priority="33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{56C5D267-1F65-42C9-ADD5-A580D4E4268E}</x14:id>
        </ext>
      </extLst>
    </cfRule>
  </conditionalFormatting>
  <conditionalFormatting sqref="AY35:AY35">
    <cfRule priority="3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{08406C73-D623-4A7C-8B32-045C51232566}</x14:id>
        </ext>
      </extLst>
    </cfRule>
  </conditionalFormatting>
  <conditionalFormatting sqref="AY34:AY34">
    <cfRule priority="3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{59D98280-F46C-46ED-8BA3-2CB90995DFD1}</x14:id>
        </ext>
      </extLst>
    </cfRule>
  </conditionalFormatting>
  <conditionalFormatting sqref="AY33:AY33">
    <cfRule priority="33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{6EE403AD-C00B-4626-8689-1870A7924B2D}</x14:id>
        </ext>
      </extLst>
    </cfRule>
  </conditionalFormatting>
  <conditionalFormatting sqref="AY32:AY32">
    <cfRule priority="33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{D95183A0-42BC-4181-972D-8DA418DC4CBF}</x14:id>
        </ext>
      </extLst>
    </cfRule>
  </conditionalFormatting>
  <conditionalFormatting sqref="AY31:AY31">
    <cfRule priority="34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{886DEC04-5EC4-43B5-B03D-69AD7659891C}</x14:id>
        </ext>
      </extLst>
    </cfRule>
  </conditionalFormatting>
  <conditionalFormatting sqref="AY30:AY30">
    <cfRule priority="3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{2D710E59-70A6-4CCF-BFDB-E448C6B4E0F8}</x14:id>
        </ext>
      </extLst>
    </cfRule>
  </conditionalFormatting>
  <conditionalFormatting sqref="AY29:AY29">
    <cfRule priority="3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{64564C7C-EDDC-4DF3-80AD-687BE4429BE1}</x14:id>
        </ext>
      </extLst>
    </cfRule>
  </conditionalFormatting>
  <conditionalFormatting sqref="AY28:AY28">
    <cfRule priority="3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{0F84CB82-9154-4796-89C3-CC6CB53CD1D0}</x14:id>
        </ext>
      </extLst>
    </cfRule>
  </conditionalFormatting>
  <conditionalFormatting sqref="AY17:AY27">
    <cfRule priority="34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{68F51A45-8019-475B-893D-B70ECFDBCD51}</x14:id>
        </ext>
      </extLst>
    </cfRule>
  </conditionalFormatting>
  <conditionalFormatting sqref="AY6:AY16">
    <cfRule priority="3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{D3957EB0-50DF-4F63-A8C5-447896C6BDE8}</x14:id>
        </ext>
      </extLst>
    </cfRule>
  </conditionalFormatting>
  <conditionalFormatting sqref="AY5:AY5">
    <cfRule priority="3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{08BCDD90-1748-4BB1-8E87-8BC55F196375}</x14:id>
        </ext>
      </extLst>
    </cfRule>
  </conditionalFormatting>
  <conditionalFormatting sqref="AY4:AY4">
    <cfRule priority="34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{9780DD23-123D-49D3-B46B-27116074C1A1}</x14:id>
        </ext>
      </extLst>
    </cfRule>
  </conditionalFormatting>
  <conditionalFormatting sqref="AY3:AY3">
    <cfRule priority="34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{EB372C26-6FC1-4240-8E58-E8E2D5401C2F}</x14:id>
        </ext>
      </extLst>
    </cfRule>
  </conditionalFormatting>
  <conditionalFormatting sqref="AX109:AX109">
    <cfRule priority="34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{DF561331-E886-4AA8-ADDF-4BEEA84DFB74}</x14:id>
        </ext>
      </extLst>
    </cfRule>
  </conditionalFormatting>
  <conditionalFormatting sqref="AX108:AX108">
    <cfRule priority="35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{B0F3CE4D-3FCB-4336-97FE-B6059B1C7A3B}</x14:id>
        </ext>
      </extLst>
    </cfRule>
  </conditionalFormatting>
  <conditionalFormatting sqref="AX107:AX107">
    <cfRule priority="35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{A9E54DC1-1D0E-427F-A8DC-F385DB8B4313}</x14:id>
        </ext>
      </extLst>
    </cfRule>
  </conditionalFormatting>
  <conditionalFormatting sqref="AX106:AX106">
    <cfRule priority="35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{F3D95CC9-B188-415C-81DC-54C0625AC10C}</x14:id>
        </ext>
      </extLst>
    </cfRule>
  </conditionalFormatting>
  <conditionalFormatting sqref="AX105:AX105">
    <cfRule priority="35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{DDB025E3-F186-425E-8168-6D3A82B04E22}</x14:id>
        </ext>
      </extLst>
    </cfRule>
  </conditionalFormatting>
  <conditionalFormatting sqref="AX104:AX104">
    <cfRule priority="35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{BB6AD822-4B3C-410A-8624-ED454272E912}</x14:id>
        </ext>
      </extLst>
    </cfRule>
  </conditionalFormatting>
  <conditionalFormatting sqref="AX103:AX103">
    <cfRule priority="35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{003A8768-FDA9-4D31-B408-89E2F72A2261}</x14:id>
        </ext>
      </extLst>
    </cfRule>
  </conditionalFormatting>
  <conditionalFormatting sqref="AX102:AX102">
    <cfRule priority="35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{6EB72BB0-8767-4169-AA5A-57ADC36EACC7}</x14:id>
        </ext>
      </extLst>
    </cfRule>
  </conditionalFormatting>
  <conditionalFormatting sqref="AX101:AX101">
    <cfRule priority="35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{F38EE5DA-3F16-4FFC-A0BF-5AC1E13EBC8C}</x14:id>
        </ext>
      </extLst>
    </cfRule>
  </conditionalFormatting>
  <conditionalFormatting sqref="AX100:AX100">
    <cfRule priority="35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{8189D762-474F-4DE1-874F-49007E9B1B19}</x14:id>
        </ext>
      </extLst>
    </cfRule>
  </conditionalFormatting>
  <conditionalFormatting sqref="AX99:AX99">
    <cfRule priority="35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{C25FAF2C-CD37-42F9-A8D0-82EB12880981}</x14:id>
        </ext>
      </extLst>
    </cfRule>
  </conditionalFormatting>
  <conditionalFormatting sqref="AX98:AX98">
    <cfRule priority="36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{C7375102-C7FF-481F-A338-A5C0E6B44B49}</x14:id>
        </ext>
      </extLst>
    </cfRule>
  </conditionalFormatting>
  <conditionalFormatting sqref="AX97:AX97">
    <cfRule priority="36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{4CEC1BEE-F48C-43E2-A5C9-4018F12F5C06}</x14:id>
        </ext>
      </extLst>
    </cfRule>
  </conditionalFormatting>
  <conditionalFormatting sqref="AX96:AX96">
    <cfRule priority="36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{036F925D-DE28-4AFE-90FD-81E83D9A5AD9}</x14:id>
        </ext>
      </extLst>
    </cfRule>
  </conditionalFormatting>
  <conditionalFormatting sqref="AX95:AX95">
    <cfRule priority="36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{EBE63EA1-5BB9-41DE-9995-C6CF4D9D291B}</x14:id>
        </ext>
      </extLst>
    </cfRule>
  </conditionalFormatting>
  <conditionalFormatting sqref="AX94:AX94">
    <cfRule priority="36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{32AF93F2-DB19-4E21-97C0-C973073CAF45}</x14:id>
        </ext>
      </extLst>
    </cfRule>
  </conditionalFormatting>
  <conditionalFormatting sqref="AX93:AX93">
    <cfRule priority="36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{99E613D3-9B19-4FCB-BAAA-48DB7C95163D}</x14:id>
        </ext>
      </extLst>
    </cfRule>
  </conditionalFormatting>
  <conditionalFormatting sqref="AX92:AX92">
    <cfRule priority="36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{FD86606E-4A96-4CDA-B3F9-5D1830461EC8}</x14:id>
        </ext>
      </extLst>
    </cfRule>
  </conditionalFormatting>
  <conditionalFormatting sqref="AX91:AX91">
    <cfRule priority="36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{7F17EF8A-E7D6-4572-84BA-E5971BBF5F28}</x14:id>
        </ext>
      </extLst>
    </cfRule>
  </conditionalFormatting>
  <conditionalFormatting sqref="AX90:AX90">
    <cfRule priority="36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{4EF86051-DB4D-446B-8C46-06EE4291BB42}</x14:id>
        </ext>
      </extLst>
    </cfRule>
  </conditionalFormatting>
  <conditionalFormatting sqref="AX89:AX89">
    <cfRule priority="36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{D869642F-199F-4D01-8231-46259CEF0C11}</x14:id>
        </ext>
      </extLst>
    </cfRule>
  </conditionalFormatting>
  <conditionalFormatting sqref="AX88:AX88">
    <cfRule priority="37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{4733A1DA-B094-440C-8E11-C6B173940EEE}</x14:id>
        </ext>
      </extLst>
    </cfRule>
  </conditionalFormatting>
  <conditionalFormatting sqref="AX87:AX87">
    <cfRule priority="37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{0C6521E0-E15B-42C3-8573-E91A05E43966}</x14:id>
        </ext>
      </extLst>
    </cfRule>
  </conditionalFormatting>
  <conditionalFormatting sqref="AX86:AX86">
    <cfRule priority="37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{F0DE64D5-8460-471A-BD2E-141B60A070D5}</x14:id>
        </ext>
      </extLst>
    </cfRule>
  </conditionalFormatting>
  <conditionalFormatting sqref="AX85:AX85">
    <cfRule priority="37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{CAAAF797-BE99-4468-8D17-55D8CF1F8693}</x14:id>
        </ext>
      </extLst>
    </cfRule>
  </conditionalFormatting>
  <conditionalFormatting sqref="AX84:AX84">
    <cfRule priority="37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{45D1A14C-F527-4C22-9AE7-3A54D4204632}</x14:id>
        </ext>
      </extLst>
    </cfRule>
  </conditionalFormatting>
  <conditionalFormatting sqref="AX83:AX83">
    <cfRule priority="37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{9FDC7E6E-9149-41D7-A1B0-235E0A2C2D36}</x14:id>
        </ext>
      </extLst>
    </cfRule>
  </conditionalFormatting>
  <conditionalFormatting sqref="AX82:AX82">
    <cfRule priority="37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{AF1E5109-DDF2-426C-97CA-B8ABCDB94317}</x14:id>
        </ext>
      </extLst>
    </cfRule>
  </conditionalFormatting>
  <conditionalFormatting sqref="AX81:AX81">
    <cfRule priority="37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{026B192F-21E1-456E-89AD-DE0A0B9EFCE2}</x14:id>
        </ext>
      </extLst>
    </cfRule>
  </conditionalFormatting>
  <conditionalFormatting sqref="AX80:AX80">
    <cfRule priority="37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{4CB1F090-1886-40C3-A757-44AA282F2E5E}</x14:id>
        </ext>
      </extLst>
    </cfRule>
  </conditionalFormatting>
  <conditionalFormatting sqref="AX79:AX79">
    <cfRule priority="37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{DE14C981-38CD-421A-ABDC-74009ED9354B}</x14:id>
        </ext>
      </extLst>
    </cfRule>
  </conditionalFormatting>
  <conditionalFormatting sqref="AX78:AX78">
    <cfRule priority="38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{5AF77257-6653-4E6C-BA70-31F6DA07C87F}</x14:id>
        </ext>
      </extLst>
    </cfRule>
  </conditionalFormatting>
  <conditionalFormatting sqref="AX77:AX77">
    <cfRule priority="38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{DE05B89E-BCFD-4004-9CC3-21F300D89846}</x14:id>
        </ext>
      </extLst>
    </cfRule>
  </conditionalFormatting>
  <conditionalFormatting sqref="AX76:AX76">
    <cfRule priority="38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{2AE0FB57-6BB2-427C-AEB8-620E6CEA8BFB}</x14:id>
        </ext>
      </extLst>
    </cfRule>
  </conditionalFormatting>
  <conditionalFormatting sqref="AX75:AX75">
    <cfRule priority="38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{A6C36A2E-5B5E-45D4-AFC2-03366A572A36}</x14:id>
        </ext>
      </extLst>
    </cfRule>
  </conditionalFormatting>
  <conditionalFormatting sqref="AX74:AX74">
    <cfRule priority="38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{DA4CE2A9-4F8F-4AFF-8456-C903917BC984}</x14:id>
        </ext>
      </extLst>
    </cfRule>
  </conditionalFormatting>
  <conditionalFormatting sqref="AX73:AX73">
    <cfRule priority="38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{EFE6D631-6510-4D56-BACD-8F38386A88DD}</x14:id>
        </ext>
      </extLst>
    </cfRule>
  </conditionalFormatting>
  <conditionalFormatting sqref="AX72:AX72">
    <cfRule priority="38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{80D90DAF-6A3A-4D5B-9DB9-DAB420BA49F5}</x14:id>
        </ext>
      </extLst>
    </cfRule>
  </conditionalFormatting>
  <conditionalFormatting sqref="AX71:AX71">
    <cfRule priority="38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{E4FAA66C-D559-458C-A918-F960B2856443}</x14:id>
        </ext>
      </extLst>
    </cfRule>
  </conditionalFormatting>
  <conditionalFormatting sqref="AX70:AX70">
    <cfRule priority="38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{24050E78-72DE-4A75-83B6-C19A53B4EEFB}</x14:id>
        </ext>
      </extLst>
    </cfRule>
  </conditionalFormatting>
  <conditionalFormatting sqref="AX69:AX69">
    <cfRule priority="38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{188DD156-8E85-41FE-86E7-5BB5476ADC05}</x14:id>
        </ext>
      </extLst>
    </cfRule>
  </conditionalFormatting>
  <conditionalFormatting sqref="AX68:AX68">
    <cfRule priority="39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{97B21372-E3F6-4919-BAFB-F67115C102C7}</x14:id>
        </ext>
      </extLst>
    </cfRule>
  </conditionalFormatting>
  <conditionalFormatting sqref="AX67:AX67">
    <cfRule priority="39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{787D041D-12D7-4BA7-AFA1-1A661905019C}</x14:id>
        </ext>
      </extLst>
    </cfRule>
  </conditionalFormatting>
  <conditionalFormatting sqref="AX66:AX66">
    <cfRule priority="39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{03644C42-DA43-4571-8B1E-38C6EE28BDEA}</x14:id>
        </ext>
      </extLst>
    </cfRule>
  </conditionalFormatting>
  <conditionalFormatting sqref="AX65:AX65">
    <cfRule priority="39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{0DED3A43-2163-464E-91F6-7AF3105BDD34}</x14:id>
        </ext>
      </extLst>
    </cfRule>
  </conditionalFormatting>
  <conditionalFormatting sqref="AX64:AX64">
    <cfRule priority="39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{C30E8270-943F-4781-8124-8F84116BBB22}</x14:id>
        </ext>
      </extLst>
    </cfRule>
  </conditionalFormatting>
  <conditionalFormatting sqref="AX63:AX63">
    <cfRule priority="39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{47509183-353E-4203-89DB-AF431284F6E7}</x14:id>
        </ext>
      </extLst>
    </cfRule>
  </conditionalFormatting>
  <conditionalFormatting sqref="AX62:AX62">
    <cfRule priority="39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{46CFF298-A5FA-4EEB-97C8-D295EF46874D}</x14:id>
        </ext>
      </extLst>
    </cfRule>
  </conditionalFormatting>
  <conditionalFormatting sqref="AX61:AX61">
    <cfRule priority="39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{D678064B-6992-4949-951A-0368E03D274A}</x14:id>
        </ext>
      </extLst>
    </cfRule>
  </conditionalFormatting>
  <conditionalFormatting sqref="AX60:AX60">
    <cfRule priority="39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{B6929870-EB0A-492F-A65E-1968AC8F3120}</x14:id>
        </ext>
      </extLst>
    </cfRule>
  </conditionalFormatting>
  <conditionalFormatting sqref="AX59:AX59">
    <cfRule priority="39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{18A0E3E7-AEC7-4571-ABC6-0665D4C9AF7E}</x14:id>
        </ext>
      </extLst>
    </cfRule>
  </conditionalFormatting>
  <conditionalFormatting sqref="AX58:AX58">
    <cfRule priority="40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{60AFD44E-9851-48B1-8ED7-BF4D6624863C}</x14:id>
        </ext>
      </extLst>
    </cfRule>
  </conditionalFormatting>
  <conditionalFormatting sqref="AX57:AX57">
    <cfRule priority="40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{6BD71402-E195-4F21-A4FB-D7EBD82B1D57}</x14:id>
        </ext>
      </extLst>
    </cfRule>
  </conditionalFormatting>
  <conditionalFormatting sqref="AX56:AX56">
    <cfRule priority="40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{517B82A8-8E46-4F81-B1B2-B5762E54AB29}</x14:id>
        </ext>
      </extLst>
    </cfRule>
  </conditionalFormatting>
  <conditionalFormatting sqref="AX55:AX55">
    <cfRule priority="40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{D5CDC7BC-FD18-471A-9645-53382E72FAB9}</x14:id>
        </ext>
      </extLst>
    </cfRule>
  </conditionalFormatting>
  <conditionalFormatting sqref="AX54:AX54">
    <cfRule priority="40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{53D4FCF6-6719-4B44-9B33-3B4A6BE5A3CA}</x14:id>
        </ext>
      </extLst>
    </cfRule>
  </conditionalFormatting>
  <conditionalFormatting sqref="AX53:AX53">
    <cfRule priority="40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{65DF280F-78A1-4749-940C-0097AECC84D7}</x14:id>
        </ext>
      </extLst>
    </cfRule>
  </conditionalFormatting>
  <conditionalFormatting sqref="AX52:AX52">
    <cfRule priority="40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{2F4E58E7-1DED-4BE4-8415-D258ABD0031B}</x14:id>
        </ext>
      </extLst>
    </cfRule>
  </conditionalFormatting>
  <conditionalFormatting sqref="AX51:AX51">
    <cfRule priority="40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{F6ECB3E7-6C1E-4AB6-9142-D002B34FDF79}</x14:id>
        </ext>
      </extLst>
    </cfRule>
  </conditionalFormatting>
  <conditionalFormatting sqref="AX50:AX50">
    <cfRule priority="40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{5877504A-726C-4A2D-8C35-00817CFE60D7}</x14:id>
        </ext>
      </extLst>
    </cfRule>
  </conditionalFormatting>
  <conditionalFormatting sqref="AX49:AX49">
    <cfRule priority="40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{C47488F2-DE92-4BC3-ADD9-1BED5AFF74FD}</x14:id>
        </ext>
      </extLst>
    </cfRule>
  </conditionalFormatting>
  <conditionalFormatting sqref="AX48:AX48">
    <cfRule priority="41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{7C8235E7-9694-4241-A905-B55D629AD014}</x14:id>
        </ext>
      </extLst>
    </cfRule>
  </conditionalFormatting>
  <conditionalFormatting sqref="AX47:AX47">
    <cfRule priority="41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{C17741DC-28CD-4B6D-A6EE-5BCBD26CA7B5}</x14:id>
        </ext>
      </extLst>
    </cfRule>
  </conditionalFormatting>
  <conditionalFormatting sqref="AX46:AX46">
    <cfRule priority="41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{F11415FF-DC5C-4DD0-A9FA-5CDCEA6491CE}</x14:id>
        </ext>
      </extLst>
    </cfRule>
  </conditionalFormatting>
  <conditionalFormatting sqref="AX45:AX45">
    <cfRule priority="41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{18CCC22C-1A89-4EB7-BFD4-6AC1C03353AD}</x14:id>
        </ext>
      </extLst>
    </cfRule>
  </conditionalFormatting>
  <conditionalFormatting sqref="AX44:AX44">
    <cfRule priority="41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{74653B44-E853-496F-8782-42D27D00754C}</x14:id>
        </ext>
      </extLst>
    </cfRule>
  </conditionalFormatting>
  <conditionalFormatting sqref="AX43:AX43">
    <cfRule priority="41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{C163A18B-55C5-457F-985C-43189AC9CF4C}</x14:id>
        </ext>
      </extLst>
    </cfRule>
  </conditionalFormatting>
  <conditionalFormatting sqref="AX42:AX42">
    <cfRule priority="41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{59663FCC-AB53-4554-92D4-A3AFA617E08A}</x14:id>
        </ext>
      </extLst>
    </cfRule>
  </conditionalFormatting>
  <conditionalFormatting sqref="AX41:AX41">
    <cfRule priority="41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{F4DEE03B-9921-4249-A415-4AB17473B898}</x14:id>
        </ext>
      </extLst>
    </cfRule>
  </conditionalFormatting>
  <conditionalFormatting sqref="AX40:AX40">
    <cfRule priority="4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{C6854EE7-F2F8-429D-AA6C-85F46FAEF713}</x14:id>
        </ext>
      </extLst>
    </cfRule>
  </conditionalFormatting>
  <conditionalFormatting sqref="AX39:AX39">
    <cfRule priority="41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{A97FB829-B152-4E39-9515-1AE4F6C9E221}</x14:id>
        </ext>
      </extLst>
    </cfRule>
  </conditionalFormatting>
  <conditionalFormatting sqref="AX38:AX38">
    <cfRule priority="42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{7F8E8566-F583-4EC3-A564-E2FB999C62C0}</x14:id>
        </ext>
      </extLst>
    </cfRule>
  </conditionalFormatting>
  <conditionalFormatting sqref="AX37:AX37">
    <cfRule priority="42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{150F3C2A-0FCD-441F-9362-955BAB6EF112}</x14:id>
        </ext>
      </extLst>
    </cfRule>
  </conditionalFormatting>
  <conditionalFormatting sqref="AX36:AX36">
    <cfRule priority="42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{BBE9C1D0-937E-424B-A71A-70E902660DCE}</x14:id>
        </ext>
      </extLst>
    </cfRule>
  </conditionalFormatting>
  <conditionalFormatting sqref="AX35:AX35">
    <cfRule priority="42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{50325B28-31C4-4DBD-98CF-C157E83DBF59}</x14:id>
        </ext>
      </extLst>
    </cfRule>
  </conditionalFormatting>
  <conditionalFormatting sqref="AX34:AX34">
    <cfRule priority="42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{6BC12C26-610B-4DF0-B4DD-C2C36E50A852}</x14:id>
        </ext>
      </extLst>
    </cfRule>
  </conditionalFormatting>
  <conditionalFormatting sqref="AX33:AX33">
    <cfRule priority="42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{C1D8AF93-CC33-4E9D-8EF1-8BD7BEAD2C45}</x14:id>
        </ext>
      </extLst>
    </cfRule>
  </conditionalFormatting>
  <conditionalFormatting sqref="AX32:AX32">
    <cfRule priority="426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{B41B5217-2A92-4CF3-AC1B-AD797ACF53F7}</x14:id>
        </ext>
      </extLst>
    </cfRule>
  </conditionalFormatting>
  <conditionalFormatting sqref="AX31:AX31">
    <cfRule priority="427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{81EB232C-01B4-4877-BFF4-AB7523A8F725}</x14:id>
        </ext>
      </extLst>
    </cfRule>
  </conditionalFormatting>
  <conditionalFormatting sqref="AX30:AX30">
    <cfRule priority="42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{0A897D8B-8F68-45B7-8D69-93C839E780AB}</x14:id>
        </ext>
      </extLst>
    </cfRule>
  </conditionalFormatting>
  <conditionalFormatting sqref="AX29:AX29">
    <cfRule priority="429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{B72CD886-DA19-44F0-BC72-7CD28EB9AC8D}</x14:id>
        </ext>
      </extLst>
    </cfRule>
  </conditionalFormatting>
  <conditionalFormatting sqref="AX28:AX28">
    <cfRule priority="430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{3630B7C3-0EF3-4C1A-AD54-EA03C6E8E5E8}</x14:id>
        </ext>
      </extLst>
    </cfRule>
  </conditionalFormatting>
  <conditionalFormatting sqref="AX17:AX27">
    <cfRule priority="43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{9E5BDE5C-344B-4F4C-A8AC-818991940238}</x14:id>
        </ext>
      </extLst>
    </cfRule>
  </conditionalFormatting>
  <conditionalFormatting sqref="AX6:AX16">
    <cfRule priority="43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{B6BC4587-3414-40B5-8B07-0D5928AF3DFF}</x14:id>
        </ext>
      </extLst>
    </cfRule>
  </conditionalFormatting>
  <conditionalFormatting sqref="AX5:AX5">
    <cfRule priority="433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{541D75A1-6993-4BF6-90C5-7AB4C0E7E4C7}</x14:id>
        </ext>
      </extLst>
    </cfRule>
  </conditionalFormatting>
  <conditionalFormatting sqref="AX4:AX4">
    <cfRule priority="434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{795FA80B-64F3-47A5-904F-0C17EB30D56F}</x14:id>
        </ext>
      </extLst>
    </cfRule>
  </conditionalFormatting>
  <conditionalFormatting sqref="AX3:AX3">
    <cfRule priority="435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{30E26E31-F48F-46F8-AF3C-FB54D37B1759}</x14:id>
        </ext>
      </extLst>
    </cfRule>
  </conditionalFormatting>
  <conditionalFormatting sqref="L109:L109">
    <cfRule priority="43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{A961073B-80E8-49ED-9E84-02C5609C5626}</x14:id>
        </ext>
      </extLst>
    </cfRule>
  </conditionalFormatting>
  <conditionalFormatting sqref="L108:L108">
    <cfRule priority="43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{4B51A128-ECD7-4FDF-B14B-A31F1F17CDC2}</x14:id>
        </ext>
      </extLst>
    </cfRule>
  </conditionalFormatting>
  <conditionalFormatting sqref="L107:L107">
    <cfRule priority="43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{0FCCE7B6-C772-4257-AA43-FD136D3C54A2}</x14:id>
        </ext>
      </extLst>
    </cfRule>
  </conditionalFormatting>
  <conditionalFormatting sqref="L106:L106">
    <cfRule priority="43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{F732AAC1-72EB-448A-9F5A-7401A0BE2507}</x14:id>
        </ext>
      </extLst>
    </cfRule>
  </conditionalFormatting>
  <conditionalFormatting sqref="L105:L105">
    <cfRule priority="44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{6DF17D50-8079-4042-87A0-A17A80F8C2B9}</x14:id>
        </ext>
      </extLst>
    </cfRule>
  </conditionalFormatting>
  <conditionalFormatting sqref="L104:L104">
    <cfRule priority="44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{141826F7-D0B1-4D13-9E61-F724D545157B}</x14:id>
        </ext>
      </extLst>
    </cfRule>
  </conditionalFormatting>
  <conditionalFormatting sqref="L103:L103">
    <cfRule priority="44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{41F9B6ED-1EF1-47CA-9B43-7D8747B7B211}</x14:id>
        </ext>
      </extLst>
    </cfRule>
  </conditionalFormatting>
  <conditionalFormatting sqref="L102:L102">
    <cfRule priority="44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{8F2B9B2C-10B9-4B76-AF9C-D7C9FBBD682D}</x14:id>
        </ext>
      </extLst>
    </cfRule>
  </conditionalFormatting>
  <conditionalFormatting sqref="L101:L101">
    <cfRule priority="44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{11AD579E-E295-4110-9D4F-DDEF64D1B8B0}</x14:id>
        </ext>
      </extLst>
    </cfRule>
  </conditionalFormatting>
  <conditionalFormatting sqref="L100:L100">
    <cfRule priority="44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{35CE15DA-8D71-4E0C-A134-56708B4AA59F}</x14:id>
        </ext>
      </extLst>
    </cfRule>
  </conditionalFormatting>
  <conditionalFormatting sqref="L99:L99">
    <cfRule priority="44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{A15CD61D-CECE-4B61-AC9C-A227C186E894}</x14:id>
        </ext>
      </extLst>
    </cfRule>
  </conditionalFormatting>
  <conditionalFormatting sqref="L98:L98">
    <cfRule priority="44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{D7EC7E6E-FCD5-4003-A0C9-8DC224711CCF}</x14:id>
        </ext>
      </extLst>
    </cfRule>
  </conditionalFormatting>
  <conditionalFormatting sqref="L97:L97">
    <cfRule priority="44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{B84374B4-33FD-407A-8606-013BB037B3F2}</x14:id>
        </ext>
      </extLst>
    </cfRule>
  </conditionalFormatting>
  <conditionalFormatting sqref="L96:L96">
    <cfRule priority="44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{7EE239B4-5B22-40FA-A2D3-1C14AD9CB1E1}</x14:id>
        </ext>
      </extLst>
    </cfRule>
  </conditionalFormatting>
  <conditionalFormatting sqref="L95:L95">
    <cfRule priority="45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{888C0146-016D-48D6-8FFA-397F7BCAFD47}</x14:id>
        </ext>
      </extLst>
    </cfRule>
  </conditionalFormatting>
  <conditionalFormatting sqref="L94:L94">
    <cfRule priority="45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{A9ABBE31-092A-49EA-9E8F-8591EAB4D8E6}</x14:id>
        </ext>
      </extLst>
    </cfRule>
  </conditionalFormatting>
  <conditionalFormatting sqref="L93:L93">
    <cfRule priority="45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{7A8A042E-4EF3-4813-84E8-C5B0B43BA7ED}</x14:id>
        </ext>
      </extLst>
    </cfRule>
  </conditionalFormatting>
  <conditionalFormatting sqref="L92:L92">
    <cfRule priority="45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{767206D7-69F1-43CE-9DFC-0C204CBAB773}</x14:id>
        </ext>
      </extLst>
    </cfRule>
  </conditionalFormatting>
  <conditionalFormatting sqref="L91:L91">
    <cfRule priority="45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{64CBD998-BDF0-4A41-86C9-A1A033B9EC00}</x14:id>
        </ext>
      </extLst>
    </cfRule>
  </conditionalFormatting>
  <conditionalFormatting sqref="L90:L90">
    <cfRule priority="45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{1BACCE46-7639-4CCF-9106-25A05B366535}</x14:id>
        </ext>
      </extLst>
    </cfRule>
  </conditionalFormatting>
  <conditionalFormatting sqref="L89:L89">
    <cfRule priority="45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{E1910D26-6640-43FC-A167-9ADA0E42C512}</x14:id>
        </ext>
      </extLst>
    </cfRule>
  </conditionalFormatting>
  <conditionalFormatting sqref="L88:L88">
    <cfRule priority="45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{A0656AD7-801B-4A64-AD74-DDC24C152A1C}</x14:id>
        </ext>
      </extLst>
    </cfRule>
  </conditionalFormatting>
  <conditionalFormatting sqref="L87:L87">
    <cfRule priority="45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{3EC7CC85-E35F-45C3-9D20-2B195DC329E3}</x14:id>
        </ext>
      </extLst>
    </cfRule>
  </conditionalFormatting>
  <conditionalFormatting sqref="L86:L86">
    <cfRule priority="45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{1A83F99A-68A9-4633-8828-B2ABE5D31ED3}</x14:id>
        </ext>
      </extLst>
    </cfRule>
  </conditionalFormatting>
  <conditionalFormatting sqref="L85:L85">
    <cfRule priority="46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{B4FAF93A-08D1-4888-9766-E94E60C923FE}</x14:id>
        </ext>
      </extLst>
    </cfRule>
  </conditionalFormatting>
  <conditionalFormatting sqref="L84:L84">
    <cfRule priority="46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{827DA621-5E3C-4398-9FE0-C6B4178D5118}</x14:id>
        </ext>
      </extLst>
    </cfRule>
  </conditionalFormatting>
  <conditionalFormatting sqref="L83:L83">
    <cfRule priority="46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{3803F01D-EF84-462A-B955-5E3F9F47B46F}</x14:id>
        </ext>
      </extLst>
    </cfRule>
  </conditionalFormatting>
  <conditionalFormatting sqref="L82:L82">
    <cfRule priority="46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{6EBA0211-B9C4-48D2-A667-28EF61D6545A}</x14:id>
        </ext>
      </extLst>
    </cfRule>
  </conditionalFormatting>
  <conditionalFormatting sqref="L81:L81">
    <cfRule priority="46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{A57437F5-2D9A-4B1A-8079-5BE62E3EBB31}</x14:id>
        </ext>
      </extLst>
    </cfRule>
  </conditionalFormatting>
  <conditionalFormatting sqref="L80:L80">
    <cfRule priority="46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{0453B4FF-B643-4096-943D-ED163F061E44}</x14:id>
        </ext>
      </extLst>
    </cfRule>
  </conditionalFormatting>
  <conditionalFormatting sqref="L79:L79">
    <cfRule priority="46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{72720296-F3C3-4DD3-90D1-91666FD68BF1}</x14:id>
        </ext>
      </extLst>
    </cfRule>
  </conditionalFormatting>
  <conditionalFormatting sqref="L78:L78">
    <cfRule priority="46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{3881011F-D1DE-4B5F-9F2A-039F1A3B44BE}</x14:id>
        </ext>
      </extLst>
    </cfRule>
  </conditionalFormatting>
  <conditionalFormatting sqref="L77:L77">
    <cfRule priority="46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{9C48B2A7-D6F1-4414-B073-AF1C4310153F}</x14:id>
        </ext>
      </extLst>
    </cfRule>
  </conditionalFormatting>
  <conditionalFormatting sqref="L76:L76">
    <cfRule priority="46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{C38EB8B4-AD43-49C3-B2ED-3262B658F0F9}</x14:id>
        </ext>
      </extLst>
    </cfRule>
  </conditionalFormatting>
  <conditionalFormatting sqref="L75:L75">
    <cfRule priority="47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{46EC5203-693A-4A8E-9639-57504BF6EE37}</x14:id>
        </ext>
      </extLst>
    </cfRule>
  </conditionalFormatting>
  <conditionalFormatting sqref="L74:L74">
    <cfRule priority="47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{C2C0AF06-C108-4056-B060-17836A76EC76}</x14:id>
        </ext>
      </extLst>
    </cfRule>
  </conditionalFormatting>
  <conditionalFormatting sqref="L73:L73">
    <cfRule priority="47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{BC9DD3B4-C09F-487B-BD0E-9DB408ECDE21}</x14:id>
        </ext>
      </extLst>
    </cfRule>
  </conditionalFormatting>
  <conditionalFormatting sqref="L72:L72">
    <cfRule priority="47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{E6816CDC-9052-400E-AAC8-6F811C9EF5CD}</x14:id>
        </ext>
      </extLst>
    </cfRule>
  </conditionalFormatting>
  <conditionalFormatting sqref="L71:L71">
    <cfRule priority="47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{6FCBF707-F966-452D-AABE-FD55C2ED7845}</x14:id>
        </ext>
      </extLst>
    </cfRule>
  </conditionalFormatting>
  <conditionalFormatting sqref="L70:L70">
    <cfRule priority="47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{44AA1CD7-6792-4DE5-AF75-C52EA2BABA60}</x14:id>
        </ext>
      </extLst>
    </cfRule>
  </conditionalFormatting>
  <conditionalFormatting sqref="L69:L69">
    <cfRule priority="47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{E70FC0CC-8B34-43CA-8199-629FA57DA6CC}</x14:id>
        </ext>
      </extLst>
    </cfRule>
  </conditionalFormatting>
  <conditionalFormatting sqref="L68:L68">
    <cfRule priority="47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{C9DD8343-BBCD-45B2-B50A-BDA0318FD9D2}</x14:id>
        </ext>
      </extLst>
    </cfRule>
  </conditionalFormatting>
  <conditionalFormatting sqref="L67:L67">
    <cfRule priority="47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{B5E95728-FAAA-4B03-BCCF-46E8FF97BAE4}</x14:id>
        </ext>
      </extLst>
    </cfRule>
  </conditionalFormatting>
  <conditionalFormatting sqref="L66:L66">
    <cfRule priority="47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{F31923D0-7A2A-41FA-B766-9BF0265A54F5}</x14:id>
        </ext>
      </extLst>
    </cfRule>
  </conditionalFormatting>
  <conditionalFormatting sqref="L65:L65">
    <cfRule priority="48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{8F395B42-53F5-474C-9A11-AAC3F2A829A5}</x14:id>
        </ext>
      </extLst>
    </cfRule>
  </conditionalFormatting>
  <conditionalFormatting sqref="L64:L64">
    <cfRule priority="48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{73803BBB-7BA9-49F9-9D53-D7AD144E7212}</x14:id>
        </ext>
      </extLst>
    </cfRule>
  </conditionalFormatting>
  <conditionalFormatting sqref="L63:L63">
    <cfRule priority="48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{08B56FB4-C60C-4528-B9FA-A4F78AFF7CC4}</x14:id>
        </ext>
      </extLst>
    </cfRule>
  </conditionalFormatting>
  <conditionalFormatting sqref="L62:L62">
    <cfRule priority="48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{FB5155F4-6FCE-4544-B900-025AFE28AD51}</x14:id>
        </ext>
      </extLst>
    </cfRule>
  </conditionalFormatting>
  <conditionalFormatting sqref="L61:L61">
    <cfRule priority="48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{050AB0E2-26EE-4A9A-B938-F9905072BF96}</x14:id>
        </ext>
      </extLst>
    </cfRule>
  </conditionalFormatting>
  <conditionalFormatting sqref="L60:L60">
    <cfRule priority="48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{784D95AB-990B-462E-AE68-90B1B3873413}</x14:id>
        </ext>
      </extLst>
    </cfRule>
  </conditionalFormatting>
  <conditionalFormatting sqref="L59:L59">
    <cfRule priority="48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{7F41AFB4-4878-49CA-8A1E-6983A3FF36BA}</x14:id>
        </ext>
      </extLst>
    </cfRule>
  </conditionalFormatting>
  <conditionalFormatting sqref="L58:L58">
    <cfRule priority="48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{F6E0E33B-8946-4B25-82C5-B2C13FD6AEA2}</x14:id>
        </ext>
      </extLst>
    </cfRule>
  </conditionalFormatting>
  <conditionalFormatting sqref="L57:L57">
    <cfRule priority="48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{53DC7617-1C10-44E2-A798-FA0448DFD573}</x14:id>
        </ext>
      </extLst>
    </cfRule>
  </conditionalFormatting>
  <conditionalFormatting sqref="L56:L56">
    <cfRule priority="48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{293022C0-DE08-4F83-B55F-402F6EE3330C}</x14:id>
        </ext>
      </extLst>
    </cfRule>
  </conditionalFormatting>
  <conditionalFormatting sqref="L55:L55">
    <cfRule priority="49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{0411FE20-D162-46D9-8ACC-4F95C4CE5CA6}</x14:id>
        </ext>
      </extLst>
    </cfRule>
  </conditionalFormatting>
  <conditionalFormatting sqref="L54:L54">
    <cfRule priority="49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{4A9AA19A-2952-43BC-935C-396AFF9158BC}</x14:id>
        </ext>
      </extLst>
    </cfRule>
  </conditionalFormatting>
  <conditionalFormatting sqref="L53:L53">
    <cfRule priority="49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{9E59FE04-7F88-46E9-BA8A-0B195618F34F}</x14:id>
        </ext>
      </extLst>
    </cfRule>
  </conditionalFormatting>
  <conditionalFormatting sqref="L52:L52">
    <cfRule priority="49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{21D719DA-BFDF-42FF-8EDB-CE0B866E1EE7}</x14:id>
        </ext>
      </extLst>
    </cfRule>
  </conditionalFormatting>
  <conditionalFormatting sqref="L51:L51">
    <cfRule priority="49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{7B1DB3B2-B3DE-4BB2-8D7E-4D03CAF85906}</x14:id>
        </ext>
      </extLst>
    </cfRule>
  </conditionalFormatting>
  <conditionalFormatting sqref="L50:L50">
    <cfRule priority="49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{89E543F4-563E-4891-BB3F-63837D69C46F}</x14:id>
        </ext>
      </extLst>
    </cfRule>
  </conditionalFormatting>
  <conditionalFormatting sqref="L49:L49">
    <cfRule priority="49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{F06D0ADE-9BC3-4590-ABAF-A1FDCD4D8C1E}</x14:id>
        </ext>
      </extLst>
    </cfRule>
  </conditionalFormatting>
  <conditionalFormatting sqref="L48:L48">
    <cfRule priority="49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{97261179-98CC-42C1-B402-F5EE2E26C248}</x14:id>
        </ext>
      </extLst>
    </cfRule>
  </conditionalFormatting>
  <conditionalFormatting sqref="L47:L47">
    <cfRule priority="49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{F88FE13C-3658-45BD-9A11-27A622D89753}</x14:id>
        </ext>
      </extLst>
    </cfRule>
  </conditionalFormatting>
  <conditionalFormatting sqref="L46:L46">
    <cfRule priority="49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{BF50DBAE-E059-4FE3-976E-5A5B9F3A3192}</x14:id>
        </ext>
      </extLst>
    </cfRule>
  </conditionalFormatting>
  <conditionalFormatting sqref="L45:L45">
    <cfRule priority="50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{53156BA1-E482-4F12-8818-33CB7583F765}</x14:id>
        </ext>
      </extLst>
    </cfRule>
  </conditionalFormatting>
  <conditionalFormatting sqref="L44:L44">
    <cfRule priority="50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{925BA279-EEEB-4F96-8F76-2DBB813B02EF}</x14:id>
        </ext>
      </extLst>
    </cfRule>
  </conditionalFormatting>
  <conditionalFormatting sqref="L43:L43">
    <cfRule priority="50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{2D722132-BA3D-4B57-9FD7-628FEA144690}</x14:id>
        </ext>
      </extLst>
    </cfRule>
  </conditionalFormatting>
  <conditionalFormatting sqref="L42:L42">
    <cfRule priority="50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{DDD1D324-A2CB-4081-AA02-9FA4A2A6C657}</x14:id>
        </ext>
      </extLst>
    </cfRule>
  </conditionalFormatting>
  <conditionalFormatting sqref="L41:L41">
    <cfRule priority="50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{B4C24B8E-0132-4582-94FB-126A28ED35C0}</x14:id>
        </ext>
      </extLst>
    </cfRule>
  </conditionalFormatting>
  <conditionalFormatting sqref="L40:L40">
    <cfRule priority="50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{0AE0ACDD-3FE1-4F4D-A891-F0008E55E5DB}</x14:id>
        </ext>
      </extLst>
    </cfRule>
  </conditionalFormatting>
  <conditionalFormatting sqref="L39:L39">
    <cfRule priority="50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{3DF5E045-B29C-4648-A173-9BAD272A199E}</x14:id>
        </ext>
      </extLst>
    </cfRule>
  </conditionalFormatting>
  <conditionalFormatting sqref="L38:L38">
    <cfRule priority="50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{E5511E4E-1F18-42F6-B09C-279E1CE2CEF8}</x14:id>
        </ext>
      </extLst>
    </cfRule>
  </conditionalFormatting>
  <conditionalFormatting sqref="L37:L37">
    <cfRule priority="50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{93302387-F510-45C2-8A07-A9BA0EA271DF}</x14:id>
        </ext>
      </extLst>
    </cfRule>
  </conditionalFormatting>
  <conditionalFormatting sqref="L36:L36">
    <cfRule priority="50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{CA3D72C2-38BE-4F7E-8FDE-D9BEAAED8439}</x14:id>
        </ext>
      </extLst>
    </cfRule>
  </conditionalFormatting>
  <conditionalFormatting sqref="L35:L35">
    <cfRule priority="5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{CE6E91A6-F5D5-4D1F-9316-64607EFD990E}</x14:id>
        </ext>
      </extLst>
    </cfRule>
  </conditionalFormatting>
  <conditionalFormatting sqref="L34:L34">
    <cfRule priority="5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{ED3F3819-2A8A-4F7A-839C-4D827FA2CA1F}</x14:id>
        </ext>
      </extLst>
    </cfRule>
  </conditionalFormatting>
  <conditionalFormatting sqref="L33:L33">
    <cfRule priority="51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{2DD86341-57C5-4549-A99A-A90D720D9CF6}</x14:id>
        </ext>
      </extLst>
    </cfRule>
  </conditionalFormatting>
  <conditionalFormatting sqref="L32:L32">
    <cfRule priority="5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{EEA888C1-E6D9-482D-956B-FAEDBFB772BE}</x14:id>
        </ext>
      </extLst>
    </cfRule>
  </conditionalFormatting>
  <conditionalFormatting sqref="L31:L31">
    <cfRule priority="514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{F39D17EA-E793-425D-9ACB-6E4E9BC93DA1}</x14:id>
        </ext>
      </extLst>
    </cfRule>
  </conditionalFormatting>
  <conditionalFormatting sqref="L30:L30">
    <cfRule priority="5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{3F77183E-BF95-49CD-A4C0-BEB41EFA8495}</x14:id>
        </ext>
      </extLst>
    </cfRule>
  </conditionalFormatting>
  <conditionalFormatting sqref="L29:L29">
    <cfRule priority="5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{C5330493-F68A-43E0-8F5D-FD18F007DD01}</x14:id>
        </ext>
      </extLst>
    </cfRule>
  </conditionalFormatting>
  <conditionalFormatting sqref="L28:L28">
    <cfRule priority="517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{CF5337A5-3DEC-498B-AD15-547CE6E2B650}</x14:id>
        </ext>
      </extLst>
    </cfRule>
  </conditionalFormatting>
  <conditionalFormatting sqref="L17:L27">
    <cfRule priority="518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{1B8969A8-51A8-46EC-A08C-ED69E20260FA}</x14:id>
        </ext>
      </extLst>
    </cfRule>
  </conditionalFormatting>
  <conditionalFormatting sqref="L6:L16">
    <cfRule priority="519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{1DE0C4D1-CF3F-4D21-B2A4-929D89808872}</x14:id>
        </ext>
      </extLst>
    </cfRule>
  </conditionalFormatting>
  <conditionalFormatting sqref="L5:L5">
    <cfRule priority="52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{A2749E00-E44A-4C67-8E35-89307C62647C}</x14:id>
        </ext>
      </extLst>
    </cfRule>
  </conditionalFormatting>
  <conditionalFormatting sqref="L4:L4">
    <cfRule priority="52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{7A701D82-C487-4427-B589-F622E6AFFFFF}</x14:id>
        </ext>
      </extLst>
    </cfRule>
  </conditionalFormatting>
  <conditionalFormatting sqref="L3:L3">
    <cfRule priority="522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{E40DB340-CDCF-49AC-B9A0-E5A2A7C361C8}</x14:id>
        </ext>
      </extLst>
    </cfRule>
  </conditionalFormatting>
  <conditionalFormatting sqref="M109:M109">
    <cfRule priority="52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{B283EBF9-1D11-4DD6-87F0-6CD7F54BE543}</x14:id>
        </ext>
      </extLst>
    </cfRule>
  </conditionalFormatting>
  <conditionalFormatting sqref="M108:M108">
    <cfRule priority="52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{A1C82C13-2FEC-4E5E-90F0-2630B2443CBE}</x14:id>
        </ext>
      </extLst>
    </cfRule>
  </conditionalFormatting>
  <conditionalFormatting sqref="M107:M107">
    <cfRule priority="52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{55216A3C-E21D-4D60-AA43-1F9E42F37CAD}</x14:id>
        </ext>
      </extLst>
    </cfRule>
  </conditionalFormatting>
  <conditionalFormatting sqref="M106:M106">
    <cfRule priority="52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{052D8649-8E7C-4201-9862-521E701FF3EE}</x14:id>
        </ext>
      </extLst>
    </cfRule>
  </conditionalFormatting>
  <conditionalFormatting sqref="M105:M105">
    <cfRule priority="52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{8BEA3B2A-901F-45F6-B394-80FAD75E45F2}</x14:id>
        </ext>
      </extLst>
    </cfRule>
  </conditionalFormatting>
  <conditionalFormatting sqref="M104:M104">
    <cfRule priority="52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{DFFA8CB9-8916-4437-9618-6DA495CF77A9}</x14:id>
        </ext>
      </extLst>
    </cfRule>
  </conditionalFormatting>
  <conditionalFormatting sqref="M103:M103">
    <cfRule priority="52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{E734E5EF-3706-4408-8782-AD2E3D1F5EE7}</x14:id>
        </ext>
      </extLst>
    </cfRule>
  </conditionalFormatting>
  <conditionalFormatting sqref="M102:M102">
    <cfRule priority="53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{34732782-C0C1-484A-B99A-9A447720E8BF}</x14:id>
        </ext>
      </extLst>
    </cfRule>
  </conditionalFormatting>
  <conditionalFormatting sqref="M101:M101">
    <cfRule priority="53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{2F3184F3-03C7-4B0E-BF01-AD19F9C6320C}</x14:id>
        </ext>
      </extLst>
    </cfRule>
  </conditionalFormatting>
  <conditionalFormatting sqref="M100:M100">
    <cfRule priority="53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{5D5CB3EB-BD0B-472D-A12D-B3A5AF9E6C6D}</x14:id>
        </ext>
      </extLst>
    </cfRule>
  </conditionalFormatting>
  <conditionalFormatting sqref="M99:M99">
    <cfRule priority="53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{8C08D464-E2B5-4D9D-8213-8B86459CE48A}</x14:id>
        </ext>
      </extLst>
    </cfRule>
  </conditionalFormatting>
  <conditionalFormatting sqref="M98:M98">
    <cfRule priority="53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{101630D8-4555-4771-8569-4DECB101FA43}</x14:id>
        </ext>
      </extLst>
    </cfRule>
  </conditionalFormatting>
  <conditionalFormatting sqref="M97:M97">
    <cfRule priority="53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{EE20AE5B-53FA-41EC-8814-6B1B6DBD4462}</x14:id>
        </ext>
      </extLst>
    </cfRule>
  </conditionalFormatting>
  <conditionalFormatting sqref="M96:M96">
    <cfRule priority="53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{727C4398-FF6A-4E61-AEDB-6B407E7FBD1F}</x14:id>
        </ext>
      </extLst>
    </cfRule>
  </conditionalFormatting>
  <conditionalFormatting sqref="M95:M95">
    <cfRule priority="53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{AF4B97B0-7981-43C6-B42A-537D540F7E18}</x14:id>
        </ext>
      </extLst>
    </cfRule>
  </conditionalFormatting>
  <conditionalFormatting sqref="M94:M94">
    <cfRule priority="53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{7A2D8336-105A-4A06-B0F6-101352734CB8}</x14:id>
        </ext>
      </extLst>
    </cfRule>
  </conditionalFormatting>
  <conditionalFormatting sqref="M93:M93">
    <cfRule priority="53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{494C5B86-3F04-422D-AA2E-01BCF87A55DF}</x14:id>
        </ext>
      </extLst>
    </cfRule>
  </conditionalFormatting>
  <conditionalFormatting sqref="M92:M92">
    <cfRule priority="54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{2457E9EE-0C53-46DC-B22D-C4F969BBD627}</x14:id>
        </ext>
      </extLst>
    </cfRule>
  </conditionalFormatting>
  <conditionalFormatting sqref="M91:M91">
    <cfRule priority="54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{70C51026-60A4-483E-BB4C-C87E2CEC600B}</x14:id>
        </ext>
      </extLst>
    </cfRule>
  </conditionalFormatting>
  <conditionalFormatting sqref="M90:M90">
    <cfRule priority="54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{8F0C1A96-B055-4FB2-A159-ECCA0A890D0E}</x14:id>
        </ext>
      </extLst>
    </cfRule>
  </conditionalFormatting>
  <conditionalFormatting sqref="M89:M89">
    <cfRule priority="54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{B0D166AC-2B2D-437F-A9CB-1733825F0EAC}</x14:id>
        </ext>
      </extLst>
    </cfRule>
  </conditionalFormatting>
  <conditionalFormatting sqref="M88:M88">
    <cfRule priority="54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{2393E0D2-3753-4CF0-AA79-35E7B3EC803F}</x14:id>
        </ext>
      </extLst>
    </cfRule>
  </conditionalFormatting>
  <conditionalFormatting sqref="M87:M87">
    <cfRule priority="54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{8759CDCC-4465-468C-B9CF-F57306F9FA44}</x14:id>
        </ext>
      </extLst>
    </cfRule>
  </conditionalFormatting>
  <conditionalFormatting sqref="M86:M86">
    <cfRule priority="54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{40928E49-5064-45D7-9BD1-515FC9FDEFC8}</x14:id>
        </ext>
      </extLst>
    </cfRule>
  </conditionalFormatting>
  <conditionalFormatting sqref="M85:M85">
    <cfRule priority="54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{5797C200-4A5D-4A4A-9686-70408C01771E}</x14:id>
        </ext>
      </extLst>
    </cfRule>
  </conditionalFormatting>
  <conditionalFormatting sqref="M84:M84">
    <cfRule priority="54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{D0BE8E12-4627-4720-A980-6DDBBCC14D7D}</x14:id>
        </ext>
      </extLst>
    </cfRule>
  </conditionalFormatting>
  <conditionalFormatting sqref="M83:M83">
    <cfRule priority="54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{DDCD0873-45F3-40D3-981B-F6DEBAD8333A}</x14:id>
        </ext>
      </extLst>
    </cfRule>
  </conditionalFormatting>
  <conditionalFormatting sqref="M82:M82">
    <cfRule priority="55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{820A22D0-5225-4F84-A7D3-8AE79EC8E0A0}</x14:id>
        </ext>
      </extLst>
    </cfRule>
  </conditionalFormatting>
  <conditionalFormatting sqref="M81:M81">
    <cfRule priority="55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{83BDF5C5-9A94-43C5-847A-E485236F044F}</x14:id>
        </ext>
      </extLst>
    </cfRule>
  </conditionalFormatting>
  <conditionalFormatting sqref="M80:M80">
    <cfRule priority="55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{067B33F0-BFE3-4362-9445-9E4F413A1AC0}</x14:id>
        </ext>
      </extLst>
    </cfRule>
  </conditionalFormatting>
  <conditionalFormatting sqref="M79:M79">
    <cfRule priority="55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{7ECEF0B9-8870-4D5A-A133-0944FDC0D910}</x14:id>
        </ext>
      </extLst>
    </cfRule>
  </conditionalFormatting>
  <conditionalFormatting sqref="M78:M78">
    <cfRule priority="55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{A754F2EA-F530-4BD1-BBED-973B7458A2CB}</x14:id>
        </ext>
      </extLst>
    </cfRule>
  </conditionalFormatting>
  <conditionalFormatting sqref="M77:M77">
    <cfRule priority="55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{C298CE81-3BE5-4D25-A609-0D28C0AAE6CE}</x14:id>
        </ext>
      </extLst>
    </cfRule>
  </conditionalFormatting>
  <conditionalFormatting sqref="M76:M76">
    <cfRule priority="55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{F0537B7D-3FE3-4585-B4D3-FD88580C7936}</x14:id>
        </ext>
      </extLst>
    </cfRule>
  </conditionalFormatting>
  <conditionalFormatting sqref="M75:M75">
    <cfRule priority="55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{1C465C47-D60B-4D02-AF00-34DAF69FDB28}</x14:id>
        </ext>
      </extLst>
    </cfRule>
  </conditionalFormatting>
  <conditionalFormatting sqref="M74:M74">
    <cfRule priority="55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{0C2886C3-29E5-439F-9500-1A2B355E05D4}</x14:id>
        </ext>
      </extLst>
    </cfRule>
  </conditionalFormatting>
  <conditionalFormatting sqref="M73:M73">
    <cfRule priority="55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{3E2DCEDC-EFB7-4F28-869A-10A2A183D077}</x14:id>
        </ext>
      </extLst>
    </cfRule>
  </conditionalFormatting>
  <conditionalFormatting sqref="M72:M72">
    <cfRule priority="56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{3DA6029F-751B-4909-9A4F-44013B2601D5}</x14:id>
        </ext>
      </extLst>
    </cfRule>
  </conditionalFormatting>
  <conditionalFormatting sqref="M71:M71">
    <cfRule priority="56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{DEC7BCE1-AF07-43F3-8A91-5A3834E7EAD6}</x14:id>
        </ext>
      </extLst>
    </cfRule>
  </conditionalFormatting>
  <conditionalFormatting sqref="M70:M70">
    <cfRule priority="56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{136A8DFB-5607-402D-8FCB-338DB5B31AEE}</x14:id>
        </ext>
      </extLst>
    </cfRule>
  </conditionalFormatting>
  <conditionalFormatting sqref="M69:M69">
    <cfRule priority="56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{639A989D-472B-494A-9333-E40143BBA84B}</x14:id>
        </ext>
      </extLst>
    </cfRule>
  </conditionalFormatting>
  <conditionalFormatting sqref="M68:M68">
    <cfRule priority="56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{97B9D925-96C7-468F-934F-314D2F7E9329}</x14:id>
        </ext>
      </extLst>
    </cfRule>
  </conditionalFormatting>
  <conditionalFormatting sqref="M67:M67">
    <cfRule priority="56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{C116E66F-16C0-4609-8B5E-1807BEDD2721}</x14:id>
        </ext>
      </extLst>
    </cfRule>
  </conditionalFormatting>
  <conditionalFormatting sqref="M66:M66">
    <cfRule priority="56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{840EC05A-18F7-4484-8B51-1416557C0C9F}</x14:id>
        </ext>
      </extLst>
    </cfRule>
  </conditionalFormatting>
  <conditionalFormatting sqref="M65:M65">
    <cfRule priority="56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{2939BED6-48A5-495B-BD3C-3096B405F203}</x14:id>
        </ext>
      </extLst>
    </cfRule>
  </conditionalFormatting>
  <conditionalFormatting sqref="M64:M64">
    <cfRule priority="56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{E71EC418-A4F9-453E-80DE-1E5E6EB0788B}</x14:id>
        </ext>
      </extLst>
    </cfRule>
  </conditionalFormatting>
  <conditionalFormatting sqref="M63:M63">
    <cfRule priority="56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{38007F28-02A2-41AE-8F3C-F0008E89820E}</x14:id>
        </ext>
      </extLst>
    </cfRule>
  </conditionalFormatting>
  <conditionalFormatting sqref="M62:M62">
    <cfRule priority="57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{2CF29517-43BE-4085-9433-0A605FCF6053}</x14:id>
        </ext>
      </extLst>
    </cfRule>
  </conditionalFormatting>
  <conditionalFormatting sqref="M61:M61">
    <cfRule priority="57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{4C81BFAF-373E-4110-90AF-24AC17EC39EA}</x14:id>
        </ext>
      </extLst>
    </cfRule>
  </conditionalFormatting>
  <conditionalFormatting sqref="M60:M60">
    <cfRule priority="57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{A19A1E28-4F74-4D71-A53D-346535B48BCB}</x14:id>
        </ext>
      </extLst>
    </cfRule>
  </conditionalFormatting>
  <conditionalFormatting sqref="M59:M59">
    <cfRule priority="57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{4A2C7CE1-CE9E-4AF2-B4DC-AFBF736DE5B6}</x14:id>
        </ext>
      </extLst>
    </cfRule>
  </conditionalFormatting>
  <conditionalFormatting sqref="M58:M58">
    <cfRule priority="57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{EB17A403-681E-4455-B43E-02C795624706}</x14:id>
        </ext>
      </extLst>
    </cfRule>
  </conditionalFormatting>
  <conditionalFormatting sqref="M57:M57">
    <cfRule priority="57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{A8ABD53A-61CD-4A98-AAE5-770E749A4419}</x14:id>
        </ext>
      </extLst>
    </cfRule>
  </conditionalFormatting>
  <conditionalFormatting sqref="M56:M56">
    <cfRule priority="57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{D30A78BC-97DD-4DE7-8A7F-2BCED949724F}</x14:id>
        </ext>
      </extLst>
    </cfRule>
  </conditionalFormatting>
  <conditionalFormatting sqref="M55:M55">
    <cfRule priority="57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{F94141BA-B2C8-4DE0-9D1F-F1409DA4BEFE}</x14:id>
        </ext>
      </extLst>
    </cfRule>
  </conditionalFormatting>
  <conditionalFormatting sqref="M54:M54">
    <cfRule priority="57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{AE154B37-0B01-431B-A13D-A5097E50E24A}</x14:id>
        </ext>
      </extLst>
    </cfRule>
  </conditionalFormatting>
  <conditionalFormatting sqref="M53:M53">
    <cfRule priority="57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{A70BA24D-962F-4723-AB75-4238712547E5}</x14:id>
        </ext>
      </extLst>
    </cfRule>
  </conditionalFormatting>
  <conditionalFormatting sqref="M52:M52">
    <cfRule priority="58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{2A2C2D17-4539-47B0-A56B-7A74C9453CAA}</x14:id>
        </ext>
      </extLst>
    </cfRule>
  </conditionalFormatting>
  <conditionalFormatting sqref="M51:M51">
    <cfRule priority="58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{E4C7B649-7899-4F0C-806D-A862790BA3C0}</x14:id>
        </ext>
      </extLst>
    </cfRule>
  </conditionalFormatting>
  <conditionalFormatting sqref="M50:M50">
    <cfRule priority="58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{941B8697-A310-44AF-A2A4-98A19A956B6C}</x14:id>
        </ext>
      </extLst>
    </cfRule>
  </conditionalFormatting>
  <conditionalFormatting sqref="M49:M49">
    <cfRule priority="58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{7D06B491-93B2-44D7-B09A-06F3497C6A1D}</x14:id>
        </ext>
      </extLst>
    </cfRule>
  </conditionalFormatting>
  <conditionalFormatting sqref="M48:M48">
    <cfRule priority="58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{92D44085-C5EC-44D2-9E24-68124CF125A9}</x14:id>
        </ext>
      </extLst>
    </cfRule>
  </conditionalFormatting>
  <conditionalFormatting sqref="M47:M47">
    <cfRule priority="58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{E9B8CFD4-791B-4FDF-AAA0-28D177F490D5}</x14:id>
        </ext>
      </extLst>
    </cfRule>
  </conditionalFormatting>
  <conditionalFormatting sqref="M46:M46">
    <cfRule priority="58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{3B3E3B02-2967-46A5-BAE3-150195361AF8}</x14:id>
        </ext>
      </extLst>
    </cfRule>
  </conditionalFormatting>
  <conditionalFormatting sqref="M45:M45">
    <cfRule priority="58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{E557D16A-DF1E-48C5-B574-6781AEB3B66A}</x14:id>
        </ext>
      </extLst>
    </cfRule>
  </conditionalFormatting>
  <conditionalFormatting sqref="M44:M44">
    <cfRule priority="58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{AE291C20-FE50-4CC6-885D-2BF92AE664F3}</x14:id>
        </ext>
      </extLst>
    </cfRule>
  </conditionalFormatting>
  <conditionalFormatting sqref="M43:M43">
    <cfRule priority="58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{35126DBB-6FE9-4B52-ADA2-27084EB1568F}</x14:id>
        </ext>
      </extLst>
    </cfRule>
  </conditionalFormatting>
  <conditionalFormatting sqref="M42:M42">
    <cfRule priority="59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{A7BE2D75-1F24-4978-923D-1F2633E61DD7}</x14:id>
        </ext>
      </extLst>
    </cfRule>
  </conditionalFormatting>
  <conditionalFormatting sqref="M41:M41">
    <cfRule priority="59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{AD69367C-BE87-4E50-BA9F-ACF76907F970}</x14:id>
        </ext>
      </extLst>
    </cfRule>
  </conditionalFormatting>
  <conditionalFormatting sqref="M40:M40">
    <cfRule priority="59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{6B712A29-3FEC-40BB-8487-0194F671ACC8}</x14:id>
        </ext>
      </extLst>
    </cfRule>
  </conditionalFormatting>
  <conditionalFormatting sqref="M39:M39">
    <cfRule priority="59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{D3FA48F0-8FD8-47A6-9E58-89CB93AFFD60}</x14:id>
        </ext>
      </extLst>
    </cfRule>
  </conditionalFormatting>
  <conditionalFormatting sqref="M38:M38">
    <cfRule priority="59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{26352780-A417-49CB-9AA1-44FD72C72534}</x14:id>
        </ext>
      </extLst>
    </cfRule>
  </conditionalFormatting>
  <conditionalFormatting sqref="M37:M37">
    <cfRule priority="59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{AD6A3252-F3F7-4172-A797-D2A890A31095}</x14:id>
        </ext>
      </extLst>
    </cfRule>
  </conditionalFormatting>
  <conditionalFormatting sqref="M36:M36">
    <cfRule priority="59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{812E8C59-F846-40C3-BF1A-6986DFBD9019}</x14:id>
        </ext>
      </extLst>
    </cfRule>
  </conditionalFormatting>
  <conditionalFormatting sqref="M35:M35">
    <cfRule priority="59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{85F3AE1B-E7C8-4D7B-B964-8BD97D4170C3}</x14:id>
        </ext>
      </extLst>
    </cfRule>
  </conditionalFormatting>
  <conditionalFormatting sqref="M34:M34">
    <cfRule priority="59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{B94D28F2-88EB-43BD-AA32-0BE886D118A1}</x14:id>
        </ext>
      </extLst>
    </cfRule>
  </conditionalFormatting>
  <conditionalFormatting sqref="M33:M33">
    <cfRule priority="59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{BDB85036-CA21-4B70-9FF8-5F9DC601E049}</x14:id>
        </ext>
      </extLst>
    </cfRule>
  </conditionalFormatting>
  <conditionalFormatting sqref="M32:M32">
    <cfRule priority="600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{5839B2E2-0735-4E33-A731-2EE6BC892DA4}</x14:id>
        </ext>
      </extLst>
    </cfRule>
  </conditionalFormatting>
  <conditionalFormatting sqref="M31:M31">
    <cfRule priority="601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{8A67E81B-8F7F-4148-B356-0FA3EB0E5600}</x14:id>
        </ext>
      </extLst>
    </cfRule>
  </conditionalFormatting>
  <conditionalFormatting sqref="M30:M30">
    <cfRule priority="602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{9E8B8B66-0073-4593-BA07-7F9F0CD90668}</x14:id>
        </ext>
      </extLst>
    </cfRule>
  </conditionalFormatting>
  <conditionalFormatting sqref="M29:M29">
    <cfRule priority="603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{9FCD52AF-8AC3-4D34-B98F-62EC5A703104}</x14:id>
        </ext>
      </extLst>
    </cfRule>
  </conditionalFormatting>
  <conditionalFormatting sqref="M28:M28">
    <cfRule priority="60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{A2A04B2C-E311-4EC2-A3FC-F129D7678A28}</x14:id>
        </ext>
      </extLst>
    </cfRule>
  </conditionalFormatting>
  <conditionalFormatting sqref="M17:M27">
    <cfRule priority="605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{9199ABBC-1302-4808-8D18-7553134A6A04}</x14:id>
        </ext>
      </extLst>
    </cfRule>
  </conditionalFormatting>
  <conditionalFormatting sqref="M6:M16">
    <cfRule priority="606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{8BB679FB-BA88-4858-8661-80C86796074B}</x14:id>
        </ext>
      </extLst>
    </cfRule>
  </conditionalFormatting>
  <conditionalFormatting sqref="M5:M5">
    <cfRule priority="60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{57DB9729-7C40-4342-BCC6-C1514639C4F8}</x14:id>
        </ext>
      </extLst>
    </cfRule>
  </conditionalFormatting>
  <conditionalFormatting sqref="M4:M4">
    <cfRule priority="608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{08AB1F2A-68E2-45C4-B6BC-64312310CF3B}</x14:id>
        </ext>
      </extLst>
    </cfRule>
  </conditionalFormatting>
  <conditionalFormatting sqref="M3:M3">
    <cfRule priority="60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{31C2BF13-522C-40A4-B498-A97A44525877}</x14:id>
        </ext>
      </extLst>
    </cfRule>
  </conditionalFormatting>
  <conditionalFormatting sqref="AE1:AE2 AE2:AE3 AE110:AE110">
    <cfRule priority="610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{C1DDE344-0D0E-4552-9327-EE0F362597E7}</x14:id>
        </ext>
      </extLst>
    </cfRule>
  </conditionalFormatting>
  <conditionalFormatting sqref="AY2:AY2 AY2:AY3 AY1:AY1048576">
    <cfRule priority="611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{2CA61FD2-9674-4A88-9097-FA905552E585}</x14:id>
        </ext>
      </extLst>
    </cfRule>
  </conditionalFormatting>
  <conditionalFormatting sqref="AX2:AX2 AX2:AX3 AX1:AX1048576">
    <cfRule priority="612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{AD43C782-7CAB-4277-8330-1286D48CBA8A}</x14:id>
        </ext>
      </extLst>
    </cfRule>
  </conditionalFormatting>
  <conditionalFormatting sqref="L1:L2 L2:L3 L110:L110">
    <cfRule priority="613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{E20D6D12-432A-4F28-833A-5F6696953EDF}</x14:id>
        </ext>
      </extLst>
    </cfRule>
  </conditionalFormatting>
  <conditionalFormatting sqref="M1:M2 M2:M3 M110:M110">
    <cfRule priority="614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{A402688A-DC2C-4B73-A93C-2201A83D97C7}</x14:id>
        </ext>
      </extLst>
    </cfRule>
  </conditionalFormatting>
  <conditionalFormatting sqref="N1:N1">
    <cfRule priority="615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{82C4701C-BF97-4EFB-A041-3B93A3B744F5}</x14:id>
        </ext>
      </extLst>
    </cfRule>
  </conditionalFormatting>
  <conditionalFormatting sqref="M1:M2 O1:O1">
    <cfRule priority="616" type="dataBar">
      <dataBar showValue="true">
        <cfvo type="min"/>
        <cfvo type="max"/>
        <color rgb="FF63C384"/>
      </dataBar>
      <extLst>
        <ext xmlns:x14="http://schemas.microsoft.com/office/spreadsheetml/2009/9/main" uri="{B025F937-C7B1-47D3-B67F-A62EFF666E3E}">
          <x14:id>{7499A920-90C2-4F99-A97A-F35C6B4A4DF4}</x14:id>
        </ext>
      </extLst>
    </cfRule>
  </conditionalFormatting>
  <conditionalFormatting sqref="AF1:AF2">
    <cfRule priority="617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{4597C129-8D5C-4D35-A736-27ACBC767519}</x14:id>
        </ext>
      </extLst>
    </cfRule>
  </conditionalFormatting>
  <conditionalFormatting sqref="AJ2:AJ2">
    <cfRule priority="618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{2EAF8AC7-8C11-48E6-BC94-036EB55F061C}</x14:id>
        </ext>
      </extLst>
    </cfRule>
  </conditionalFormatting>
  <conditionalFormatting sqref="AF2:AF2">
    <cfRule priority="619" type="dataBar">
      <dataBar showValue="true">
        <cfvo type="min"/>
        <cfvo type="max"/>
        <color rgb="FFFF555A"/>
      </dataBar>
      <extLst>
        <ext xmlns:x14="http://schemas.microsoft.com/office/spreadsheetml/2009/9/main" uri="{B025F937-C7B1-47D3-B67F-A62EFF666E3E}">
          <x14:id>{A06BFFA0-EC86-4D4A-87C3-360610F6FD7F}</x14:id>
        </ext>
      </extLst>
    </cfRule>
  </conditionalFormatting>
  <conditionalFormatting sqref="AK2:AK2">
    <cfRule priority="620" type="dataBar">
      <dataBar showValue="true">
        <cfvo type="min"/>
        <cfvo type="max"/>
        <color rgb="FFFFB628"/>
      </dataBar>
      <extLst>
        <ext xmlns:x14="http://schemas.microsoft.com/office/spreadsheetml/2009/9/main" uri="{B025F937-C7B1-47D3-B67F-A62EFF666E3E}">
          <x14:id>{08FE2D8D-12D7-4FBE-A2C0-5B9A804F5738}</x14:id>
        </ext>
      </extLst>
    </cfRule>
  </conditionalFormatting>
  <conditionalFormatting sqref="P1:P2 Q1:Q1">
    <cfRule priority="621" type="dataBar">
      <dataBar showValue="true">
        <cfvo type="min"/>
        <cfvo type="max"/>
        <color rgb="FF638EC6"/>
      </dataBar>
      <extLst>
        <ext xmlns:x14="http://schemas.microsoft.com/office/spreadsheetml/2009/9/main" uri="{B025F937-C7B1-47D3-B67F-A62EFF666E3E}">
          <x14:id>{C9896F30-F81A-4454-B1BE-FE154029D147}</x14:id>
        </ext>
      </extLst>
    </cfRule>
  </conditionalFormatting>
  <conditionalFormatting sqref="AJ2:AJ2">
    <cfRule priority="622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{7A02A295-149E-4AB1-9444-C6CA47FF0C5C}</x14:id>
        </ext>
      </extLst>
    </cfRule>
  </conditionalFormatting>
  <conditionalFormatting sqref="P1:P2 Q1:Q1">
    <cfRule priority="623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{D350AF8A-01B7-46D3-804C-84FDA1AEE84A}</x14:id>
        </ext>
      </extLst>
    </cfRule>
  </conditionalFormatting>
  <conditionalFormatting sqref="AK2:AK2">
    <cfRule priority="624" type="dataBar">
      <dataBar showValue="true">
        <cfvo type="min"/>
        <cfvo type="max"/>
        <color rgb="FF000000"/>
      </dataBar>
      <extLst>
        <ext xmlns:x14="http://schemas.microsoft.com/office/spreadsheetml/2009/9/main" uri="{B025F937-C7B1-47D3-B67F-A62EFF666E3E}">
          <x14:id>{5A30B9D1-D2BC-41DE-BA6F-78A3FE90F9A8}</x14:id>
        </ext>
      </extLst>
    </cfRule>
  </conditionalFormatting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B9639E-F2D1-406C-AF51-CC70DBB9831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AD109:AD109</xm:sqref>
        </x14:conditionalFormatting>
        <x14:conditionalFormatting xmlns:xm="http://schemas.microsoft.com/office/excel/2006/main">
          <x14:cfRule type="dataBar" id="{1C56C956-3FE5-4A63-B690-464292C773D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AD108:AD108</xm:sqref>
        </x14:conditionalFormatting>
        <x14:conditionalFormatting xmlns:xm="http://schemas.microsoft.com/office/excel/2006/main">
          <x14:cfRule type="dataBar" id="{7AC151FA-BA6B-4861-9099-8CD584C69EC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AD107:AD107</xm:sqref>
        </x14:conditionalFormatting>
        <x14:conditionalFormatting xmlns:xm="http://schemas.microsoft.com/office/excel/2006/main">
          <x14:cfRule type="dataBar" id="{EEEA7650-1959-4C8E-8B69-4DDBED88202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AD106:AD106</xm:sqref>
        </x14:conditionalFormatting>
        <x14:conditionalFormatting xmlns:xm="http://schemas.microsoft.com/office/excel/2006/main">
          <x14:cfRule type="dataBar" id="{1E06C771-5B50-49A1-8E0A-CF64AD7BDBC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AD105:AD105</xm:sqref>
        </x14:conditionalFormatting>
        <x14:conditionalFormatting xmlns:xm="http://schemas.microsoft.com/office/excel/2006/main">
          <x14:cfRule type="dataBar" id="{C55C050D-653B-409F-BE48-186B1F076A9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AD104:AD104</xm:sqref>
        </x14:conditionalFormatting>
        <x14:conditionalFormatting xmlns:xm="http://schemas.microsoft.com/office/excel/2006/main">
          <x14:cfRule type="dataBar" id="{8A74C065-D3C1-4BF0-BE67-170D036FDE7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AD103:AD103</xm:sqref>
        </x14:conditionalFormatting>
        <x14:conditionalFormatting xmlns:xm="http://schemas.microsoft.com/office/excel/2006/main">
          <x14:cfRule type="dataBar" id="{4D34873F-B0F7-4F84-9CCE-1B535570345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AD102:AD102</xm:sqref>
        </x14:conditionalFormatting>
        <x14:conditionalFormatting xmlns:xm="http://schemas.microsoft.com/office/excel/2006/main">
          <x14:cfRule type="dataBar" id="{D88C02A3-F492-4CFE-907B-80EC41AC09E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AD101:AD101</xm:sqref>
        </x14:conditionalFormatting>
        <x14:conditionalFormatting xmlns:xm="http://schemas.microsoft.com/office/excel/2006/main">
          <x14:cfRule type="dataBar" id="{4F6B4231-E156-46BF-92C2-B6CE75A7AF1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AD100:AD100</xm:sqref>
        </x14:conditionalFormatting>
        <x14:conditionalFormatting xmlns:xm="http://schemas.microsoft.com/office/excel/2006/main">
          <x14:cfRule type="dataBar" id="{FB593342-66A8-4E05-9FDE-42AB70034FA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AD99:AD99</xm:sqref>
        </x14:conditionalFormatting>
        <x14:conditionalFormatting xmlns:xm="http://schemas.microsoft.com/office/excel/2006/main">
          <x14:cfRule type="dataBar" id="{6D1010FF-AF1B-4C9A-BA10-16BA811C858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AD98:AD98</xm:sqref>
        </x14:conditionalFormatting>
        <x14:conditionalFormatting xmlns:xm="http://schemas.microsoft.com/office/excel/2006/main">
          <x14:cfRule type="dataBar" id="{7465A773-031A-477D-B26D-B178764E756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AD97:AD97</xm:sqref>
        </x14:conditionalFormatting>
        <x14:conditionalFormatting xmlns:xm="http://schemas.microsoft.com/office/excel/2006/main">
          <x14:cfRule type="dataBar" id="{86DB1696-0A25-49B4-A258-CCBD51A9025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AD96:AD96</xm:sqref>
        </x14:conditionalFormatting>
        <x14:conditionalFormatting xmlns:xm="http://schemas.microsoft.com/office/excel/2006/main">
          <x14:cfRule type="dataBar" id="{08D4A08C-AD1E-484A-9ED5-D6C95C2B542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AD95:AD95</xm:sqref>
        </x14:conditionalFormatting>
        <x14:conditionalFormatting xmlns:xm="http://schemas.microsoft.com/office/excel/2006/main">
          <x14:cfRule type="dataBar" id="{DA4FA98E-FD94-49DA-B310-40D43991ECD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AD94:AD94</xm:sqref>
        </x14:conditionalFormatting>
        <x14:conditionalFormatting xmlns:xm="http://schemas.microsoft.com/office/excel/2006/main">
          <x14:cfRule type="dataBar" id="{6535D8A0-BE0F-46B7-A9D6-52A10A469CB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AD93:AD93</xm:sqref>
        </x14:conditionalFormatting>
        <x14:conditionalFormatting xmlns:xm="http://schemas.microsoft.com/office/excel/2006/main">
          <x14:cfRule type="dataBar" id="{83D6B521-92E5-4BD4-931F-575593F9350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AD92:AD92</xm:sqref>
        </x14:conditionalFormatting>
        <x14:conditionalFormatting xmlns:xm="http://schemas.microsoft.com/office/excel/2006/main">
          <x14:cfRule type="dataBar" id="{BD72239D-F64F-41A3-9B4D-D6CE58DD6B4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AD91:AD91</xm:sqref>
        </x14:conditionalFormatting>
        <x14:conditionalFormatting xmlns:xm="http://schemas.microsoft.com/office/excel/2006/main">
          <x14:cfRule type="dataBar" id="{53737D7A-AB97-41AB-9786-A3D165AC3D5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AD90:AD90</xm:sqref>
        </x14:conditionalFormatting>
        <x14:conditionalFormatting xmlns:xm="http://schemas.microsoft.com/office/excel/2006/main">
          <x14:cfRule type="dataBar" id="{E1DFDEF8-691C-47B2-BB68-A22E91D06D4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AD89:AD89</xm:sqref>
        </x14:conditionalFormatting>
        <x14:conditionalFormatting xmlns:xm="http://schemas.microsoft.com/office/excel/2006/main">
          <x14:cfRule type="dataBar" id="{AEC900AD-1458-4005-A507-D7CCC2A2635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AD88:AD88</xm:sqref>
        </x14:conditionalFormatting>
        <x14:conditionalFormatting xmlns:xm="http://schemas.microsoft.com/office/excel/2006/main">
          <x14:cfRule type="dataBar" id="{9A02B44F-0D74-40AD-B112-0A01402CA58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AD87:AD87</xm:sqref>
        </x14:conditionalFormatting>
        <x14:conditionalFormatting xmlns:xm="http://schemas.microsoft.com/office/excel/2006/main">
          <x14:cfRule type="dataBar" id="{89B03840-DA8E-4E04-9FDD-04A36D87EA9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AD86:AD86</xm:sqref>
        </x14:conditionalFormatting>
        <x14:conditionalFormatting xmlns:xm="http://schemas.microsoft.com/office/excel/2006/main">
          <x14:cfRule type="dataBar" id="{4E767E76-C5C7-4DDA-BD55-0299EBFC3B4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AD85:AD85</xm:sqref>
        </x14:conditionalFormatting>
        <x14:conditionalFormatting xmlns:xm="http://schemas.microsoft.com/office/excel/2006/main">
          <x14:cfRule type="dataBar" id="{FCD3DA49-B3F6-4F5A-A640-10E5E946C4D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AD84:AD84</xm:sqref>
        </x14:conditionalFormatting>
        <x14:conditionalFormatting xmlns:xm="http://schemas.microsoft.com/office/excel/2006/main">
          <x14:cfRule type="dataBar" id="{D778A470-7E4E-4544-B63E-D7BEB37A0B9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AD83:AD83</xm:sqref>
        </x14:conditionalFormatting>
        <x14:conditionalFormatting xmlns:xm="http://schemas.microsoft.com/office/excel/2006/main">
          <x14:cfRule type="dataBar" id="{0DAE6305-5CD5-4E8A-AEF8-01F429C62A1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AD82:AD82</xm:sqref>
        </x14:conditionalFormatting>
        <x14:conditionalFormatting xmlns:xm="http://schemas.microsoft.com/office/excel/2006/main">
          <x14:cfRule type="dataBar" id="{E45F60F6-8147-48BF-8CAA-EA15561846C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AD81:AD81</xm:sqref>
        </x14:conditionalFormatting>
        <x14:conditionalFormatting xmlns:xm="http://schemas.microsoft.com/office/excel/2006/main">
          <x14:cfRule type="dataBar" id="{A575EA53-8CC1-4397-BBF1-445A0904A1C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AD80:AD80</xm:sqref>
        </x14:conditionalFormatting>
        <x14:conditionalFormatting xmlns:xm="http://schemas.microsoft.com/office/excel/2006/main">
          <x14:cfRule type="dataBar" id="{586BBBAC-83F8-455A-A2D6-80F6B46D9E9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AD79:AD79</xm:sqref>
        </x14:conditionalFormatting>
        <x14:conditionalFormatting xmlns:xm="http://schemas.microsoft.com/office/excel/2006/main">
          <x14:cfRule type="dataBar" id="{F4D37EEB-2373-44E6-9EF8-2AC8A2F1AD8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AD78:AD78</xm:sqref>
        </x14:conditionalFormatting>
        <x14:conditionalFormatting xmlns:xm="http://schemas.microsoft.com/office/excel/2006/main">
          <x14:cfRule type="dataBar" id="{254D6FE0-877B-43DC-B615-4C6C8DB796A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AD77:AD77</xm:sqref>
        </x14:conditionalFormatting>
        <x14:conditionalFormatting xmlns:xm="http://schemas.microsoft.com/office/excel/2006/main">
          <x14:cfRule type="dataBar" id="{C010B066-D987-42F9-9CC9-484D739B5EF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AD76:AD76</xm:sqref>
        </x14:conditionalFormatting>
        <x14:conditionalFormatting xmlns:xm="http://schemas.microsoft.com/office/excel/2006/main">
          <x14:cfRule type="dataBar" id="{5F5FB9A5-85CE-467C-BE35-B49557FCEC1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AD75:AD75</xm:sqref>
        </x14:conditionalFormatting>
        <x14:conditionalFormatting xmlns:xm="http://schemas.microsoft.com/office/excel/2006/main">
          <x14:cfRule type="dataBar" id="{D876923F-311B-41FE-8584-8DFA9EFB55F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AD74:AD74</xm:sqref>
        </x14:conditionalFormatting>
        <x14:conditionalFormatting xmlns:xm="http://schemas.microsoft.com/office/excel/2006/main">
          <x14:cfRule type="dataBar" id="{FF07FD47-F5E4-4A7D-BEB0-EAEEF4FF90C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AD73:AD73</xm:sqref>
        </x14:conditionalFormatting>
        <x14:conditionalFormatting xmlns:xm="http://schemas.microsoft.com/office/excel/2006/main">
          <x14:cfRule type="dataBar" id="{8E235BB7-AB3A-4321-927B-EDAAA83CD3D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AD72:AD72</xm:sqref>
        </x14:conditionalFormatting>
        <x14:conditionalFormatting xmlns:xm="http://schemas.microsoft.com/office/excel/2006/main">
          <x14:cfRule type="dataBar" id="{B3BF771F-35DA-4E03-AF2A-1A5C2D5F6F3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AD71:AD71</xm:sqref>
        </x14:conditionalFormatting>
        <x14:conditionalFormatting xmlns:xm="http://schemas.microsoft.com/office/excel/2006/main">
          <x14:cfRule type="dataBar" id="{90C6CBA5-190B-49DD-AB41-D8422700DC1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AD70:AD70</xm:sqref>
        </x14:conditionalFormatting>
        <x14:conditionalFormatting xmlns:xm="http://schemas.microsoft.com/office/excel/2006/main">
          <x14:cfRule type="dataBar" id="{89CAAF0E-CE1A-487B-9A27-23C183DCA2C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AD69:AD69</xm:sqref>
        </x14:conditionalFormatting>
        <x14:conditionalFormatting xmlns:xm="http://schemas.microsoft.com/office/excel/2006/main">
          <x14:cfRule type="dataBar" id="{BAAFA271-7261-465C-B9C0-702B4F38D2E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AD68:AD68</xm:sqref>
        </x14:conditionalFormatting>
        <x14:conditionalFormatting xmlns:xm="http://schemas.microsoft.com/office/excel/2006/main">
          <x14:cfRule type="dataBar" id="{5507033D-8F23-4984-AE19-A73FE9F236C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AD67:AD67</xm:sqref>
        </x14:conditionalFormatting>
        <x14:conditionalFormatting xmlns:xm="http://schemas.microsoft.com/office/excel/2006/main">
          <x14:cfRule type="dataBar" id="{D3CD4263-AB41-48B2-909D-53DC568B680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AD66:AD66</xm:sqref>
        </x14:conditionalFormatting>
        <x14:conditionalFormatting xmlns:xm="http://schemas.microsoft.com/office/excel/2006/main">
          <x14:cfRule type="dataBar" id="{8D14E704-4B6A-4BFC-A78F-2FEABA755BF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AD65:AD65</xm:sqref>
        </x14:conditionalFormatting>
        <x14:conditionalFormatting xmlns:xm="http://schemas.microsoft.com/office/excel/2006/main">
          <x14:cfRule type="dataBar" id="{651D1B1C-7B49-433C-BB56-3EF0345AADB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AD64:AD64</xm:sqref>
        </x14:conditionalFormatting>
        <x14:conditionalFormatting xmlns:xm="http://schemas.microsoft.com/office/excel/2006/main">
          <x14:cfRule type="dataBar" id="{51DB1C4C-8FEC-42D0-85EA-7E56404366D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AD63:AD63</xm:sqref>
        </x14:conditionalFormatting>
        <x14:conditionalFormatting xmlns:xm="http://schemas.microsoft.com/office/excel/2006/main">
          <x14:cfRule type="dataBar" id="{2665D052-DD5D-4BF6-956B-D4948A318CF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AD62:AD62</xm:sqref>
        </x14:conditionalFormatting>
        <x14:conditionalFormatting xmlns:xm="http://schemas.microsoft.com/office/excel/2006/main">
          <x14:cfRule type="dataBar" id="{6B466BA6-B82F-44E6-8BF0-17C1F33D582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AD61:AD61</xm:sqref>
        </x14:conditionalFormatting>
        <x14:conditionalFormatting xmlns:xm="http://schemas.microsoft.com/office/excel/2006/main">
          <x14:cfRule type="dataBar" id="{90D577D5-955D-4531-9F3B-94F0DCC7EB2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AD60:AD60</xm:sqref>
        </x14:conditionalFormatting>
        <x14:conditionalFormatting xmlns:xm="http://schemas.microsoft.com/office/excel/2006/main">
          <x14:cfRule type="dataBar" id="{40E8946C-3B48-4225-B9F2-F7DBB7428B8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AD59:AD59</xm:sqref>
        </x14:conditionalFormatting>
        <x14:conditionalFormatting xmlns:xm="http://schemas.microsoft.com/office/excel/2006/main">
          <x14:cfRule type="dataBar" id="{683F50EF-22FA-4734-8D57-1A1B4A996A9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AD58:AD58</xm:sqref>
        </x14:conditionalFormatting>
        <x14:conditionalFormatting xmlns:xm="http://schemas.microsoft.com/office/excel/2006/main">
          <x14:cfRule type="dataBar" id="{0480FAB4-C6B7-4F1F-AEA9-AFA19473E85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AD57:AD57</xm:sqref>
        </x14:conditionalFormatting>
        <x14:conditionalFormatting xmlns:xm="http://schemas.microsoft.com/office/excel/2006/main">
          <x14:cfRule type="dataBar" id="{B9EE1D2C-00E3-4C5D-A84E-7746DC51A67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AD56:AD56</xm:sqref>
        </x14:conditionalFormatting>
        <x14:conditionalFormatting xmlns:xm="http://schemas.microsoft.com/office/excel/2006/main">
          <x14:cfRule type="dataBar" id="{FB689CF8-AF0B-40F2-9D53-AA96D820170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AD55:AD55</xm:sqref>
        </x14:conditionalFormatting>
        <x14:conditionalFormatting xmlns:xm="http://schemas.microsoft.com/office/excel/2006/main">
          <x14:cfRule type="dataBar" id="{BDFC0882-6C9F-482E-AE5B-9D19D4640F9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AD54:AD54</xm:sqref>
        </x14:conditionalFormatting>
        <x14:conditionalFormatting xmlns:xm="http://schemas.microsoft.com/office/excel/2006/main">
          <x14:cfRule type="dataBar" id="{8B04FF76-6216-4522-8992-75463AB49A1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AD53:AD53</xm:sqref>
        </x14:conditionalFormatting>
        <x14:conditionalFormatting xmlns:xm="http://schemas.microsoft.com/office/excel/2006/main">
          <x14:cfRule type="dataBar" id="{708604AE-3215-4DF1-A113-E6284E4846F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AD52:AD52</xm:sqref>
        </x14:conditionalFormatting>
        <x14:conditionalFormatting xmlns:xm="http://schemas.microsoft.com/office/excel/2006/main">
          <x14:cfRule type="dataBar" id="{A2FC2104-87F6-48B9-9D11-B6098A00D75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AD51:AD51</xm:sqref>
        </x14:conditionalFormatting>
        <x14:conditionalFormatting xmlns:xm="http://schemas.microsoft.com/office/excel/2006/main">
          <x14:cfRule type="dataBar" id="{1BF1351D-B93E-48D1-BF4E-D4D1259CEA6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AD50:AD50</xm:sqref>
        </x14:conditionalFormatting>
        <x14:conditionalFormatting xmlns:xm="http://schemas.microsoft.com/office/excel/2006/main">
          <x14:cfRule type="dataBar" id="{73A4F4F5-AF51-4147-8A5A-ECD19127228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AD49:AD49</xm:sqref>
        </x14:conditionalFormatting>
        <x14:conditionalFormatting xmlns:xm="http://schemas.microsoft.com/office/excel/2006/main">
          <x14:cfRule type="dataBar" id="{A7612118-677A-41A9-9501-C13BD25408D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AD48:AD48</xm:sqref>
        </x14:conditionalFormatting>
        <x14:conditionalFormatting xmlns:xm="http://schemas.microsoft.com/office/excel/2006/main">
          <x14:cfRule type="dataBar" id="{AF1BB923-7B3D-4714-AB2C-4AE525355CC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AD47:AD47</xm:sqref>
        </x14:conditionalFormatting>
        <x14:conditionalFormatting xmlns:xm="http://schemas.microsoft.com/office/excel/2006/main">
          <x14:cfRule type="dataBar" id="{AE81937D-BB97-4CEC-A051-EE3B69F03D1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AD46:AD46</xm:sqref>
        </x14:conditionalFormatting>
        <x14:conditionalFormatting xmlns:xm="http://schemas.microsoft.com/office/excel/2006/main">
          <x14:cfRule type="dataBar" id="{FA92CEA3-7C7E-4A40-9B31-0B5255AC170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AD45:AD45</xm:sqref>
        </x14:conditionalFormatting>
        <x14:conditionalFormatting xmlns:xm="http://schemas.microsoft.com/office/excel/2006/main">
          <x14:cfRule type="dataBar" id="{5CCC3DC0-7287-480A-8900-C4D54810FDD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AD44:AD44</xm:sqref>
        </x14:conditionalFormatting>
        <x14:conditionalFormatting xmlns:xm="http://schemas.microsoft.com/office/excel/2006/main">
          <x14:cfRule type="dataBar" id="{302D1AE0-F21B-4F16-8341-CDDBB910F1D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AD43:AD43</xm:sqref>
        </x14:conditionalFormatting>
        <x14:conditionalFormatting xmlns:xm="http://schemas.microsoft.com/office/excel/2006/main">
          <x14:cfRule type="dataBar" id="{7AFB8D44-77EF-4012-87CF-524B24951AA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AD42:AD42</xm:sqref>
        </x14:conditionalFormatting>
        <x14:conditionalFormatting xmlns:xm="http://schemas.microsoft.com/office/excel/2006/main">
          <x14:cfRule type="dataBar" id="{6889FF83-9A8A-4863-8B01-7F8D1475FBC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AD41:AD41</xm:sqref>
        </x14:conditionalFormatting>
        <x14:conditionalFormatting xmlns:xm="http://schemas.microsoft.com/office/excel/2006/main">
          <x14:cfRule type="dataBar" id="{BFAC9FC9-8850-4115-B3DB-4010FC7804F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AD40:AD40</xm:sqref>
        </x14:conditionalFormatting>
        <x14:conditionalFormatting xmlns:xm="http://schemas.microsoft.com/office/excel/2006/main">
          <x14:cfRule type="dataBar" id="{4B582314-4248-4031-98A1-1BA12A1E494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AD39:AD39</xm:sqref>
        </x14:conditionalFormatting>
        <x14:conditionalFormatting xmlns:xm="http://schemas.microsoft.com/office/excel/2006/main">
          <x14:cfRule type="dataBar" id="{8C9CEB8C-0772-415B-B2DF-6F2D36F82BA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AD38:AD38</xm:sqref>
        </x14:conditionalFormatting>
        <x14:conditionalFormatting xmlns:xm="http://schemas.microsoft.com/office/excel/2006/main">
          <x14:cfRule type="dataBar" id="{99967D55-F0FC-4E94-964D-D33084801DB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AD37:AD37</xm:sqref>
        </x14:conditionalFormatting>
        <x14:conditionalFormatting xmlns:xm="http://schemas.microsoft.com/office/excel/2006/main">
          <x14:cfRule type="dataBar" id="{330CB1C6-240E-4FE4-A163-C7A9EDCD72D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AD36:AD36</xm:sqref>
        </x14:conditionalFormatting>
        <x14:conditionalFormatting xmlns:xm="http://schemas.microsoft.com/office/excel/2006/main">
          <x14:cfRule type="dataBar" id="{953F160C-095B-4475-9011-DACD171C036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AD35:AD35</xm:sqref>
        </x14:conditionalFormatting>
        <x14:conditionalFormatting xmlns:xm="http://schemas.microsoft.com/office/excel/2006/main">
          <x14:cfRule type="dataBar" id="{D34ACEE6-BEC7-4AC0-8C9E-E02900C070E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AD34:AD34</xm:sqref>
        </x14:conditionalFormatting>
        <x14:conditionalFormatting xmlns:xm="http://schemas.microsoft.com/office/excel/2006/main">
          <x14:cfRule type="dataBar" id="{61C92C89-4812-4383-B60D-029B05AD154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AD33:AD33</xm:sqref>
        </x14:conditionalFormatting>
        <x14:conditionalFormatting xmlns:xm="http://schemas.microsoft.com/office/excel/2006/main">
          <x14:cfRule type="dataBar" id="{B40ADD80-D9FC-4151-BE97-15BAB003870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AD32:AD32</xm:sqref>
        </x14:conditionalFormatting>
        <x14:conditionalFormatting xmlns:xm="http://schemas.microsoft.com/office/excel/2006/main">
          <x14:cfRule type="dataBar" id="{B85BD02E-868B-4435-A15D-0E8EAE9F20E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AD31:AD31</xm:sqref>
        </x14:conditionalFormatting>
        <x14:conditionalFormatting xmlns:xm="http://schemas.microsoft.com/office/excel/2006/main">
          <x14:cfRule type="dataBar" id="{ACC2402B-FB42-49EE-BCBE-F5F20E5D844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AD30:AD30</xm:sqref>
        </x14:conditionalFormatting>
        <x14:conditionalFormatting xmlns:xm="http://schemas.microsoft.com/office/excel/2006/main">
          <x14:cfRule type="dataBar" id="{3D122774-3186-4756-8432-29A9005A7E1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AD29:AD29</xm:sqref>
        </x14:conditionalFormatting>
        <x14:conditionalFormatting xmlns:xm="http://schemas.microsoft.com/office/excel/2006/main">
          <x14:cfRule type="dataBar" id="{2AE528C9-6656-41CF-A69B-D68A21A55F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AD28:AD28</xm:sqref>
        </x14:conditionalFormatting>
        <x14:conditionalFormatting xmlns:xm="http://schemas.microsoft.com/office/excel/2006/main">
          <x14:cfRule type="dataBar" id="{1DDF1024-2FFB-483D-8ACB-3DC45519E9D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AD17:AD27</xm:sqref>
        </x14:conditionalFormatting>
        <x14:conditionalFormatting xmlns:xm="http://schemas.microsoft.com/office/excel/2006/main">
          <x14:cfRule type="dataBar" id="{04F76C2C-6A79-47CC-9743-31F8DFAE721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AD6:AD16</xm:sqref>
        </x14:conditionalFormatting>
        <x14:conditionalFormatting xmlns:xm="http://schemas.microsoft.com/office/excel/2006/main">
          <x14:cfRule type="dataBar" id="{909BDB66-2251-491E-8661-5A72691132A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AD5:AD5</xm:sqref>
        </x14:conditionalFormatting>
        <x14:conditionalFormatting xmlns:xm="http://schemas.microsoft.com/office/excel/2006/main">
          <x14:cfRule type="dataBar" id="{DF61590F-4C68-46A5-B62D-368C8CD5801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AD4:AD4</xm:sqref>
        </x14:conditionalFormatting>
        <x14:conditionalFormatting xmlns:xm="http://schemas.microsoft.com/office/excel/2006/main">
          <x14:cfRule type="dataBar" id="{C2452EAA-0378-4E07-A711-83469907965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AD3:AD3</xm:sqref>
        </x14:conditionalFormatting>
        <x14:conditionalFormatting xmlns:xm="http://schemas.microsoft.com/office/excel/2006/main">
          <x14:cfRule type="dataBar" id="{533AF5D5-C617-4CFC-964E-9264F13F277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AD109:AD109</xm:sqref>
        </x14:conditionalFormatting>
        <x14:conditionalFormatting xmlns:xm="http://schemas.microsoft.com/office/excel/2006/main">
          <x14:cfRule type="dataBar" id="{F9918B71-A6DE-4394-8BF4-3C87F680C81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AD108:AD108</xm:sqref>
        </x14:conditionalFormatting>
        <x14:conditionalFormatting xmlns:xm="http://schemas.microsoft.com/office/excel/2006/main">
          <x14:cfRule type="dataBar" id="{32FB2D39-D342-44D9-A5D2-65523D51B53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AD107:AD107</xm:sqref>
        </x14:conditionalFormatting>
        <x14:conditionalFormatting xmlns:xm="http://schemas.microsoft.com/office/excel/2006/main">
          <x14:cfRule type="dataBar" id="{ADD2A583-229A-410C-9A85-00468DE92A8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AD106:AD106</xm:sqref>
        </x14:conditionalFormatting>
        <x14:conditionalFormatting xmlns:xm="http://schemas.microsoft.com/office/excel/2006/main">
          <x14:cfRule type="dataBar" id="{59C3194A-6147-4906-988F-40284FB2B5E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AD105:AD105</xm:sqref>
        </x14:conditionalFormatting>
        <x14:conditionalFormatting xmlns:xm="http://schemas.microsoft.com/office/excel/2006/main">
          <x14:cfRule type="dataBar" id="{D82CAB4C-9973-4CAD-8FCE-877DC5C842C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AD104:AD104</xm:sqref>
        </x14:conditionalFormatting>
        <x14:conditionalFormatting xmlns:xm="http://schemas.microsoft.com/office/excel/2006/main">
          <x14:cfRule type="dataBar" id="{37B21F04-3F6D-4026-A4FC-371D631F1FA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AD103:AD103</xm:sqref>
        </x14:conditionalFormatting>
        <x14:conditionalFormatting xmlns:xm="http://schemas.microsoft.com/office/excel/2006/main">
          <x14:cfRule type="dataBar" id="{71042E26-8D63-4A70-A8E4-07AAE2AC561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AD102:AD102</xm:sqref>
        </x14:conditionalFormatting>
        <x14:conditionalFormatting xmlns:xm="http://schemas.microsoft.com/office/excel/2006/main">
          <x14:cfRule type="dataBar" id="{70CD4598-9440-4A67-BD81-C099CD74054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AD101:AD101</xm:sqref>
        </x14:conditionalFormatting>
        <x14:conditionalFormatting xmlns:xm="http://schemas.microsoft.com/office/excel/2006/main">
          <x14:cfRule type="dataBar" id="{942C91DA-49B5-4704-8C24-BACF3A9AE80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AD100:AD100</xm:sqref>
        </x14:conditionalFormatting>
        <x14:conditionalFormatting xmlns:xm="http://schemas.microsoft.com/office/excel/2006/main">
          <x14:cfRule type="dataBar" id="{9A028A53-C3F8-406C-8745-71BC53FA156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AD99:AD99</xm:sqref>
        </x14:conditionalFormatting>
        <x14:conditionalFormatting xmlns:xm="http://schemas.microsoft.com/office/excel/2006/main">
          <x14:cfRule type="dataBar" id="{485F39C8-94FC-4D92-9C91-8E3848A0444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AD98:AD98</xm:sqref>
        </x14:conditionalFormatting>
        <x14:conditionalFormatting xmlns:xm="http://schemas.microsoft.com/office/excel/2006/main">
          <x14:cfRule type="dataBar" id="{FC43C719-391E-4418-8A0D-F23238EFC92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AD97:AD97</xm:sqref>
        </x14:conditionalFormatting>
        <x14:conditionalFormatting xmlns:xm="http://schemas.microsoft.com/office/excel/2006/main">
          <x14:cfRule type="dataBar" id="{A9EECCD1-C7DA-494C-B260-05CC0FA2D6F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AD96:AD96</xm:sqref>
        </x14:conditionalFormatting>
        <x14:conditionalFormatting xmlns:xm="http://schemas.microsoft.com/office/excel/2006/main">
          <x14:cfRule type="dataBar" id="{D680B6D2-EFE9-4C44-B749-50C94782DA5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AD95:AD95</xm:sqref>
        </x14:conditionalFormatting>
        <x14:conditionalFormatting xmlns:xm="http://schemas.microsoft.com/office/excel/2006/main">
          <x14:cfRule type="dataBar" id="{20B1840F-6736-41A5-901E-27082639B75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AD94:AD94</xm:sqref>
        </x14:conditionalFormatting>
        <x14:conditionalFormatting xmlns:xm="http://schemas.microsoft.com/office/excel/2006/main">
          <x14:cfRule type="dataBar" id="{7C7AA984-2517-47A2-B3AB-0C71900A209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AD93:AD93</xm:sqref>
        </x14:conditionalFormatting>
        <x14:conditionalFormatting xmlns:xm="http://schemas.microsoft.com/office/excel/2006/main">
          <x14:cfRule type="dataBar" id="{4D16F60B-6E81-460B-9A4D-DF694236139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AD92:AD92</xm:sqref>
        </x14:conditionalFormatting>
        <x14:conditionalFormatting xmlns:xm="http://schemas.microsoft.com/office/excel/2006/main">
          <x14:cfRule type="dataBar" id="{9417C435-69BC-446E-9524-3EDCE1F1EF5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AD91:AD91</xm:sqref>
        </x14:conditionalFormatting>
        <x14:conditionalFormatting xmlns:xm="http://schemas.microsoft.com/office/excel/2006/main">
          <x14:cfRule type="dataBar" id="{5EA38D91-935D-4901-B411-ACBEA5C7E50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AD90:AD90</xm:sqref>
        </x14:conditionalFormatting>
        <x14:conditionalFormatting xmlns:xm="http://schemas.microsoft.com/office/excel/2006/main">
          <x14:cfRule type="dataBar" id="{459C76AA-35DB-458A-8BCE-C09515936BC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AD89:AD89</xm:sqref>
        </x14:conditionalFormatting>
        <x14:conditionalFormatting xmlns:xm="http://schemas.microsoft.com/office/excel/2006/main">
          <x14:cfRule type="dataBar" id="{AFBF11CE-E7DC-437C-A9EC-49098BEA06F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AD88:AD88</xm:sqref>
        </x14:conditionalFormatting>
        <x14:conditionalFormatting xmlns:xm="http://schemas.microsoft.com/office/excel/2006/main">
          <x14:cfRule type="dataBar" id="{1E870145-B5A5-436C-9CBA-8C27A9BAA4B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AD87:AD87</xm:sqref>
        </x14:conditionalFormatting>
        <x14:conditionalFormatting xmlns:xm="http://schemas.microsoft.com/office/excel/2006/main">
          <x14:cfRule type="dataBar" id="{8667963A-1F9A-4EE5-ACEB-BA6FFA6E6A7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AD86:AD86</xm:sqref>
        </x14:conditionalFormatting>
        <x14:conditionalFormatting xmlns:xm="http://schemas.microsoft.com/office/excel/2006/main">
          <x14:cfRule type="dataBar" id="{EB6DB173-BF2E-4B52-8ADB-918CE8EE9E1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AD85:AD85</xm:sqref>
        </x14:conditionalFormatting>
        <x14:conditionalFormatting xmlns:xm="http://schemas.microsoft.com/office/excel/2006/main">
          <x14:cfRule type="dataBar" id="{1D8BCCE5-B4E9-410C-8C2C-BC52417F3AD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AD84:AD84</xm:sqref>
        </x14:conditionalFormatting>
        <x14:conditionalFormatting xmlns:xm="http://schemas.microsoft.com/office/excel/2006/main">
          <x14:cfRule type="dataBar" id="{364A727C-A261-4854-A5EB-2BB704B62A4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AD83:AD83</xm:sqref>
        </x14:conditionalFormatting>
        <x14:conditionalFormatting xmlns:xm="http://schemas.microsoft.com/office/excel/2006/main">
          <x14:cfRule type="dataBar" id="{B03CB77B-D2C8-46D5-862A-F1E509FD028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AD82:AD82</xm:sqref>
        </x14:conditionalFormatting>
        <x14:conditionalFormatting xmlns:xm="http://schemas.microsoft.com/office/excel/2006/main">
          <x14:cfRule type="dataBar" id="{9824F6E2-B25C-40E7-BE4A-F56FC579860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AD81:AD81</xm:sqref>
        </x14:conditionalFormatting>
        <x14:conditionalFormatting xmlns:xm="http://schemas.microsoft.com/office/excel/2006/main">
          <x14:cfRule type="dataBar" id="{E7D024C7-C821-4633-AE32-248AFE68FF8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AD80:AD80</xm:sqref>
        </x14:conditionalFormatting>
        <x14:conditionalFormatting xmlns:xm="http://schemas.microsoft.com/office/excel/2006/main">
          <x14:cfRule type="dataBar" id="{EF0C4256-D55D-4C2F-A909-7C8674859AB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AD79:AD79</xm:sqref>
        </x14:conditionalFormatting>
        <x14:conditionalFormatting xmlns:xm="http://schemas.microsoft.com/office/excel/2006/main">
          <x14:cfRule type="dataBar" id="{49507ED7-A37F-428E-A488-25EBC5DD546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AD78:AD78</xm:sqref>
        </x14:conditionalFormatting>
        <x14:conditionalFormatting xmlns:xm="http://schemas.microsoft.com/office/excel/2006/main">
          <x14:cfRule type="dataBar" id="{E2539F5F-4DA4-4FD9-9618-4139BCF9E69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AD77:AD77</xm:sqref>
        </x14:conditionalFormatting>
        <x14:conditionalFormatting xmlns:xm="http://schemas.microsoft.com/office/excel/2006/main">
          <x14:cfRule type="dataBar" id="{4EDE40E5-EF2D-4964-8E0E-938C40713BB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AD76:AD76</xm:sqref>
        </x14:conditionalFormatting>
        <x14:conditionalFormatting xmlns:xm="http://schemas.microsoft.com/office/excel/2006/main">
          <x14:cfRule type="dataBar" id="{2B628E91-D16E-4DEC-97F6-7129755DD6C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AD75:AD75</xm:sqref>
        </x14:conditionalFormatting>
        <x14:conditionalFormatting xmlns:xm="http://schemas.microsoft.com/office/excel/2006/main">
          <x14:cfRule type="dataBar" id="{1A7A290C-5F7A-43B8-80BA-E141420A9EC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AD74:AD74</xm:sqref>
        </x14:conditionalFormatting>
        <x14:conditionalFormatting xmlns:xm="http://schemas.microsoft.com/office/excel/2006/main">
          <x14:cfRule type="dataBar" id="{3231D4EF-A50F-4F19-889E-65FC03B4108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AD73:AD73</xm:sqref>
        </x14:conditionalFormatting>
        <x14:conditionalFormatting xmlns:xm="http://schemas.microsoft.com/office/excel/2006/main">
          <x14:cfRule type="dataBar" id="{9D86E0FB-37B2-4CCB-856E-F0FD16B7CDD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AD72:AD72</xm:sqref>
        </x14:conditionalFormatting>
        <x14:conditionalFormatting xmlns:xm="http://schemas.microsoft.com/office/excel/2006/main">
          <x14:cfRule type="dataBar" id="{52F8A8A1-9E90-43E2-9CC1-CDE70F20386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AD71:AD71</xm:sqref>
        </x14:conditionalFormatting>
        <x14:conditionalFormatting xmlns:xm="http://schemas.microsoft.com/office/excel/2006/main">
          <x14:cfRule type="dataBar" id="{131B87CA-6264-492D-8BC4-34C72E485B0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AD70:AD70</xm:sqref>
        </x14:conditionalFormatting>
        <x14:conditionalFormatting xmlns:xm="http://schemas.microsoft.com/office/excel/2006/main">
          <x14:cfRule type="dataBar" id="{4C20B2A0-38D1-49DE-9313-87319878574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AD69:AD69</xm:sqref>
        </x14:conditionalFormatting>
        <x14:conditionalFormatting xmlns:xm="http://schemas.microsoft.com/office/excel/2006/main">
          <x14:cfRule type="dataBar" id="{E114F67B-2279-4339-B5FA-5C23D23B633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AD68:AD68</xm:sqref>
        </x14:conditionalFormatting>
        <x14:conditionalFormatting xmlns:xm="http://schemas.microsoft.com/office/excel/2006/main">
          <x14:cfRule type="dataBar" id="{AA861654-E880-417C-8C8B-9C54CC9A5BF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AD67:AD67</xm:sqref>
        </x14:conditionalFormatting>
        <x14:conditionalFormatting xmlns:xm="http://schemas.microsoft.com/office/excel/2006/main">
          <x14:cfRule type="dataBar" id="{19FDCCC9-5E1B-4C2B-A0CE-1D464458C31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AD66:AD66</xm:sqref>
        </x14:conditionalFormatting>
        <x14:conditionalFormatting xmlns:xm="http://schemas.microsoft.com/office/excel/2006/main">
          <x14:cfRule type="dataBar" id="{3031BB91-7E5F-4DEE-B591-DD325774208B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AD65:AD65</xm:sqref>
        </x14:conditionalFormatting>
        <x14:conditionalFormatting xmlns:xm="http://schemas.microsoft.com/office/excel/2006/main">
          <x14:cfRule type="dataBar" id="{12037B25-66B9-466F-8047-4802CB240C8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AD64:AD64</xm:sqref>
        </x14:conditionalFormatting>
        <x14:conditionalFormatting xmlns:xm="http://schemas.microsoft.com/office/excel/2006/main">
          <x14:cfRule type="dataBar" id="{31A32280-6148-41A6-A6B7-710EB683932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AD63:AD63</xm:sqref>
        </x14:conditionalFormatting>
        <x14:conditionalFormatting xmlns:xm="http://schemas.microsoft.com/office/excel/2006/main">
          <x14:cfRule type="dataBar" id="{EC845FB1-2043-43DB-AE51-02FB809E09B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AD62:AD62</xm:sqref>
        </x14:conditionalFormatting>
        <x14:conditionalFormatting xmlns:xm="http://schemas.microsoft.com/office/excel/2006/main">
          <x14:cfRule type="dataBar" id="{33DECA3E-A19D-4E73-B579-39DABB11245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AD61:AD61</xm:sqref>
        </x14:conditionalFormatting>
        <x14:conditionalFormatting xmlns:xm="http://schemas.microsoft.com/office/excel/2006/main">
          <x14:cfRule type="dataBar" id="{F31B1893-01C5-4A67-BFBB-A816DB1C775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AD60:AD60</xm:sqref>
        </x14:conditionalFormatting>
        <x14:conditionalFormatting xmlns:xm="http://schemas.microsoft.com/office/excel/2006/main">
          <x14:cfRule type="dataBar" id="{8EB31019-036E-4B37-A8A7-AAC397896AF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AD59:AD59</xm:sqref>
        </x14:conditionalFormatting>
        <x14:conditionalFormatting xmlns:xm="http://schemas.microsoft.com/office/excel/2006/main">
          <x14:cfRule type="dataBar" id="{73C41010-3AF9-4DBF-BA51-18E11B87E7C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AD58:AD58</xm:sqref>
        </x14:conditionalFormatting>
        <x14:conditionalFormatting xmlns:xm="http://schemas.microsoft.com/office/excel/2006/main">
          <x14:cfRule type="dataBar" id="{EDAF01D6-E43F-480D-A07E-0C0832D1DB8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AD57:AD57</xm:sqref>
        </x14:conditionalFormatting>
        <x14:conditionalFormatting xmlns:xm="http://schemas.microsoft.com/office/excel/2006/main">
          <x14:cfRule type="dataBar" id="{50DADE1C-D3B6-44BA-BC4D-DC3AD5E973A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AD56:AD56</xm:sqref>
        </x14:conditionalFormatting>
        <x14:conditionalFormatting xmlns:xm="http://schemas.microsoft.com/office/excel/2006/main">
          <x14:cfRule type="dataBar" id="{758675AB-C317-4E2F-9F23-49625950F9C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AD55:AD55</xm:sqref>
        </x14:conditionalFormatting>
        <x14:conditionalFormatting xmlns:xm="http://schemas.microsoft.com/office/excel/2006/main">
          <x14:cfRule type="dataBar" id="{6CE7175E-5B63-492C-A4AA-4012F18D23E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AD54:AD54</xm:sqref>
        </x14:conditionalFormatting>
        <x14:conditionalFormatting xmlns:xm="http://schemas.microsoft.com/office/excel/2006/main">
          <x14:cfRule type="dataBar" id="{6F753CFC-40B3-4F35-B59D-7B2FA498226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AD53:AD53</xm:sqref>
        </x14:conditionalFormatting>
        <x14:conditionalFormatting xmlns:xm="http://schemas.microsoft.com/office/excel/2006/main">
          <x14:cfRule type="dataBar" id="{06F0FEB1-CF07-46BE-89BD-FC4CD21179A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AD52:AD52</xm:sqref>
        </x14:conditionalFormatting>
        <x14:conditionalFormatting xmlns:xm="http://schemas.microsoft.com/office/excel/2006/main">
          <x14:cfRule type="dataBar" id="{9C895C4A-0630-4D2B-802A-CBD2EC7F1C6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AD51:AD51</xm:sqref>
        </x14:conditionalFormatting>
        <x14:conditionalFormatting xmlns:xm="http://schemas.microsoft.com/office/excel/2006/main">
          <x14:cfRule type="dataBar" id="{997E1CD3-60A5-433C-B3F4-EAA289A058F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AD50:AD50</xm:sqref>
        </x14:conditionalFormatting>
        <x14:conditionalFormatting xmlns:xm="http://schemas.microsoft.com/office/excel/2006/main">
          <x14:cfRule type="dataBar" id="{04A31726-2002-4752-B35D-788412C1FCC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AD49:AD49</xm:sqref>
        </x14:conditionalFormatting>
        <x14:conditionalFormatting xmlns:xm="http://schemas.microsoft.com/office/excel/2006/main">
          <x14:cfRule type="dataBar" id="{263CBE80-7233-484D-93F9-B5BE6155CFB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AD48:AD48</xm:sqref>
        </x14:conditionalFormatting>
        <x14:conditionalFormatting xmlns:xm="http://schemas.microsoft.com/office/excel/2006/main">
          <x14:cfRule type="dataBar" id="{FFC2A01A-CCC4-49BB-8D30-A2943E65CF3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AD47:AD47</xm:sqref>
        </x14:conditionalFormatting>
        <x14:conditionalFormatting xmlns:xm="http://schemas.microsoft.com/office/excel/2006/main">
          <x14:cfRule type="dataBar" id="{1D071352-D245-4049-82FE-3CA7BAC3815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AD46:AD46</xm:sqref>
        </x14:conditionalFormatting>
        <x14:conditionalFormatting xmlns:xm="http://schemas.microsoft.com/office/excel/2006/main">
          <x14:cfRule type="dataBar" id="{F908232D-B755-4FB2-8659-065FB137D01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AD45:AD45</xm:sqref>
        </x14:conditionalFormatting>
        <x14:conditionalFormatting xmlns:xm="http://schemas.microsoft.com/office/excel/2006/main">
          <x14:cfRule type="dataBar" id="{EC3EDD69-E6A9-4586-A0AF-E4E912AE1C9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AD44:AD44</xm:sqref>
        </x14:conditionalFormatting>
        <x14:conditionalFormatting xmlns:xm="http://schemas.microsoft.com/office/excel/2006/main">
          <x14:cfRule type="dataBar" id="{AD600F52-5C4F-4095-AEC4-3F64DC0268C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AD43:AD43</xm:sqref>
        </x14:conditionalFormatting>
        <x14:conditionalFormatting xmlns:xm="http://schemas.microsoft.com/office/excel/2006/main">
          <x14:cfRule type="dataBar" id="{59D3EE8E-C650-4172-947E-6EFE2ECCB5E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AD42:AD42</xm:sqref>
        </x14:conditionalFormatting>
        <x14:conditionalFormatting xmlns:xm="http://schemas.microsoft.com/office/excel/2006/main">
          <x14:cfRule type="dataBar" id="{5E27926F-F5FD-4B4E-8FC1-840FAC33577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AD41:AD41</xm:sqref>
        </x14:conditionalFormatting>
        <x14:conditionalFormatting xmlns:xm="http://schemas.microsoft.com/office/excel/2006/main">
          <x14:cfRule type="dataBar" id="{A5497925-A4A1-40C7-95AB-4FA3B8993820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AD40:AD40</xm:sqref>
        </x14:conditionalFormatting>
        <x14:conditionalFormatting xmlns:xm="http://schemas.microsoft.com/office/excel/2006/main">
          <x14:cfRule type="dataBar" id="{3BB6BC85-14A4-4AF7-9919-A88C073D474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AD39:AD39</xm:sqref>
        </x14:conditionalFormatting>
        <x14:conditionalFormatting xmlns:xm="http://schemas.microsoft.com/office/excel/2006/main">
          <x14:cfRule type="dataBar" id="{3B0A4581-79B1-4BE0-A399-C48808A9FE1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AD38:AD38</xm:sqref>
        </x14:conditionalFormatting>
        <x14:conditionalFormatting xmlns:xm="http://schemas.microsoft.com/office/excel/2006/main">
          <x14:cfRule type="dataBar" id="{38867C21-B722-49F9-8465-2F48B8A08F6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AD37:AD37</xm:sqref>
        </x14:conditionalFormatting>
        <x14:conditionalFormatting xmlns:xm="http://schemas.microsoft.com/office/excel/2006/main">
          <x14:cfRule type="dataBar" id="{0BC2319C-8781-44F3-84D3-CAFB0AA5D57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AD36:AD36</xm:sqref>
        </x14:conditionalFormatting>
        <x14:conditionalFormatting xmlns:xm="http://schemas.microsoft.com/office/excel/2006/main">
          <x14:cfRule type="dataBar" id="{CAA09E9B-A23F-42CE-87B8-929516153FD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AD35:AD35</xm:sqref>
        </x14:conditionalFormatting>
        <x14:conditionalFormatting xmlns:xm="http://schemas.microsoft.com/office/excel/2006/main">
          <x14:cfRule type="dataBar" id="{EADB98E3-5039-44E8-B44F-D3141C964FB3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AD34:AD34</xm:sqref>
        </x14:conditionalFormatting>
        <x14:conditionalFormatting xmlns:xm="http://schemas.microsoft.com/office/excel/2006/main">
          <x14:cfRule type="dataBar" id="{5901C194-70E4-47CA-A250-2D7D3EDFF6E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AD33:AD33</xm:sqref>
        </x14:conditionalFormatting>
        <x14:conditionalFormatting xmlns:xm="http://schemas.microsoft.com/office/excel/2006/main">
          <x14:cfRule type="dataBar" id="{BDD3B9E1-E485-4F84-9169-D6EBA9CE51E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AD32:AD32</xm:sqref>
        </x14:conditionalFormatting>
        <x14:conditionalFormatting xmlns:xm="http://schemas.microsoft.com/office/excel/2006/main">
          <x14:cfRule type="dataBar" id="{DE7F86BA-4790-46D5-B97E-9AB1B5D0D02D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AD31:AD31</xm:sqref>
        </x14:conditionalFormatting>
        <x14:conditionalFormatting xmlns:xm="http://schemas.microsoft.com/office/excel/2006/main">
          <x14:cfRule type="dataBar" id="{58FABFAA-3B3E-4481-8C31-B2E372937D6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AD30:AD30</xm:sqref>
        </x14:conditionalFormatting>
        <x14:conditionalFormatting xmlns:xm="http://schemas.microsoft.com/office/excel/2006/main">
          <x14:cfRule type="dataBar" id="{6B49E600-C61C-46A6-A0B2-7E0AB0565FD2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AD29:AD29</xm:sqref>
        </x14:conditionalFormatting>
        <x14:conditionalFormatting xmlns:xm="http://schemas.microsoft.com/office/excel/2006/main">
          <x14:cfRule type="dataBar" id="{41494B57-E3A0-415F-9039-97BAE0E02CB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AD28:AD28</xm:sqref>
        </x14:conditionalFormatting>
        <x14:conditionalFormatting xmlns:xm="http://schemas.microsoft.com/office/excel/2006/main">
          <x14:cfRule type="dataBar" id="{CAF83C5A-FBFA-4421-95D8-1D8EBBF3DD5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AD17:AD27</xm:sqref>
        </x14:conditionalFormatting>
        <x14:conditionalFormatting xmlns:xm="http://schemas.microsoft.com/office/excel/2006/main">
          <x14:cfRule type="dataBar" id="{AFB5EBF7-C322-487D-92BC-B338BB253846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AD6:AD16</xm:sqref>
        </x14:conditionalFormatting>
        <x14:conditionalFormatting xmlns:xm="http://schemas.microsoft.com/office/excel/2006/main">
          <x14:cfRule type="dataBar" id="{861EAF20-4908-4BFA-9A15-97922F289DBE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AD5:AD5</xm:sqref>
        </x14:conditionalFormatting>
        <x14:conditionalFormatting xmlns:xm="http://schemas.microsoft.com/office/excel/2006/main">
          <x14:cfRule type="dataBar" id="{9FC54251-BD0F-412F-8E6F-B7364768BC01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AD4:AD4</xm:sqref>
        </x14:conditionalFormatting>
        <x14:conditionalFormatting xmlns:xm="http://schemas.microsoft.com/office/excel/2006/main">
          <x14:cfRule type="dataBar" id="{64EC4018-D97C-44E7-9F0F-7BA5F4AC8C9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AD3:AD3</xm:sqref>
        </x14:conditionalFormatting>
        <x14:conditionalFormatting xmlns:xm="http://schemas.microsoft.com/office/excel/2006/main">
          <x14:cfRule type="dataBar" id="{8004732E-599D-4511-8C66-B88C0042468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AE109:AE109</xm:sqref>
        </x14:conditionalFormatting>
        <x14:conditionalFormatting xmlns:xm="http://schemas.microsoft.com/office/excel/2006/main">
          <x14:cfRule type="dataBar" id="{5CE611A7-B142-4282-85E5-2E3E0C2DBD0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AE108:AE108</xm:sqref>
        </x14:conditionalFormatting>
        <x14:conditionalFormatting xmlns:xm="http://schemas.microsoft.com/office/excel/2006/main">
          <x14:cfRule type="dataBar" id="{8CD7A40B-2D56-43DE-BE63-FF895657B1E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AE107:AE107</xm:sqref>
        </x14:conditionalFormatting>
        <x14:conditionalFormatting xmlns:xm="http://schemas.microsoft.com/office/excel/2006/main">
          <x14:cfRule type="dataBar" id="{079EB142-E3DC-49C1-A3FF-1D42E60B7D9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AE106:AE106</xm:sqref>
        </x14:conditionalFormatting>
        <x14:conditionalFormatting xmlns:xm="http://schemas.microsoft.com/office/excel/2006/main">
          <x14:cfRule type="dataBar" id="{E8146BD7-EA82-4E58-A406-361E2641EE1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AE105:AE105</xm:sqref>
        </x14:conditionalFormatting>
        <x14:conditionalFormatting xmlns:xm="http://schemas.microsoft.com/office/excel/2006/main">
          <x14:cfRule type="dataBar" id="{277438B7-F4EB-414E-8EFE-DEA4F3FD74A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AE104:AE104</xm:sqref>
        </x14:conditionalFormatting>
        <x14:conditionalFormatting xmlns:xm="http://schemas.microsoft.com/office/excel/2006/main">
          <x14:cfRule type="dataBar" id="{36F5B2D9-12AE-4215-B616-EDF4BF78B4B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AE103:AE103</xm:sqref>
        </x14:conditionalFormatting>
        <x14:conditionalFormatting xmlns:xm="http://schemas.microsoft.com/office/excel/2006/main">
          <x14:cfRule type="dataBar" id="{C1D5F927-DBB9-4906-9AA3-1EF642C1D40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AE102:AE102</xm:sqref>
        </x14:conditionalFormatting>
        <x14:conditionalFormatting xmlns:xm="http://schemas.microsoft.com/office/excel/2006/main">
          <x14:cfRule type="dataBar" id="{CEE443AD-BDE1-4501-B7EC-647ACE36832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AE101:AE101</xm:sqref>
        </x14:conditionalFormatting>
        <x14:conditionalFormatting xmlns:xm="http://schemas.microsoft.com/office/excel/2006/main">
          <x14:cfRule type="dataBar" id="{E16EBC18-3603-4890-83A6-841B708CDCB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AE100:AE100</xm:sqref>
        </x14:conditionalFormatting>
        <x14:conditionalFormatting xmlns:xm="http://schemas.microsoft.com/office/excel/2006/main">
          <x14:cfRule type="dataBar" id="{B658EAAE-F0F5-4E7F-80FC-99A12FE5B83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AE99:AE99</xm:sqref>
        </x14:conditionalFormatting>
        <x14:conditionalFormatting xmlns:xm="http://schemas.microsoft.com/office/excel/2006/main">
          <x14:cfRule type="dataBar" id="{0A777797-75A7-454D-B4DC-E545CC461E2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AE98:AE98</xm:sqref>
        </x14:conditionalFormatting>
        <x14:conditionalFormatting xmlns:xm="http://schemas.microsoft.com/office/excel/2006/main">
          <x14:cfRule type="dataBar" id="{FCBC59B6-2CF2-410C-AA29-D78E5D95D93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AE97:AE97</xm:sqref>
        </x14:conditionalFormatting>
        <x14:conditionalFormatting xmlns:xm="http://schemas.microsoft.com/office/excel/2006/main">
          <x14:cfRule type="dataBar" id="{BEE9C91B-3752-4478-9B34-85D50EB57E6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AE96:AE96</xm:sqref>
        </x14:conditionalFormatting>
        <x14:conditionalFormatting xmlns:xm="http://schemas.microsoft.com/office/excel/2006/main">
          <x14:cfRule type="dataBar" id="{70F0DBA1-3AE0-4CDD-959B-DE4EE557143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AE95:AE95</xm:sqref>
        </x14:conditionalFormatting>
        <x14:conditionalFormatting xmlns:xm="http://schemas.microsoft.com/office/excel/2006/main">
          <x14:cfRule type="dataBar" id="{84A52708-FF32-4611-BA0F-046A33D32F4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AE94:AE94</xm:sqref>
        </x14:conditionalFormatting>
        <x14:conditionalFormatting xmlns:xm="http://schemas.microsoft.com/office/excel/2006/main">
          <x14:cfRule type="dataBar" id="{9EF83EC9-C35F-422F-9727-100DC2E9300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AE93:AE93</xm:sqref>
        </x14:conditionalFormatting>
        <x14:conditionalFormatting xmlns:xm="http://schemas.microsoft.com/office/excel/2006/main">
          <x14:cfRule type="dataBar" id="{4825DE55-8BB7-458A-8ED9-7F13D56254F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AE92:AE92</xm:sqref>
        </x14:conditionalFormatting>
        <x14:conditionalFormatting xmlns:xm="http://schemas.microsoft.com/office/excel/2006/main">
          <x14:cfRule type="dataBar" id="{B2353483-099D-48FA-96A0-18AA8A3CA9B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AE91:AE91</xm:sqref>
        </x14:conditionalFormatting>
        <x14:conditionalFormatting xmlns:xm="http://schemas.microsoft.com/office/excel/2006/main">
          <x14:cfRule type="dataBar" id="{4EC5582E-7822-414C-89B4-7899680A124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AE90:AE90</xm:sqref>
        </x14:conditionalFormatting>
        <x14:conditionalFormatting xmlns:xm="http://schemas.microsoft.com/office/excel/2006/main">
          <x14:cfRule type="dataBar" id="{3E3BF7FF-642C-444F-AE3D-B60316172B0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AE89:AE89</xm:sqref>
        </x14:conditionalFormatting>
        <x14:conditionalFormatting xmlns:xm="http://schemas.microsoft.com/office/excel/2006/main">
          <x14:cfRule type="dataBar" id="{4FF70AB6-E383-4EAE-8FAB-16F70D44A57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AE88:AE88</xm:sqref>
        </x14:conditionalFormatting>
        <x14:conditionalFormatting xmlns:xm="http://schemas.microsoft.com/office/excel/2006/main">
          <x14:cfRule type="dataBar" id="{169E5429-923B-4DCB-9F8B-A14ECBB6214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AE87:AE87</xm:sqref>
        </x14:conditionalFormatting>
        <x14:conditionalFormatting xmlns:xm="http://schemas.microsoft.com/office/excel/2006/main">
          <x14:cfRule type="dataBar" id="{7E2FF8E6-90E5-40CB-858B-41B085BD688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AE86:AE86</xm:sqref>
        </x14:conditionalFormatting>
        <x14:conditionalFormatting xmlns:xm="http://schemas.microsoft.com/office/excel/2006/main">
          <x14:cfRule type="dataBar" id="{4F67A5B8-2708-47CB-8ACD-377E03D0A4B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AE85:AE85</xm:sqref>
        </x14:conditionalFormatting>
        <x14:conditionalFormatting xmlns:xm="http://schemas.microsoft.com/office/excel/2006/main">
          <x14:cfRule type="dataBar" id="{38C67EE5-740F-40E4-A797-7D0A67A2C0C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AE84:AE84</xm:sqref>
        </x14:conditionalFormatting>
        <x14:conditionalFormatting xmlns:xm="http://schemas.microsoft.com/office/excel/2006/main">
          <x14:cfRule type="dataBar" id="{4FC09380-BA38-4AD4-A3A3-73B743AB8F5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AE83:AE83</xm:sqref>
        </x14:conditionalFormatting>
        <x14:conditionalFormatting xmlns:xm="http://schemas.microsoft.com/office/excel/2006/main">
          <x14:cfRule type="dataBar" id="{6746B340-4D2C-4E04-8866-0E05E42C9CB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AE82:AE82</xm:sqref>
        </x14:conditionalFormatting>
        <x14:conditionalFormatting xmlns:xm="http://schemas.microsoft.com/office/excel/2006/main">
          <x14:cfRule type="dataBar" id="{FCBEFADB-56C5-424D-8C2E-79CB6EA6A68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AE81:AE81</xm:sqref>
        </x14:conditionalFormatting>
        <x14:conditionalFormatting xmlns:xm="http://schemas.microsoft.com/office/excel/2006/main">
          <x14:cfRule type="dataBar" id="{B5272F93-B83B-44B2-A13D-AD2D4104056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AE80:AE80</xm:sqref>
        </x14:conditionalFormatting>
        <x14:conditionalFormatting xmlns:xm="http://schemas.microsoft.com/office/excel/2006/main">
          <x14:cfRule type="dataBar" id="{FD50FA54-8907-4115-AE93-346AA49F126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AE79:AE79</xm:sqref>
        </x14:conditionalFormatting>
        <x14:conditionalFormatting xmlns:xm="http://schemas.microsoft.com/office/excel/2006/main">
          <x14:cfRule type="dataBar" id="{769BB52E-0D3F-40B2-8A88-5BCE0754C39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AE78:AE78</xm:sqref>
        </x14:conditionalFormatting>
        <x14:conditionalFormatting xmlns:xm="http://schemas.microsoft.com/office/excel/2006/main">
          <x14:cfRule type="dataBar" id="{E59B56CD-75B5-4AC4-82CD-BCD23C2482B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AE77:AE77</xm:sqref>
        </x14:conditionalFormatting>
        <x14:conditionalFormatting xmlns:xm="http://schemas.microsoft.com/office/excel/2006/main">
          <x14:cfRule type="dataBar" id="{53E69F96-7577-4DBF-9A13-F06A00F246A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AE76:AE76</xm:sqref>
        </x14:conditionalFormatting>
        <x14:conditionalFormatting xmlns:xm="http://schemas.microsoft.com/office/excel/2006/main">
          <x14:cfRule type="dataBar" id="{0B03F930-21CD-4E70-9D01-656DEBF7D39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AE75:AE75</xm:sqref>
        </x14:conditionalFormatting>
        <x14:conditionalFormatting xmlns:xm="http://schemas.microsoft.com/office/excel/2006/main">
          <x14:cfRule type="dataBar" id="{AE45F10A-B9B5-468E-AF95-ED05DE531EA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AE74:AE74</xm:sqref>
        </x14:conditionalFormatting>
        <x14:conditionalFormatting xmlns:xm="http://schemas.microsoft.com/office/excel/2006/main">
          <x14:cfRule type="dataBar" id="{8AA97C21-5AFF-412E-B935-79FCA52C8D7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AE73:AE73</xm:sqref>
        </x14:conditionalFormatting>
        <x14:conditionalFormatting xmlns:xm="http://schemas.microsoft.com/office/excel/2006/main">
          <x14:cfRule type="dataBar" id="{392E1DCA-1C2F-4B05-A03A-2B95694A83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AE72:AE72</xm:sqref>
        </x14:conditionalFormatting>
        <x14:conditionalFormatting xmlns:xm="http://schemas.microsoft.com/office/excel/2006/main">
          <x14:cfRule type="dataBar" id="{E4B175E0-0546-48B6-BE76-B5484223F9B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AE71:AE71</xm:sqref>
        </x14:conditionalFormatting>
        <x14:conditionalFormatting xmlns:xm="http://schemas.microsoft.com/office/excel/2006/main">
          <x14:cfRule type="dataBar" id="{8F2A5F01-9BB9-4F8F-A45A-BBE76569FEB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AE70:AE70</xm:sqref>
        </x14:conditionalFormatting>
        <x14:conditionalFormatting xmlns:xm="http://schemas.microsoft.com/office/excel/2006/main">
          <x14:cfRule type="dataBar" id="{A74E0D17-73DC-4AD8-B3F1-7E7FD979C6D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AE69:AE69</xm:sqref>
        </x14:conditionalFormatting>
        <x14:conditionalFormatting xmlns:xm="http://schemas.microsoft.com/office/excel/2006/main">
          <x14:cfRule type="dataBar" id="{CF980648-9356-4327-9CE2-532AED4DF30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AE68:AE68</xm:sqref>
        </x14:conditionalFormatting>
        <x14:conditionalFormatting xmlns:xm="http://schemas.microsoft.com/office/excel/2006/main">
          <x14:cfRule type="dataBar" id="{5E5DD896-681F-4D32-A073-BA69DDBFCF1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AE67:AE67</xm:sqref>
        </x14:conditionalFormatting>
        <x14:conditionalFormatting xmlns:xm="http://schemas.microsoft.com/office/excel/2006/main">
          <x14:cfRule type="dataBar" id="{57FE4837-C3D2-4EA3-9A69-375DE37AD00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AE66:AE66</xm:sqref>
        </x14:conditionalFormatting>
        <x14:conditionalFormatting xmlns:xm="http://schemas.microsoft.com/office/excel/2006/main">
          <x14:cfRule type="dataBar" id="{E8EC83DF-AB97-400D-9A25-F44D31DD6B6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AE65:AE65</xm:sqref>
        </x14:conditionalFormatting>
        <x14:conditionalFormatting xmlns:xm="http://schemas.microsoft.com/office/excel/2006/main">
          <x14:cfRule type="dataBar" id="{FDF43738-3328-4DEB-B600-B6A016AC9C3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AE64:AE64</xm:sqref>
        </x14:conditionalFormatting>
        <x14:conditionalFormatting xmlns:xm="http://schemas.microsoft.com/office/excel/2006/main">
          <x14:cfRule type="dataBar" id="{A1DAD00E-1DFE-47D5-9F59-50B8092FBD1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AE63:AE63</xm:sqref>
        </x14:conditionalFormatting>
        <x14:conditionalFormatting xmlns:xm="http://schemas.microsoft.com/office/excel/2006/main">
          <x14:cfRule type="dataBar" id="{A5B7CB8F-C559-4E60-8479-52530DEEBA9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AE62:AE62</xm:sqref>
        </x14:conditionalFormatting>
        <x14:conditionalFormatting xmlns:xm="http://schemas.microsoft.com/office/excel/2006/main">
          <x14:cfRule type="dataBar" id="{069ED24A-A2F9-4CFF-9F81-F4A338BF536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AE61:AE61</xm:sqref>
        </x14:conditionalFormatting>
        <x14:conditionalFormatting xmlns:xm="http://schemas.microsoft.com/office/excel/2006/main">
          <x14:cfRule type="dataBar" id="{EB444759-BC86-4CB7-8ED7-6CCC89C3D55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AE60:AE60</xm:sqref>
        </x14:conditionalFormatting>
        <x14:conditionalFormatting xmlns:xm="http://schemas.microsoft.com/office/excel/2006/main">
          <x14:cfRule type="dataBar" id="{96BFD7C2-2C24-4139-A3C1-D62B86AC1D3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AE59:AE59</xm:sqref>
        </x14:conditionalFormatting>
        <x14:conditionalFormatting xmlns:xm="http://schemas.microsoft.com/office/excel/2006/main">
          <x14:cfRule type="dataBar" id="{FFBDFC9C-5588-4C6C-933C-D24DE56524B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AE58:AE58</xm:sqref>
        </x14:conditionalFormatting>
        <x14:conditionalFormatting xmlns:xm="http://schemas.microsoft.com/office/excel/2006/main">
          <x14:cfRule type="dataBar" id="{8190A950-54E1-4938-B5DF-3541731A469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AE57:AE57</xm:sqref>
        </x14:conditionalFormatting>
        <x14:conditionalFormatting xmlns:xm="http://schemas.microsoft.com/office/excel/2006/main">
          <x14:cfRule type="dataBar" id="{9A472282-0DA1-471C-A1E9-11DBB5FA85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AE56:AE56</xm:sqref>
        </x14:conditionalFormatting>
        <x14:conditionalFormatting xmlns:xm="http://schemas.microsoft.com/office/excel/2006/main">
          <x14:cfRule type="dataBar" id="{5C8482A8-39A0-4AE1-AFB8-5E08AB84865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AE55:AE55</xm:sqref>
        </x14:conditionalFormatting>
        <x14:conditionalFormatting xmlns:xm="http://schemas.microsoft.com/office/excel/2006/main">
          <x14:cfRule type="dataBar" id="{D4080AB4-C6CD-4024-89B3-605395756EE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AE54:AE54</xm:sqref>
        </x14:conditionalFormatting>
        <x14:conditionalFormatting xmlns:xm="http://schemas.microsoft.com/office/excel/2006/main">
          <x14:cfRule type="dataBar" id="{652B302B-54EB-4EEE-858A-3F1FBED7EE5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AE53:AE53</xm:sqref>
        </x14:conditionalFormatting>
        <x14:conditionalFormatting xmlns:xm="http://schemas.microsoft.com/office/excel/2006/main">
          <x14:cfRule type="dataBar" id="{DC6FF542-533E-4D53-91A8-F69A0F8815C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AE52:AE52</xm:sqref>
        </x14:conditionalFormatting>
        <x14:conditionalFormatting xmlns:xm="http://schemas.microsoft.com/office/excel/2006/main">
          <x14:cfRule type="dataBar" id="{ED86FC20-FED5-4927-8D48-5F3E19F58FA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AE51:AE51</xm:sqref>
        </x14:conditionalFormatting>
        <x14:conditionalFormatting xmlns:xm="http://schemas.microsoft.com/office/excel/2006/main">
          <x14:cfRule type="dataBar" id="{46AACA91-A861-46C6-BB05-A69CE08D067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AE50:AE50</xm:sqref>
        </x14:conditionalFormatting>
        <x14:conditionalFormatting xmlns:xm="http://schemas.microsoft.com/office/excel/2006/main">
          <x14:cfRule type="dataBar" id="{33737724-3589-4E64-80FB-A41254EE67F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AE49:AE49</xm:sqref>
        </x14:conditionalFormatting>
        <x14:conditionalFormatting xmlns:xm="http://schemas.microsoft.com/office/excel/2006/main">
          <x14:cfRule type="dataBar" id="{56A630F1-806A-47F4-844F-CFCE515C9C6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AE48:AE48</xm:sqref>
        </x14:conditionalFormatting>
        <x14:conditionalFormatting xmlns:xm="http://schemas.microsoft.com/office/excel/2006/main">
          <x14:cfRule type="dataBar" id="{72923F1E-03D0-461E-9E2B-E4797FEB9D2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AE47:AE47</xm:sqref>
        </x14:conditionalFormatting>
        <x14:conditionalFormatting xmlns:xm="http://schemas.microsoft.com/office/excel/2006/main">
          <x14:cfRule type="dataBar" id="{635C4A26-DDC1-45DB-A22F-95F32392D2D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AE46:AE46</xm:sqref>
        </x14:conditionalFormatting>
        <x14:conditionalFormatting xmlns:xm="http://schemas.microsoft.com/office/excel/2006/main">
          <x14:cfRule type="dataBar" id="{55E33509-F469-4F6B-A050-B78D9A57249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AE45:AE45</xm:sqref>
        </x14:conditionalFormatting>
        <x14:conditionalFormatting xmlns:xm="http://schemas.microsoft.com/office/excel/2006/main">
          <x14:cfRule type="dataBar" id="{0EE3C82C-2EE6-4F5C-9953-DB7094B7838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AE44:AE44</xm:sqref>
        </x14:conditionalFormatting>
        <x14:conditionalFormatting xmlns:xm="http://schemas.microsoft.com/office/excel/2006/main">
          <x14:cfRule type="dataBar" id="{D5C3D252-0536-4DA4-A116-4040014F9DE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AE43:AE43</xm:sqref>
        </x14:conditionalFormatting>
        <x14:conditionalFormatting xmlns:xm="http://schemas.microsoft.com/office/excel/2006/main">
          <x14:cfRule type="dataBar" id="{17362DFF-0F74-4904-9677-20CA2BD72E3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AE42:AE42</xm:sqref>
        </x14:conditionalFormatting>
        <x14:conditionalFormatting xmlns:xm="http://schemas.microsoft.com/office/excel/2006/main">
          <x14:cfRule type="dataBar" id="{D1D21A9C-8BC7-4B05-A8E1-ADAA8E3FADD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AE41:AE41</xm:sqref>
        </x14:conditionalFormatting>
        <x14:conditionalFormatting xmlns:xm="http://schemas.microsoft.com/office/excel/2006/main">
          <x14:cfRule type="dataBar" id="{B2C554DA-812F-4897-86A4-D48ED9486C4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AE40:AE40</xm:sqref>
        </x14:conditionalFormatting>
        <x14:conditionalFormatting xmlns:xm="http://schemas.microsoft.com/office/excel/2006/main">
          <x14:cfRule type="dataBar" id="{08A13748-12A4-410D-B4D2-C6CD1C181B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AE39:AE39</xm:sqref>
        </x14:conditionalFormatting>
        <x14:conditionalFormatting xmlns:xm="http://schemas.microsoft.com/office/excel/2006/main">
          <x14:cfRule type="dataBar" id="{7237FCF9-91AA-4BFD-AC84-75613E91816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AE38:AE38</xm:sqref>
        </x14:conditionalFormatting>
        <x14:conditionalFormatting xmlns:xm="http://schemas.microsoft.com/office/excel/2006/main">
          <x14:cfRule type="dataBar" id="{893EFE59-6C2E-473B-B35B-0E0D55C231B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AE37:AE37</xm:sqref>
        </x14:conditionalFormatting>
        <x14:conditionalFormatting xmlns:xm="http://schemas.microsoft.com/office/excel/2006/main">
          <x14:cfRule type="dataBar" id="{1DF443BB-9F2E-4618-916D-028C6028BE2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AE36:AE36</xm:sqref>
        </x14:conditionalFormatting>
        <x14:conditionalFormatting xmlns:xm="http://schemas.microsoft.com/office/excel/2006/main">
          <x14:cfRule type="dataBar" id="{07BC4B62-6CB1-4A0C-A45F-ED73C9EC095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AE35:AE35</xm:sqref>
        </x14:conditionalFormatting>
        <x14:conditionalFormatting xmlns:xm="http://schemas.microsoft.com/office/excel/2006/main">
          <x14:cfRule type="dataBar" id="{422B0529-BF84-4715-83D7-621C0FAE6A6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AE34:AE34</xm:sqref>
        </x14:conditionalFormatting>
        <x14:conditionalFormatting xmlns:xm="http://schemas.microsoft.com/office/excel/2006/main">
          <x14:cfRule type="dataBar" id="{7B1976EE-E2BD-4FDD-80DF-B3CB2C354FF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AE33:AE33</xm:sqref>
        </x14:conditionalFormatting>
        <x14:conditionalFormatting xmlns:xm="http://schemas.microsoft.com/office/excel/2006/main">
          <x14:cfRule type="dataBar" id="{EC7BAB19-24CE-40F1-A6F4-C7742694430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AE32:AE32</xm:sqref>
        </x14:conditionalFormatting>
        <x14:conditionalFormatting xmlns:xm="http://schemas.microsoft.com/office/excel/2006/main">
          <x14:cfRule type="dataBar" id="{ED150D2B-B5F9-4771-B565-0855EB8114B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AE31:AE31</xm:sqref>
        </x14:conditionalFormatting>
        <x14:conditionalFormatting xmlns:xm="http://schemas.microsoft.com/office/excel/2006/main">
          <x14:cfRule type="dataBar" id="{1B4CDA1C-9345-4685-8AD7-55BE151110E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AE30:AE30</xm:sqref>
        </x14:conditionalFormatting>
        <x14:conditionalFormatting xmlns:xm="http://schemas.microsoft.com/office/excel/2006/main">
          <x14:cfRule type="dataBar" id="{6EA72F4F-5CA6-4C00-AEC8-37FB04AD2C6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AE29:AE29</xm:sqref>
        </x14:conditionalFormatting>
        <x14:conditionalFormatting xmlns:xm="http://schemas.microsoft.com/office/excel/2006/main">
          <x14:cfRule type="dataBar" id="{BF08046A-C5BC-4221-AB85-03F9E37174E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AE28:AE28</xm:sqref>
        </x14:conditionalFormatting>
        <x14:conditionalFormatting xmlns:xm="http://schemas.microsoft.com/office/excel/2006/main">
          <x14:cfRule type="dataBar" id="{2D6623DB-61B4-4E43-AA21-0FF964371A1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AE17:AE27</xm:sqref>
        </x14:conditionalFormatting>
        <x14:conditionalFormatting xmlns:xm="http://schemas.microsoft.com/office/excel/2006/main">
          <x14:cfRule type="dataBar" id="{4BAAF6A8-C44E-4FD6-BDF0-C328DB5A5FC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AE6:AE16</xm:sqref>
        </x14:conditionalFormatting>
        <x14:conditionalFormatting xmlns:xm="http://schemas.microsoft.com/office/excel/2006/main">
          <x14:cfRule type="dataBar" id="{037325C1-1166-4317-9235-0C5C15BD642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AE5:AE5</xm:sqref>
        </x14:conditionalFormatting>
        <x14:conditionalFormatting xmlns:xm="http://schemas.microsoft.com/office/excel/2006/main">
          <x14:cfRule type="dataBar" id="{560D143C-4046-4269-A960-15425C24AFC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AE4:AE4</xm:sqref>
        </x14:conditionalFormatting>
        <x14:conditionalFormatting xmlns:xm="http://schemas.microsoft.com/office/excel/2006/main">
          <x14:cfRule type="dataBar" id="{98064ADD-D985-445F-B260-733342D9EFA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AE3:AE3</xm:sqref>
        </x14:conditionalFormatting>
        <x14:conditionalFormatting xmlns:xm="http://schemas.microsoft.com/office/excel/2006/main">
          <x14:cfRule type="dataBar" id="{B54BD8AB-0C98-446C-B371-B0107E3C773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AY109:AY109</xm:sqref>
        </x14:conditionalFormatting>
        <x14:conditionalFormatting xmlns:xm="http://schemas.microsoft.com/office/excel/2006/main">
          <x14:cfRule type="dataBar" id="{76CD2286-801E-4F52-8475-684DCF57E24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AY108:AY108</xm:sqref>
        </x14:conditionalFormatting>
        <x14:conditionalFormatting xmlns:xm="http://schemas.microsoft.com/office/excel/2006/main">
          <x14:cfRule type="dataBar" id="{FCBB7997-95C4-48BF-B4DF-943DF3EF163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AY107:AY107</xm:sqref>
        </x14:conditionalFormatting>
        <x14:conditionalFormatting xmlns:xm="http://schemas.microsoft.com/office/excel/2006/main">
          <x14:cfRule type="dataBar" id="{F303D53A-C428-4A6F-BAC3-8B69ED6A373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AY106:AY106</xm:sqref>
        </x14:conditionalFormatting>
        <x14:conditionalFormatting xmlns:xm="http://schemas.microsoft.com/office/excel/2006/main">
          <x14:cfRule type="dataBar" id="{442069FE-83A1-4B6D-BD07-21C30DE6359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AY105:AY105</xm:sqref>
        </x14:conditionalFormatting>
        <x14:conditionalFormatting xmlns:xm="http://schemas.microsoft.com/office/excel/2006/main">
          <x14:cfRule type="dataBar" id="{F6620AEF-8669-49DE-89CB-105D5863E38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AY104:AY104</xm:sqref>
        </x14:conditionalFormatting>
        <x14:conditionalFormatting xmlns:xm="http://schemas.microsoft.com/office/excel/2006/main">
          <x14:cfRule type="dataBar" id="{BDB9AB52-B954-4E50-8DD3-791928E1D6A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AY103:AY103</xm:sqref>
        </x14:conditionalFormatting>
        <x14:conditionalFormatting xmlns:xm="http://schemas.microsoft.com/office/excel/2006/main">
          <x14:cfRule type="dataBar" id="{746B75C6-A4F2-4C10-B7E4-10CD29A92C8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AY102:AY102</xm:sqref>
        </x14:conditionalFormatting>
        <x14:conditionalFormatting xmlns:xm="http://schemas.microsoft.com/office/excel/2006/main">
          <x14:cfRule type="dataBar" id="{C74A6A1D-BEC0-41E3-83B7-9646729A24B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AY101:AY101</xm:sqref>
        </x14:conditionalFormatting>
        <x14:conditionalFormatting xmlns:xm="http://schemas.microsoft.com/office/excel/2006/main">
          <x14:cfRule type="dataBar" id="{55D6CA28-62E2-41E1-B5ED-92F428BF8BE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AY100:AY100</xm:sqref>
        </x14:conditionalFormatting>
        <x14:conditionalFormatting xmlns:xm="http://schemas.microsoft.com/office/excel/2006/main">
          <x14:cfRule type="dataBar" id="{1088C478-09F8-42C1-A844-F7928370240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AY99:AY99</xm:sqref>
        </x14:conditionalFormatting>
        <x14:conditionalFormatting xmlns:xm="http://schemas.microsoft.com/office/excel/2006/main">
          <x14:cfRule type="dataBar" id="{E88A72F9-EEA0-4E19-943C-8BB96C6EAA4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AY98:AY98</xm:sqref>
        </x14:conditionalFormatting>
        <x14:conditionalFormatting xmlns:xm="http://schemas.microsoft.com/office/excel/2006/main">
          <x14:cfRule type="dataBar" id="{89DCABA3-11B8-4F8B-BDE7-CF5E9420BC1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AY97:AY97</xm:sqref>
        </x14:conditionalFormatting>
        <x14:conditionalFormatting xmlns:xm="http://schemas.microsoft.com/office/excel/2006/main">
          <x14:cfRule type="dataBar" id="{8B5D1F5F-1DB1-4094-BD38-46680C60536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AY96:AY96</xm:sqref>
        </x14:conditionalFormatting>
        <x14:conditionalFormatting xmlns:xm="http://schemas.microsoft.com/office/excel/2006/main">
          <x14:cfRule type="dataBar" id="{FD982DFB-0DC9-4A6C-9FDD-F756932EC5F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AY95:AY95</xm:sqref>
        </x14:conditionalFormatting>
        <x14:conditionalFormatting xmlns:xm="http://schemas.microsoft.com/office/excel/2006/main">
          <x14:cfRule type="dataBar" id="{A01840A8-1E1C-4296-B75B-E8962F18BCC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AY94:AY94</xm:sqref>
        </x14:conditionalFormatting>
        <x14:conditionalFormatting xmlns:xm="http://schemas.microsoft.com/office/excel/2006/main">
          <x14:cfRule type="dataBar" id="{123761C0-D3E8-4E48-89B8-B5BFE1DDA51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AY93:AY93</xm:sqref>
        </x14:conditionalFormatting>
        <x14:conditionalFormatting xmlns:xm="http://schemas.microsoft.com/office/excel/2006/main">
          <x14:cfRule type="dataBar" id="{0E599AD2-98FE-4E38-81CC-5B218BA3CE0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AY92:AY92</xm:sqref>
        </x14:conditionalFormatting>
        <x14:conditionalFormatting xmlns:xm="http://schemas.microsoft.com/office/excel/2006/main">
          <x14:cfRule type="dataBar" id="{9D8955F5-F925-4F7D-A2BE-B947C0F4EAB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AY91:AY91</xm:sqref>
        </x14:conditionalFormatting>
        <x14:conditionalFormatting xmlns:xm="http://schemas.microsoft.com/office/excel/2006/main">
          <x14:cfRule type="dataBar" id="{6568B8C3-79E2-4FDA-8083-9E6B7817555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AY90:AY90</xm:sqref>
        </x14:conditionalFormatting>
        <x14:conditionalFormatting xmlns:xm="http://schemas.microsoft.com/office/excel/2006/main">
          <x14:cfRule type="dataBar" id="{D71BC1FD-91A6-42BF-AF55-6E32CE8C17D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AY89:AY89</xm:sqref>
        </x14:conditionalFormatting>
        <x14:conditionalFormatting xmlns:xm="http://schemas.microsoft.com/office/excel/2006/main">
          <x14:cfRule type="dataBar" id="{BC055671-2FA4-4F52-A52F-F036439251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AY88:AY88</xm:sqref>
        </x14:conditionalFormatting>
        <x14:conditionalFormatting xmlns:xm="http://schemas.microsoft.com/office/excel/2006/main">
          <x14:cfRule type="dataBar" id="{FAE8CB0B-A06F-4F0C-AFB3-51C29E2503E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AY87:AY87</xm:sqref>
        </x14:conditionalFormatting>
        <x14:conditionalFormatting xmlns:xm="http://schemas.microsoft.com/office/excel/2006/main">
          <x14:cfRule type="dataBar" id="{46A7F461-E7F3-4DA3-8DDB-56DC2CEC332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AY86:AY86</xm:sqref>
        </x14:conditionalFormatting>
        <x14:conditionalFormatting xmlns:xm="http://schemas.microsoft.com/office/excel/2006/main">
          <x14:cfRule type="dataBar" id="{C112B14B-5620-48DF-BD6E-114C8F987A0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AY85:AY85</xm:sqref>
        </x14:conditionalFormatting>
        <x14:conditionalFormatting xmlns:xm="http://schemas.microsoft.com/office/excel/2006/main">
          <x14:cfRule type="dataBar" id="{D6256D48-7B84-4966-94C1-E1403A1DC01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AY84:AY84</xm:sqref>
        </x14:conditionalFormatting>
        <x14:conditionalFormatting xmlns:xm="http://schemas.microsoft.com/office/excel/2006/main">
          <x14:cfRule type="dataBar" id="{EFF5379B-B449-4338-B973-70D87054DC8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AY83:AY83</xm:sqref>
        </x14:conditionalFormatting>
        <x14:conditionalFormatting xmlns:xm="http://schemas.microsoft.com/office/excel/2006/main">
          <x14:cfRule type="dataBar" id="{7B08515D-CAC2-4B9E-A394-FB41641293A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AY82:AY82</xm:sqref>
        </x14:conditionalFormatting>
        <x14:conditionalFormatting xmlns:xm="http://schemas.microsoft.com/office/excel/2006/main">
          <x14:cfRule type="dataBar" id="{0DA72D94-4F92-462D-83A0-B8C19B14EE3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AY81:AY81</xm:sqref>
        </x14:conditionalFormatting>
        <x14:conditionalFormatting xmlns:xm="http://schemas.microsoft.com/office/excel/2006/main">
          <x14:cfRule type="dataBar" id="{22E8D6C0-34EA-4F15-AF17-A441519BE33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AY80:AY80</xm:sqref>
        </x14:conditionalFormatting>
        <x14:conditionalFormatting xmlns:xm="http://schemas.microsoft.com/office/excel/2006/main">
          <x14:cfRule type="dataBar" id="{F5281307-2D86-4FB3-AEFE-005C941B9D6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AY79:AY79</xm:sqref>
        </x14:conditionalFormatting>
        <x14:conditionalFormatting xmlns:xm="http://schemas.microsoft.com/office/excel/2006/main">
          <x14:cfRule type="dataBar" id="{703CF976-BDCF-486B-A1D9-6F334C531D8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AY78:AY78</xm:sqref>
        </x14:conditionalFormatting>
        <x14:conditionalFormatting xmlns:xm="http://schemas.microsoft.com/office/excel/2006/main">
          <x14:cfRule type="dataBar" id="{D833EF87-2165-4FEF-A27C-388D5EDD33C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AY77:AY77</xm:sqref>
        </x14:conditionalFormatting>
        <x14:conditionalFormatting xmlns:xm="http://schemas.microsoft.com/office/excel/2006/main">
          <x14:cfRule type="dataBar" id="{2A9BA91C-737C-4854-8F8C-FBFDF91236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AY76:AY76</xm:sqref>
        </x14:conditionalFormatting>
        <x14:conditionalFormatting xmlns:xm="http://schemas.microsoft.com/office/excel/2006/main">
          <x14:cfRule type="dataBar" id="{9184A821-5540-4885-B8DB-14A54539BA2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AY75:AY75</xm:sqref>
        </x14:conditionalFormatting>
        <x14:conditionalFormatting xmlns:xm="http://schemas.microsoft.com/office/excel/2006/main">
          <x14:cfRule type="dataBar" id="{2666ED9E-9538-4FE3-988D-1E7F52F4FB9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AY74:AY74</xm:sqref>
        </x14:conditionalFormatting>
        <x14:conditionalFormatting xmlns:xm="http://schemas.microsoft.com/office/excel/2006/main">
          <x14:cfRule type="dataBar" id="{E8F6080E-89AD-40C0-B94D-BC015E850EE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AY73:AY73</xm:sqref>
        </x14:conditionalFormatting>
        <x14:conditionalFormatting xmlns:xm="http://schemas.microsoft.com/office/excel/2006/main">
          <x14:cfRule type="dataBar" id="{CF35C47E-51B0-428C-8FC3-FB8EE761678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AY72:AY72</xm:sqref>
        </x14:conditionalFormatting>
        <x14:conditionalFormatting xmlns:xm="http://schemas.microsoft.com/office/excel/2006/main">
          <x14:cfRule type="dataBar" id="{1DE17299-AEB2-4BEC-B2B2-B21A22DD59B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AY71:AY71</xm:sqref>
        </x14:conditionalFormatting>
        <x14:conditionalFormatting xmlns:xm="http://schemas.microsoft.com/office/excel/2006/main">
          <x14:cfRule type="dataBar" id="{8A4E058F-6B5E-4A02-B1CC-F62154768A2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AY70:AY70</xm:sqref>
        </x14:conditionalFormatting>
        <x14:conditionalFormatting xmlns:xm="http://schemas.microsoft.com/office/excel/2006/main">
          <x14:cfRule type="dataBar" id="{6E47F6DD-7478-45ED-9671-FC2DEA7EF2E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AY69:AY69</xm:sqref>
        </x14:conditionalFormatting>
        <x14:conditionalFormatting xmlns:xm="http://schemas.microsoft.com/office/excel/2006/main">
          <x14:cfRule type="dataBar" id="{BFF00F2A-AC9F-45BC-9503-32BE114F959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AY68:AY68</xm:sqref>
        </x14:conditionalFormatting>
        <x14:conditionalFormatting xmlns:xm="http://schemas.microsoft.com/office/excel/2006/main">
          <x14:cfRule type="dataBar" id="{53A92963-5D25-4CEE-97FC-C0B02B1C47F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AY67:AY67</xm:sqref>
        </x14:conditionalFormatting>
        <x14:conditionalFormatting xmlns:xm="http://schemas.microsoft.com/office/excel/2006/main">
          <x14:cfRule type="dataBar" id="{20FCFF54-9DE1-4216-A9A1-A3BF53C889B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AY66:AY66</xm:sqref>
        </x14:conditionalFormatting>
        <x14:conditionalFormatting xmlns:xm="http://schemas.microsoft.com/office/excel/2006/main">
          <x14:cfRule type="dataBar" id="{15252A29-9177-4EFF-98A3-2978686994F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AY65:AY65</xm:sqref>
        </x14:conditionalFormatting>
        <x14:conditionalFormatting xmlns:xm="http://schemas.microsoft.com/office/excel/2006/main">
          <x14:cfRule type="dataBar" id="{FF29D546-B230-43BE-B436-4708CD79A60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AY64:AY64</xm:sqref>
        </x14:conditionalFormatting>
        <x14:conditionalFormatting xmlns:xm="http://schemas.microsoft.com/office/excel/2006/main">
          <x14:cfRule type="dataBar" id="{0216E67A-DB59-4811-B6F6-2B49EA44C8F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AY63:AY63</xm:sqref>
        </x14:conditionalFormatting>
        <x14:conditionalFormatting xmlns:xm="http://schemas.microsoft.com/office/excel/2006/main">
          <x14:cfRule type="dataBar" id="{9A4FC65A-7380-42DF-9171-5C3A602D003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AY62:AY62</xm:sqref>
        </x14:conditionalFormatting>
        <x14:conditionalFormatting xmlns:xm="http://schemas.microsoft.com/office/excel/2006/main">
          <x14:cfRule type="dataBar" id="{10A28077-9101-47D5-81B7-0C4746D0BF2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AY61:AY61</xm:sqref>
        </x14:conditionalFormatting>
        <x14:conditionalFormatting xmlns:xm="http://schemas.microsoft.com/office/excel/2006/main">
          <x14:cfRule type="dataBar" id="{A953A8FB-DD3E-46EC-9A3C-019A3CB692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AY60:AY60</xm:sqref>
        </x14:conditionalFormatting>
        <x14:conditionalFormatting xmlns:xm="http://schemas.microsoft.com/office/excel/2006/main">
          <x14:cfRule type="dataBar" id="{2CB92457-1E5E-4332-BF9C-86434912523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AY59:AY59</xm:sqref>
        </x14:conditionalFormatting>
        <x14:conditionalFormatting xmlns:xm="http://schemas.microsoft.com/office/excel/2006/main">
          <x14:cfRule type="dataBar" id="{65A5CCA0-5BCE-4ADE-832D-E57A8E2C55B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AY58:AY58</xm:sqref>
        </x14:conditionalFormatting>
        <x14:conditionalFormatting xmlns:xm="http://schemas.microsoft.com/office/excel/2006/main">
          <x14:cfRule type="dataBar" id="{BF08E30B-67AC-4D56-A136-EBE0C287815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AY57:AY57</xm:sqref>
        </x14:conditionalFormatting>
        <x14:conditionalFormatting xmlns:xm="http://schemas.microsoft.com/office/excel/2006/main">
          <x14:cfRule type="dataBar" id="{6C4F89C1-D99D-4191-AD87-82D7F5046F6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AY56:AY56</xm:sqref>
        </x14:conditionalFormatting>
        <x14:conditionalFormatting xmlns:xm="http://schemas.microsoft.com/office/excel/2006/main">
          <x14:cfRule type="dataBar" id="{53C9AABF-FAE2-4ABD-99FB-91DCE838AE2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AY55:AY55</xm:sqref>
        </x14:conditionalFormatting>
        <x14:conditionalFormatting xmlns:xm="http://schemas.microsoft.com/office/excel/2006/main">
          <x14:cfRule type="dataBar" id="{5A6ADB71-5024-4B49-BCF8-E775F696F7C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AY54:AY54</xm:sqref>
        </x14:conditionalFormatting>
        <x14:conditionalFormatting xmlns:xm="http://schemas.microsoft.com/office/excel/2006/main">
          <x14:cfRule type="dataBar" id="{65C33091-7B1B-4D67-BB8A-F5F2415F5AA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AY53:AY53</xm:sqref>
        </x14:conditionalFormatting>
        <x14:conditionalFormatting xmlns:xm="http://schemas.microsoft.com/office/excel/2006/main">
          <x14:cfRule type="dataBar" id="{983851B0-2AE8-4478-9537-BC155273AFC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AY52:AY52</xm:sqref>
        </x14:conditionalFormatting>
        <x14:conditionalFormatting xmlns:xm="http://schemas.microsoft.com/office/excel/2006/main">
          <x14:cfRule type="dataBar" id="{475A406B-E5CA-4D4F-8598-D8AB5BCA4A1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AY51:AY51</xm:sqref>
        </x14:conditionalFormatting>
        <x14:conditionalFormatting xmlns:xm="http://schemas.microsoft.com/office/excel/2006/main">
          <x14:cfRule type="dataBar" id="{A78F9DC2-8584-4460-9AB1-048052179C1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AY50:AY50</xm:sqref>
        </x14:conditionalFormatting>
        <x14:conditionalFormatting xmlns:xm="http://schemas.microsoft.com/office/excel/2006/main">
          <x14:cfRule type="dataBar" id="{C3F6CB7D-9FAC-4A2A-8893-DA89F437A6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AY49:AY49</xm:sqref>
        </x14:conditionalFormatting>
        <x14:conditionalFormatting xmlns:xm="http://schemas.microsoft.com/office/excel/2006/main">
          <x14:cfRule type="dataBar" id="{0BBFCA30-102A-4EEA-820F-E5A8BF88CFB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AY48:AY48</xm:sqref>
        </x14:conditionalFormatting>
        <x14:conditionalFormatting xmlns:xm="http://schemas.microsoft.com/office/excel/2006/main">
          <x14:cfRule type="dataBar" id="{68526472-EDD8-4A90-8B9D-F01CB16834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AY47:AY47</xm:sqref>
        </x14:conditionalFormatting>
        <x14:conditionalFormatting xmlns:xm="http://schemas.microsoft.com/office/excel/2006/main">
          <x14:cfRule type="dataBar" id="{FFA2C182-D6EB-48BD-BD3E-DE91B4EB530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AY46:AY46</xm:sqref>
        </x14:conditionalFormatting>
        <x14:conditionalFormatting xmlns:xm="http://schemas.microsoft.com/office/excel/2006/main">
          <x14:cfRule type="dataBar" id="{98D1BC93-A207-46F9-B17F-FD25C954941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AY45:AY45</xm:sqref>
        </x14:conditionalFormatting>
        <x14:conditionalFormatting xmlns:xm="http://schemas.microsoft.com/office/excel/2006/main">
          <x14:cfRule type="dataBar" id="{E4F0B484-F4BC-4C1E-814C-E485830DEDA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AY44:AY44</xm:sqref>
        </x14:conditionalFormatting>
        <x14:conditionalFormatting xmlns:xm="http://schemas.microsoft.com/office/excel/2006/main">
          <x14:cfRule type="dataBar" id="{95CA1CB6-58F8-493C-8703-656C8946470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AY43:AY43</xm:sqref>
        </x14:conditionalFormatting>
        <x14:conditionalFormatting xmlns:xm="http://schemas.microsoft.com/office/excel/2006/main">
          <x14:cfRule type="dataBar" id="{FDE2EF37-4DA9-4659-8753-89FFAA082CF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AY42:AY42</xm:sqref>
        </x14:conditionalFormatting>
        <x14:conditionalFormatting xmlns:xm="http://schemas.microsoft.com/office/excel/2006/main">
          <x14:cfRule type="dataBar" id="{5DEDAA63-F344-439F-A7FF-AC6F7B03F00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AY41:AY41</xm:sqref>
        </x14:conditionalFormatting>
        <x14:conditionalFormatting xmlns:xm="http://schemas.microsoft.com/office/excel/2006/main">
          <x14:cfRule type="dataBar" id="{83BB5069-6BF5-46B6-B8B1-9AF067F9CD5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AY40:AY40</xm:sqref>
        </x14:conditionalFormatting>
        <x14:conditionalFormatting xmlns:xm="http://schemas.microsoft.com/office/excel/2006/main">
          <x14:cfRule type="dataBar" id="{5AC26CBE-C437-4371-8A30-54760ECDE71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AY39:AY39</xm:sqref>
        </x14:conditionalFormatting>
        <x14:conditionalFormatting xmlns:xm="http://schemas.microsoft.com/office/excel/2006/main">
          <x14:cfRule type="dataBar" id="{2DC5B494-7CC8-492D-B61D-7495B758378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AY38:AY38</xm:sqref>
        </x14:conditionalFormatting>
        <x14:conditionalFormatting xmlns:xm="http://schemas.microsoft.com/office/excel/2006/main">
          <x14:cfRule type="dataBar" id="{4B0DC9D8-EAF2-4F58-A402-BA9A22FB8C5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AY37:AY37</xm:sqref>
        </x14:conditionalFormatting>
        <x14:conditionalFormatting xmlns:xm="http://schemas.microsoft.com/office/excel/2006/main">
          <x14:cfRule type="dataBar" id="{56C5D267-1F65-42C9-ADD5-A580D4E4268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AY36:AY36</xm:sqref>
        </x14:conditionalFormatting>
        <x14:conditionalFormatting xmlns:xm="http://schemas.microsoft.com/office/excel/2006/main">
          <x14:cfRule type="dataBar" id="{08406C73-D623-4A7C-8B32-045C5123256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AY35:AY35</xm:sqref>
        </x14:conditionalFormatting>
        <x14:conditionalFormatting xmlns:xm="http://schemas.microsoft.com/office/excel/2006/main">
          <x14:cfRule type="dataBar" id="{59D98280-F46C-46ED-8BA3-2CB90995DFD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AY34:AY34</xm:sqref>
        </x14:conditionalFormatting>
        <x14:conditionalFormatting xmlns:xm="http://schemas.microsoft.com/office/excel/2006/main">
          <x14:cfRule type="dataBar" id="{6EE403AD-C00B-4626-8689-1870A7924B2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AY33:AY33</xm:sqref>
        </x14:conditionalFormatting>
        <x14:conditionalFormatting xmlns:xm="http://schemas.microsoft.com/office/excel/2006/main">
          <x14:cfRule type="dataBar" id="{D95183A0-42BC-4181-972D-8DA418DC4CB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AY32:AY32</xm:sqref>
        </x14:conditionalFormatting>
        <x14:conditionalFormatting xmlns:xm="http://schemas.microsoft.com/office/excel/2006/main">
          <x14:cfRule type="dataBar" id="{886DEC04-5EC4-43B5-B03D-69AD7659891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AY31:AY31</xm:sqref>
        </x14:conditionalFormatting>
        <x14:conditionalFormatting xmlns:xm="http://schemas.microsoft.com/office/excel/2006/main">
          <x14:cfRule type="dataBar" id="{2D710E59-70A6-4CCF-BFDB-E448C6B4E0F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AY30:AY30</xm:sqref>
        </x14:conditionalFormatting>
        <x14:conditionalFormatting xmlns:xm="http://schemas.microsoft.com/office/excel/2006/main">
          <x14:cfRule type="dataBar" id="{64564C7C-EDDC-4DF3-80AD-687BE4429BE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AY29:AY29</xm:sqref>
        </x14:conditionalFormatting>
        <x14:conditionalFormatting xmlns:xm="http://schemas.microsoft.com/office/excel/2006/main">
          <x14:cfRule type="dataBar" id="{0F84CB82-9154-4796-89C3-CC6CB53CD1D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AY28:AY28</xm:sqref>
        </x14:conditionalFormatting>
        <x14:conditionalFormatting xmlns:xm="http://schemas.microsoft.com/office/excel/2006/main">
          <x14:cfRule type="dataBar" id="{68F51A45-8019-475B-893D-B70ECFDBCD5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AY17:AY27</xm:sqref>
        </x14:conditionalFormatting>
        <x14:conditionalFormatting xmlns:xm="http://schemas.microsoft.com/office/excel/2006/main">
          <x14:cfRule type="dataBar" id="{D3957EB0-50DF-4F63-A8C5-447896C6BDE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AY6:AY16</xm:sqref>
        </x14:conditionalFormatting>
        <x14:conditionalFormatting xmlns:xm="http://schemas.microsoft.com/office/excel/2006/main">
          <x14:cfRule type="dataBar" id="{08BCDD90-1748-4BB1-8E87-8BC55F19637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AY5:AY5</xm:sqref>
        </x14:conditionalFormatting>
        <x14:conditionalFormatting xmlns:xm="http://schemas.microsoft.com/office/excel/2006/main">
          <x14:cfRule type="dataBar" id="{9780DD23-123D-49D3-B46B-27116074C1A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AY4:AY4</xm:sqref>
        </x14:conditionalFormatting>
        <x14:conditionalFormatting xmlns:xm="http://schemas.microsoft.com/office/excel/2006/main">
          <x14:cfRule type="dataBar" id="{EB372C26-6FC1-4240-8E58-E8E2D5401C2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AY3:AY3</xm:sqref>
        </x14:conditionalFormatting>
        <x14:conditionalFormatting xmlns:xm="http://schemas.microsoft.com/office/excel/2006/main">
          <x14:cfRule type="dataBar" id="{DF561331-E886-4AA8-ADDF-4BEEA84DFB7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AX109:AX109</xm:sqref>
        </x14:conditionalFormatting>
        <x14:conditionalFormatting xmlns:xm="http://schemas.microsoft.com/office/excel/2006/main">
          <x14:cfRule type="dataBar" id="{B0F3CE4D-3FCB-4336-97FE-B6059B1C7A3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AX108:AX108</xm:sqref>
        </x14:conditionalFormatting>
        <x14:conditionalFormatting xmlns:xm="http://schemas.microsoft.com/office/excel/2006/main">
          <x14:cfRule type="dataBar" id="{A9E54DC1-1D0E-427F-A8DC-F385DB8B431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AX107:AX107</xm:sqref>
        </x14:conditionalFormatting>
        <x14:conditionalFormatting xmlns:xm="http://schemas.microsoft.com/office/excel/2006/main">
          <x14:cfRule type="dataBar" id="{F3D95CC9-B188-415C-81DC-54C0625AC10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AX106:AX106</xm:sqref>
        </x14:conditionalFormatting>
        <x14:conditionalFormatting xmlns:xm="http://schemas.microsoft.com/office/excel/2006/main">
          <x14:cfRule type="dataBar" id="{DDB025E3-F186-425E-8168-6D3A82B04E2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AX105:AX105</xm:sqref>
        </x14:conditionalFormatting>
        <x14:conditionalFormatting xmlns:xm="http://schemas.microsoft.com/office/excel/2006/main">
          <x14:cfRule type="dataBar" id="{BB6AD822-4B3C-410A-8624-ED454272E9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AX104:AX104</xm:sqref>
        </x14:conditionalFormatting>
        <x14:conditionalFormatting xmlns:xm="http://schemas.microsoft.com/office/excel/2006/main">
          <x14:cfRule type="dataBar" id="{003A8768-FDA9-4D31-B408-89E2F72A226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AX103:AX103</xm:sqref>
        </x14:conditionalFormatting>
        <x14:conditionalFormatting xmlns:xm="http://schemas.microsoft.com/office/excel/2006/main">
          <x14:cfRule type="dataBar" id="{6EB72BB0-8767-4169-AA5A-57ADC36EACC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AX102:AX102</xm:sqref>
        </x14:conditionalFormatting>
        <x14:conditionalFormatting xmlns:xm="http://schemas.microsoft.com/office/excel/2006/main">
          <x14:cfRule type="dataBar" id="{F38EE5DA-3F16-4FFC-A0BF-5AC1E13EBC8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AX101:AX101</xm:sqref>
        </x14:conditionalFormatting>
        <x14:conditionalFormatting xmlns:xm="http://schemas.microsoft.com/office/excel/2006/main">
          <x14:cfRule type="dataBar" id="{8189D762-474F-4DE1-874F-49007E9B1B1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AX100:AX100</xm:sqref>
        </x14:conditionalFormatting>
        <x14:conditionalFormatting xmlns:xm="http://schemas.microsoft.com/office/excel/2006/main">
          <x14:cfRule type="dataBar" id="{C25FAF2C-CD37-42F9-A8D0-82EB1288098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AX99:AX99</xm:sqref>
        </x14:conditionalFormatting>
        <x14:conditionalFormatting xmlns:xm="http://schemas.microsoft.com/office/excel/2006/main">
          <x14:cfRule type="dataBar" id="{C7375102-C7FF-481F-A338-A5C0E6B44B4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AX98:AX98</xm:sqref>
        </x14:conditionalFormatting>
        <x14:conditionalFormatting xmlns:xm="http://schemas.microsoft.com/office/excel/2006/main">
          <x14:cfRule type="dataBar" id="{4CEC1BEE-F48C-43E2-A5C9-4018F12F5C0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AX97:AX97</xm:sqref>
        </x14:conditionalFormatting>
        <x14:conditionalFormatting xmlns:xm="http://schemas.microsoft.com/office/excel/2006/main">
          <x14:cfRule type="dataBar" id="{036F925D-DE28-4AFE-90FD-81E83D9A5AD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AX96:AX96</xm:sqref>
        </x14:conditionalFormatting>
        <x14:conditionalFormatting xmlns:xm="http://schemas.microsoft.com/office/excel/2006/main">
          <x14:cfRule type="dataBar" id="{EBE63EA1-5BB9-41DE-9995-C6CF4D9D291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AX95:AX95</xm:sqref>
        </x14:conditionalFormatting>
        <x14:conditionalFormatting xmlns:xm="http://schemas.microsoft.com/office/excel/2006/main">
          <x14:cfRule type="dataBar" id="{32AF93F2-DB19-4E21-97C0-C973073CAF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AX94:AX94</xm:sqref>
        </x14:conditionalFormatting>
        <x14:conditionalFormatting xmlns:xm="http://schemas.microsoft.com/office/excel/2006/main">
          <x14:cfRule type="dataBar" id="{99E613D3-9B19-4FCB-BAAA-48DB7C95163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AX93:AX93</xm:sqref>
        </x14:conditionalFormatting>
        <x14:conditionalFormatting xmlns:xm="http://schemas.microsoft.com/office/excel/2006/main">
          <x14:cfRule type="dataBar" id="{FD86606E-4A96-4CDA-B3F9-5D1830461E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AX92:AX92</xm:sqref>
        </x14:conditionalFormatting>
        <x14:conditionalFormatting xmlns:xm="http://schemas.microsoft.com/office/excel/2006/main">
          <x14:cfRule type="dataBar" id="{7F17EF8A-E7D6-4572-84BA-E5971BBF5F2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AX91:AX91</xm:sqref>
        </x14:conditionalFormatting>
        <x14:conditionalFormatting xmlns:xm="http://schemas.microsoft.com/office/excel/2006/main">
          <x14:cfRule type="dataBar" id="{4EF86051-DB4D-446B-8C46-06EE4291BB4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AX90:AX90</xm:sqref>
        </x14:conditionalFormatting>
        <x14:conditionalFormatting xmlns:xm="http://schemas.microsoft.com/office/excel/2006/main">
          <x14:cfRule type="dataBar" id="{D869642F-199F-4D01-8231-46259CEF0C1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AX89:AX89</xm:sqref>
        </x14:conditionalFormatting>
        <x14:conditionalFormatting xmlns:xm="http://schemas.microsoft.com/office/excel/2006/main">
          <x14:cfRule type="dataBar" id="{4733A1DA-B094-440C-8E11-C6B173940EE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AX88:AX88</xm:sqref>
        </x14:conditionalFormatting>
        <x14:conditionalFormatting xmlns:xm="http://schemas.microsoft.com/office/excel/2006/main">
          <x14:cfRule type="dataBar" id="{0C6521E0-E15B-42C3-8573-E91A05E4396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AX87:AX87</xm:sqref>
        </x14:conditionalFormatting>
        <x14:conditionalFormatting xmlns:xm="http://schemas.microsoft.com/office/excel/2006/main">
          <x14:cfRule type="dataBar" id="{F0DE64D5-8460-471A-BD2E-141B60A070D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AX86:AX86</xm:sqref>
        </x14:conditionalFormatting>
        <x14:conditionalFormatting xmlns:xm="http://schemas.microsoft.com/office/excel/2006/main">
          <x14:cfRule type="dataBar" id="{CAAAF797-BE99-4468-8D17-55D8CF1F869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AX85:AX85</xm:sqref>
        </x14:conditionalFormatting>
        <x14:conditionalFormatting xmlns:xm="http://schemas.microsoft.com/office/excel/2006/main">
          <x14:cfRule type="dataBar" id="{45D1A14C-F527-4C22-9AE7-3A54D420463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AX84:AX84</xm:sqref>
        </x14:conditionalFormatting>
        <x14:conditionalFormatting xmlns:xm="http://schemas.microsoft.com/office/excel/2006/main">
          <x14:cfRule type="dataBar" id="{9FDC7E6E-9149-41D7-A1B0-235E0A2C2D3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AX83:AX83</xm:sqref>
        </x14:conditionalFormatting>
        <x14:conditionalFormatting xmlns:xm="http://schemas.microsoft.com/office/excel/2006/main">
          <x14:cfRule type="dataBar" id="{AF1E5109-DDF2-426C-97CA-B8ABCDB9431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AX82:AX82</xm:sqref>
        </x14:conditionalFormatting>
        <x14:conditionalFormatting xmlns:xm="http://schemas.microsoft.com/office/excel/2006/main">
          <x14:cfRule type="dataBar" id="{026B192F-21E1-456E-89AD-DE0A0B9EFCE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AX81:AX81</xm:sqref>
        </x14:conditionalFormatting>
        <x14:conditionalFormatting xmlns:xm="http://schemas.microsoft.com/office/excel/2006/main">
          <x14:cfRule type="dataBar" id="{4CB1F090-1886-40C3-A757-44AA282F2E5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AX80:AX80</xm:sqref>
        </x14:conditionalFormatting>
        <x14:conditionalFormatting xmlns:xm="http://schemas.microsoft.com/office/excel/2006/main">
          <x14:cfRule type="dataBar" id="{DE14C981-38CD-421A-ABDC-74009ED9354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AX79:AX79</xm:sqref>
        </x14:conditionalFormatting>
        <x14:conditionalFormatting xmlns:xm="http://schemas.microsoft.com/office/excel/2006/main">
          <x14:cfRule type="dataBar" id="{5AF77257-6653-4E6C-BA70-31F6DA07C87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AX78:AX78</xm:sqref>
        </x14:conditionalFormatting>
        <x14:conditionalFormatting xmlns:xm="http://schemas.microsoft.com/office/excel/2006/main">
          <x14:cfRule type="dataBar" id="{DE05B89E-BCFD-4004-9CC3-21F300D8984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AX77:AX77</xm:sqref>
        </x14:conditionalFormatting>
        <x14:conditionalFormatting xmlns:xm="http://schemas.microsoft.com/office/excel/2006/main">
          <x14:cfRule type="dataBar" id="{2AE0FB57-6BB2-427C-AEB8-620E6CEA8BF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AX76:AX76</xm:sqref>
        </x14:conditionalFormatting>
        <x14:conditionalFormatting xmlns:xm="http://schemas.microsoft.com/office/excel/2006/main">
          <x14:cfRule type="dataBar" id="{A6C36A2E-5B5E-45D4-AFC2-03366A572A3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AX75:AX75</xm:sqref>
        </x14:conditionalFormatting>
        <x14:conditionalFormatting xmlns:xm="http://schemas.microsoft.com/office/excel/2006/main">
          <x14:cfRule type="dataBar" id="{DA4CE2A9-4F8F-4AFF-8456-C903917BC98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AX74:AX74</xm:sqref>
        </x14:conditionalFormatting>
        <x14:conditionalFormatting xmlns:xm="http://schemas.microsoft.com/office/excel/2006/main">
          <x14:cfRule type="dataBar" id="{EFE6D631-6510-4D56-BACD-8F38386A88D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AX73:AX73</xm:sqref>
        </x14:conditionalFormatting>
        <x14:conditionalFormatting xmlns:xm="http://schemas.microsoft.com/office/excel/2006/main">
          <x14:cfRule type="dataBar" id="{80D90DAF-6A3A-4D5B-9DB9-DAB420BA49F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AX72:AX72</xm:sqref>
        </x14:conditionalFormatting>
        <x14:conditionalFormatting xmlns:xm="http://schemas.microsoft.com/office/excel/2006/main">
          <x14:cfRule type="dataBar" id="{E4FAA66C-D559-458C-A918-F960B285644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AX71:AX71</xm:sqref>
        </x14:conditionalFormatting>
        <x14:conditionalFormatting xmlns:xm="http://schemas.microsoft.com/office/excel/2006/main">
          <x14:cfRule type="dataBar" id="{24050E78-72DE-4A75-83B6-C19A53B4EEF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AX70:AX70</xm:sqref>
        </x14:conditionalFormatting>
        <x14:conditionalFormatting xmlns:xm="http://schemas.microsoft.com/office/excel/2006/main">
          <x14:cfRule type="dataBar" id="{188DD156-8E85-41FE-86E7-5BB5476ADC0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AX69:AX69</xm:sqref>
        </x14:conditionalFormatting>
        <x14:conditionalFormatting xmlns:xm="http://schemas.microsoft.com/office/excel/2006/main">
          <x14:cfRule type="dataBar" id="{97B21372-E3F6-4919-BAFB-F67115C102C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AX68:AX68</xm:sqref>
        </x14:conditionalFormatting>
        <x14:conditionalFormatting xmlns:xm="http://schemas.microsoft.com/office/excel/2006/main">
          <x14:cfRule type="dataBar" id="{787D041D-12D7-4BA7-AFA1-1A661905019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AX67:AX67</xm:sqref>
        </x14:conditionalFormatting>
        <x14:conditionalFormatting xmlns:xm="http://schemas.microsoft.com/office/excel/2006/main">
          <x14:cfRule type="dataBar" id="{03644C42-DA43-4571-8B1E-38C6EE28BDE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AX66:AX66</xm:sqref>
        </x14:conditionalFormatting>
        <x14:conditionalFormatting xmlns:xm="http://schemas.microsoft.com/office/excel/2006/main">
          <x14:cfRule type="dataBar" id="{0DED3A43-2163-464E-91F6-7AF3105BDD3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AX65:AX65</xm:sqref>
        </x14:conditionalFormatting>
        <x14:conditionalFormatting xmlns:xm="http://schemas.microsoft.com/office/excel/2006/main">
          <x14:cfRule type="dataBar" id="{C30E8270-943F-4781-8124-8F84116BBB2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AX64:AX64</xm:sqref>
        </x14:conditionalFormatting>
        <x14:conditionalFormatting xmlns:xm="http://schemas.microsoft.com/office/excel/2006/main">
          <x14:cfRule type="dataBar" id="{47509183-353E-4203-89DB-AF431284F6E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AX63:AX63</xm:sqref>
        </x14:conditionalFormatting>
        <x14:conditionalFormatting xmlns:xm="http://schemas.microsoft.com/office/excel/2006/main">
          <x14:cfRule type="dataBar" id="{46CFF298-A5FA-4EEB-97C8-D295EF46874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AX62:AX62</xm:sqref>
        </x14:conditionalFormatting>
        <x14:conditionalFormatting xmlns:xm="http://schemas.microsoft.com/office/excel/2006/main">
          <x14:cfRule type="dataBar" id="{D678064B-6992-4949-951A-0368E03D274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AX61:AX61</xm:sqref>
        </x14:conditionalFormatting>
        <x14:conditionalFormatting xmlns:xm="http://schemas.microsoft.com/office/excel/2006/main">
          <x14:cfRule type="dataBar" id="{B6929870-EB0A-492F-A65E-1968AC8F312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AX60:AX60</xm:sqref>
        </x14:conditionalFormatting>
        <x14:conditionalFormatting xmlns:xm="http://schemas.microsoft.com/office/excel/2006/main">
          <x14:cfRule type="dataBar" id="{18A0E3E7-AEC7-4571-ABC6-0665D4C9AF7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AX59:AX59</xm:sqref>
        </x14:conditionalFormatting>
        <x14:conditionalFormatting xmlns:xm="http://schemas.microsoft.com/office/excel/2006/main">
          <x14:cfRule type="dataBar" id="{60AFD44E-9851-48B1-8ED7-BF4D6624863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AX58:AX58</xm:sqref>
        </x14:conditionalFormatting>
        <x14:conditionalFormatting xmlns:xm="http://schemas.microsoft.com/office/excel/2006/main">
          <x14:cfRule type="dataBar" id="{6BD71402-E195-4F21-A4FB-D7EBD82B1D5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AX57:AX57</xm:sqref>
        </x14:conditionalFormatting>
        <x14:conditionalFormatting xmlns:xm="http://schemas.microsoft.com/office/excel/2006/main">
          <x14:cfRule type="dataBar" id="{517B82A8-8E46-4F81-B1B2-B5762E54AB2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AX56:AX56</xm:sqref>
        </x14:conditionalFormatting>
        <x14:conditionalFormatting xmlns:xm="http://schemas.microsoft.com/office/excel/2006/main">
          <x14:cfRule type="dataBar" id="{D5CDC7BC-FD18-471A-9645-53382E72FAB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AX55:AX55</xm:sqref>
        </x14:conditionalFormatting>
        <x14:conditionalFormatting xmlns:xm="http://schemas.microsoft.com/office/excel/2006/main">
          <x14:cfRule type="dataBar" id="{53D4FCF6-6719-4B44-9B33-3B4A6BE5A3C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AX54:AX54</xm:sqref>
        </x14:conditionalFormatting>
        <x14:conditionalFormatting xmlns:xm="http://schemas.microsoft.com/office/excel/2006/main">
          <x14:cfRule type="dataBar" id="{65DF280F-78A1-4749-940C-0097AECC84D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AX53:AX53</xm:sqref>
        </x14:conditionalFormatting>
        <x14:conditionalFormatting xmlns:xm="http://schemas.microsoft.com/office/excel/2006/main">
          <x14:cfRule type="dataBar" id="{2F4E58E7-1DED-4BE4-8415-D258ABD0031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AX52:AX52</xm:sqref>
        </x14:conditionalFormatting>
        <x14:conditionalFormatting xmlns:xm="http://schemas.microsoft.com/office/excel/2006/main">
          <x14:cfRule type="dataBar" id="{F6ECB3E7-6C1E-4AB6-9142-D002B34FDF7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AX51:AX51</xm:sqref>
        </x14:conditionalFormatting>
        <x14:conditionalFormatting xmlns:xm="http://schemas.microsoft.com/office/excel/2006/main">
          <x14:cfRule type="dataBar" id="{5877504A-726C-4A2D-8C35-00817CFE60D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AX50:AX50</xm:sqref>
        </x14:conditionalFormatting>
        <x14:conditionalFormatting xmlns:xm="http://schemas.microsoft.com/office/excel/2006/main">
          <x14:cfRule type="dataBar" id="{C47488F2-DE92-4BC3-ADD9-1BED5AFF74F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AX49:AX49</xm:sqref>
        </x14:conditionalFormatting>
        <x14:conditionalFormatting xmlns:xm="http://schemas.microsoft.com/office/excel/2006/main">
          <x14:cfRule type="dataBar" id="{7C8235E7-9694-4241-A905-B55D629AD01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AX48:AX48</xm:sqref>
        </x14:conditionalFormatting>
        <x14:conditionalFormatting xmlns:xm="http://schemas.microsoft.com/office/excel/2006/main">
          <x14:cfRule type="dataBar" id="{C17741DC-28CD-4B6D-A6EE-5BCBD26CA7B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AX47:AX47</xm:sqref>
        </x14:conditionalFormatting>
        <x14:conditionalFormatting xmlns:xm="http://schemas.microsoft.com/office/excel/2006/main">
          <x14:cfRule type="dataBar" id="{F11415FF-DC5C-4DD0-A9FA-5CDCEA6491C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AX46:AX46</xm:sqref>
        </x14:conditionalFormatting>
        <x14:conditionalFormatting xmlns:xm="http://schemas.microsoft.com/office/excel/2006/main">
          <x14:cfRule type="dataBar" id="{18CCC22C-1A89-4EB7-BFD4-6AC1C03353A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AX45:AX45</xm:sqref>
        </x14:conditionalFormatting>
        <x14:conditionalFormatting xmlns:xm="http://schemas.microsoft.com/office/excel/2006/main">
          <x14:cfRule type="dataBar" id="{74653B44-E853-496F-8782-42D27D00754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AX44:AX44</xm:sqref>
        </x14:conditionalFormatting>
        <x14:conditionalFormatting xmlns:xm="http://schemas.microsoft.com/office/excel/2006/main">
          <x14:cfRule type="dataBar" id="{C163A18B-55C5-457F-985C-43189AC9CF4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AX43:AX43</xm:sqref>
        </x14:conditionalFormatting>
        <x14:conditionalFormatting xmlns:xm="http://schemas.microsoft.com/office/excel/2006/main">
          <x14:cfRule type="dataBar" id="{59663FCC-AB53-4554-92D4-A3AFA617E08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AX42:AX42</xm:sqref>
        </x14:conditionalFormatting>
        <x14:conditionalFormatting xmlns:xm="http://schemas.microsoft.com/office/excel/2006/main">
          <x14:cfRule type="dataBar" id="{F4DEE03B-9921-4249-A415-4AB17473B89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AX41:AX41</xm:sqref>
        </x14:conditionalFormatting>
        <x14:conditionalFormatting xmlns:xm="http://schemas.microsoft.com/office/excel/2006/main">
          <x14:cfRule type="dataBar" id="{C6854EE7-F2F8-429D-AA6C-85F46FAEF71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AX40:AX40</xm:sqref>
        </x14:conditionalFormatting>
        <x14:conditionalFormatting xmlns:xm="http://schemas.microsoft.com/office/excel/2006/main">
          <x14:cfRule type="dataBar" id="{A97FB829-B152-4E39-9515-1AE4F6C9E22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AX39:AX39</xm:sqref>
        </x14:conditionalFormatting>
        <x14:conditionalFormatting xmlns:xm="http://schemas.microsoft.com/office/excel/2006/main">
          <x14:cfRule type="dataBar" id="{7F8E8566-F583-4EC3-A564-E2FB999C62C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AX38:AX38</xm:sqref>
        </x14:conditionalFormatting>
        <x14:conditionalFormatting xmlns:xm="http://schemas.microsoft.com/office/excel/2006/main">
          <x14:cfRule type="dataBar" id="{150F3C2A-0FCD-441F-9362-955BAB6EF1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AX37:AX37</xm:sqref>
        </x14:conditionalFormatting>
        <x14:conditionalFormatting xmlns:xm="http://schemas.microsoft.com/office/excel/2006/main">
          <x14:cfRule type="dataBar" id="{BBE9C1D0-937E-424B-A71A-70E902660DC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AX36:AX36</xm:sqref>
        </x14:conditionalFormatting>
        <x14:conditionalFormatting xmlns:xm="http://schemas.microsoft.com/office/excel/2006/main">
          <x14:cfRule type="dataBar" id="{50325B28-31C4-4DBD-98CF-C157E83DBF5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AX35:AX35</xm:sqref>
        </x14:conditionalFormatting>
        <x14:conditionalFormatting xmlns:xm="http://schemas.microsoft.com/office/excel/2006/main">
          <x14:cfRule type="dataBar" id="{6BC12C26-610B-4DF0-B4DD-C2C36E50A85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AX34:AX34</xm:sqref>
        </x14:conditionalFormatting>
        <x14:conditionalFormatting xmlns:xm="http://schemas.microsoft.com/office/excel/2006/main">
          <x14:cfRule type="dataBar" id="{C1D8AF93-CC33-4E9D-8EF1-8BD7BEAD2C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AX33:AX33</xm:sqref>
        </x14:conditionalFormatting>
        <x14:conditionalFormatting xmlns:xm="http://schemas.microsoft.com/office/excel/2006/main">
          <x14:cfRule type="dataBar" id="{B41B5217-2A92-4CF3-AC1B-AD797ACF53F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AX32:AX32</xm:sqref>
        </x14:conditionalFormatting>
        <x14:conditionalFormatting xmlns:xm="http://schemas.microsoft.com/office/excel/2006/main">
          <x14:cfRule type="dataBar" id="{81EB232C-01B4-4877-BFF4-AB7523A8F72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AX31:AX31</xm:sqref>
        </x14:conditionalFormatting>
        <x14:conditionalFormatting xmlns:xm="http://schemas.microsoft.com/office/excel/2006/main">
          <x14:cfRule type="dataBar" id="{0A897D8B-8F68-45B7-8D69-93C839E780A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AX30:AX30</xm:sqref>
        </x14:conditionalFormatting>
        <x14:conditionalFormatting xmlns:xm="http://schemas.microsoft.com/office/excel/2006/main">
          <x14:cfRule type="dataBar" id="{B72CD886-DA19-44F0-BC72-7CD28EB9AC8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AX29:AX29</xm:sqref>
        </x14:conditionalFormatting>
        <x14:conditionalFormatting xmlns:xm="http://schemas.microsoft.com/office/excel/2006/main">
          <x14:cfRule type="dataBar" id="{3630B7C3-0EF3-4C1A-AD54-EA03C6E8E5E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AX28:AX28</xm:sqref>
        </x14:conditionalFormatting>
        <x14:conditionalFormatting xmlns:xm="http://schemas.microsoft.com/office/excel/2006/main">
          <x14:cfRule type="dataBar" id="{9E5BDE5C-344B-4F4C-A8AC-81899194023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AX17:AX27</xm:sqref>
        </x14:conditionalFormatting>
        <x14:conditionalFormatting xmlns:xm="http://schemas.microsoft.com/office/excel/2006/main">
          <x14:cfRule type="dataBar" id="{B6BC4587-3414-40B5-8B07-0D5928AF3DF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AX6:AX16</xm:sqref>
        </x14:conditionalFormatting>
        <x14:conditionalFormatting xmlns:xm="http://schemas.microsoft.com/office/excel/2006/main">
          <x14:cfRule type="dataBar" id="{541D75A1-6993-4BF6-90C5-7AB4C0E7E4C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AX5:AX5</xm:sqref>
        </x14:conditionalFormatting>
        <x14:conditionalFormatting xmlns:xm="http://schemas.microsoft.com/office/excel/2006/main">
          <x14:cfRule type="dataBar" id="{795FA80B-64F3-47A5-904F-0C17EB30D56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AX4:AX4</xm:sqref>
        </x14:conditionalFormatting>
        <x14:conditionalFormatting xmlns:xm="http://schemas.microsoft.com/office/excel/2006/main">
          <x14:cfRule type="dataBar" id="{30E26E31-F48F-46F8-AF3C-FB54D37B175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AX3:AX3</xm:sqref>
        </x14:conditionalFormatting>
        <x14:conditionalFormatting xmlns:xm="http://schemas.microsoft.com/office/excel/2006/main">
          <x14:cfRule type="dataBar" id="{A961073B-80E8-49ED-9E84-02C5609C562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L109:L109</xm:sqref>
        </x14:conditionalFormatting>
        <x14:conditionalFormatting xmlns:xm="http://schemas.microsoft.com/office/excel/2006/main">
          <x14:cfRule type="dataBar" id="{4B51A128-ECD7-4FDF-B14B-A31F1F17CDC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L108:L108</xm:sqref>
        </x14:conditionalFormatting>
        <x14:conditionalFormatting xmlns:xm="http://schemas.microsoft.com/office/excel/2006/main">
          <x14:cfRule type="dataBar" id="{0FCCE7B6-C772-4257-AA43-FD136D3C54A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L107:L107</xm:sqref>
        </x14:conditionalFormatting>
        <x14:conditionalFormatting xmlns:xm="http://schemas.microsoft.com/office/excel/2006/main">
          <x14:cfRule type="dataBar" id="{F732AAC1-72EB-448A-9F5A-7401A0BE250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L106:L106</xm:sqref>
        </x14:conditionalFormatting>
        <x14:conditionalFormatting xmlns:xm="http://schemas.microsoft.com/office/excel/2006/main">
          <x14:cfRule type="dataBar" id="{6DF17D50-8079-4042-87A0-A17A80F8C2B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L105:L105</xm:sqref>
        </x14:conditionalFormatting>
        <x14:conditionalFormatting xmlns:xm="http://schemas.microsoft.com/office/excel/2006/main">
          <x14:cfRule type="dataBar" id="{141826F7-D0B1-4D13-9E61-F724D545157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L104:L104</xm:sqref>
        </x14:conditionalFormatting>
        <x14:conditionalFormatting xmlns:xm="http://schemas.microsoft.com/office/excel/2006/main">
          <x14:cfRule type="dataBar" id="{41F9B6ED-1EF1-47CA-9B43-7D8747B7B21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L103:L103</xm:sqref>
        </x14:conditionalFormatting>
        <x14:conditionalFormatting xmlns:xm="http://schemas.microsoft.com/office/excel/2006/main">
          <x14:cfRule type="dataBar" id="{8F2B9B2C-10B9-4B76-AF9C-D7C9FBBD682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L102:L102</xm:sqref>
        </x14:conditionalFormatting>
        <x14:conditionalFormatting xmlns:xm="http://schemas.microsoft.com/office/excel/2006/main">
          <x14:cfRule type="dataBar" id="{11AD579E-E295-4110-9D4F-DDEF64D1B8B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L101:L101</xm:sqref>
        </x14:conditionalFormatting>
        <x14:conditionalFormatting xmlns:xm="http://schemas.microsoft.com/office/excel/2006/main">
          <x14:cfRule type="dataBar" id="{35CE15DA-8D71-4E0C-A134-56708B4AA59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L100:L100</xm:sqref>
        </x14:conditionalFormatting>
        <x14:conditionalFormatting xmlns:xm="http://schemas.microsoft.com/office/excel/2006/main">
          <x14:cfRule type="dataBar" id="{A15CD61D-CECE-4B61-AC9C-A227C186E89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L99:L99</xm:sqref>
        </x14:conditionalFormatting>
        <x14:conditionalFormatting xmlns:xm="http://schemas.microsoft.com/office/excel/2006/main">
          <x14:cfRule type="dataBar" id="{D7EC7E6E-FCD5-4003-A0C9-8DC224711CC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L98:L98</xm:sqref>
        </x14:conditionalFormatting>
        <x14:conditionalFormatting xmlns:xm="http://schemas.microsoft.com/office/excel/2006/main">
          <x14:cfRule type="dataBar" id="{B84374B4-33FD-407A-8606-013BB037B3F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L97:L97</xm:sqref>
        </x14:conditionalFormatting>
        <x14:conditionalFormatting xmlns:xm="http://schemas.microsoft.com/office/excel/2006/main">
          <x14:cfRule type="dataBar" id="{7EE239B4-5B22-40FA-A2D3-1C14AD9CB1E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L96:L96</xm:sqref>
        </x14:conditionalFormatting>
        <x14:conditionalFormatting xmlns:xm="http://schemas.microsoft.com/office/excel/2006/main">
          <x14:cfRule type="dataBar" id="{888C0146-016D-48D6-8FFA-397F7BCAFD4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L95:L95</xm:sqref>
        </x14:conditionalFormatting>
        <x14:conditionalFormatting xmlns:xm="http://schemas.microsoft.com/office/excel/2006/main">
          <x14:cfRule type="dataBar" id="{A9ABBE31-092A-49EA-9E8F-8591EAB4D8E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L94:L94</xm:sqref>
        </x14:conditionalFormatting>
        <x14:conditionalFormatting xmlns:xm="http://schemas.microsoft.com/office/excel/2006/main">
          <x14:cfRule type="dataBar" id="{7A8A042E-4EF3-4813-84E8-C5B0B43BA7E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L93:L93</xm:sqref>
        </x14:conditionalFormatting>
        <x14:conditionalFormatting xmlns:xm="http://schemas.microsoft.com/office/excel/2006/main">
          <x14:cfRule type="dataBar" id="{767206D7-69F1-43CE-9DFC-0C204CBAB77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L92:L92</xm:sqref>
        </x14:conditionalFormatting>
        <x14:conditionalFormatting xmlns:xm="http://schemas.microsoft.com/office/excel/2006/main">
          <x14:cfRule type="dataBar" id="{64CBD998-BDF0-4A41-86C9-A1A033B9EC0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L91:L91</xm:sqref>
        </x14:conditionalFormatting>
        <x14:conditionalFormatting xmlns:xm="http://schemas.microsoft.com/office/excel/2006/main">
          <x14:cfRule type="dataBar" id="{1BACCE46-7639-4CCF-9106-25A05B36653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L90:L90</xm:sqref>
        </x14:conditionalFormatting>
        <x14:conditionalFormatting xmlns:xm="http://schemas.microsoft.com/office/excel/2006/main">
          <x14:cfRule type="dataBar" id="{E1910D26-6640-43FC-A167-9ADA0E42C5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L89:L89</xm:sqref>
        </x14:conditionalFormatting>
        <x14:conditionalFormatting xmlns:xm="http://schemas.microsoft.com/office/excel/2006/main">
          <x14:cfRule type="dataBar" id="{A0656AD7-801B-4A64-AD74-DDC24C152A1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L88:L88</xm:sqref>
        </x14:conditionalFormatting>
        <x14:conditionalFormatting xmlns:xm="http://schemas.microsoft.com/office/excel/2006/main">
          <x14:cfRule type="dataBar" id="{3EC7CC85-E35F-45C3-9D20-2B195DC329E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L87:L87</xm:sqref>
        </x14:conditionalFormatting>
        <x14:conditionalFormatting xmlns:xm="http://schemas.microsoft.com/office/excel/2006/main">
          <x14:cfRule type="dataBar" id="{1A83F99A-68A9-4633-8828-B2ABE5D31ED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L86:L86</xm:sqref>
        </x14:conditionalFormatting>
        <x14:conditionalFormatting xmlns:xm="http://schemas.microsoft.com/office/excel/2006/main">
          <x14:cfRule type="dataBar" id="{B4FAF93A-08D1-4888-9766-E94E60C923F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L85:L85</xm:sqref>
        </x14:conditionalFormatting>
        <x14:conditionalFormatting xmlns:xm="http://schemas.microsoft.com/office/excel/2006/main">
          <x14:cfRule type="dataBar" id="{827DA621-5E3C-4398-9FE0-C6B4178D511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L84:L84</xm:sqref>
        </x14:conditionalFormatting>
        <x14:conditionalFormatting xmlns:xm="http://schemas.microsoft.com/office/excel/2006/main">
          <x14:cfRule type="dataBar" id="{3803F01D-EF84-462A-B955-5E3F9F47B46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L83:L83</xm:sqref>
        </x14:conditionalFormatting>
        <x14:conditionalFormatting xmlns:xm="http://schemas.microsoft.com/office/excel/2006/main">
          <x14:cfRule type="dataBar" id="{6EBA0211-B9C4-48D2-A667-28EF61D6545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L82:L82</xm:sqref>
        </x14:conditionalFormatting>
        <x14:conditionalFormatting xmlns:xm="http://schemas.microsoft.com/office/excel/2006/main">
          <x14:cfRule type="dataBar" id="{A57437F5-2D9A-4B1A-8079-5BE62E3EBB3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L81:L81</xm:sqref>
        </x14:conditionalFormatting>
        <x14:conditionalFormatting xmlns:xm="http://schemas.microsoft.com/office/excel/2006/main">
          <x14:cfRule type="dataBar" id="{0453B4FF-B643-4096-943D-ED163F061E4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L80:L80</xm:sqref>
        </x14:conditionalFormatting>
        <x14:conditionalFormatting xmlns:xm="http://schemas.microsoft.com/office/excel/2006/main">
          <x14:cfRule type="dataBar" id="{72720296-F3C3-4DD3-90D1-91666FD68BF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L79:L79</xm:sqref>
        </x14:conditionalFormatting>
        <x14:conditionalFormatting xmlns:xm="http://schemas.microsoft.com/office/excel/2006/main">
          <x14:cfRule type="dataBar" id="{3881011F-D1DE-4B5F-9F2A-039F1A3B44B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L78:L78</xm:sqref>
        </x14:conditionalFormatting>
        <x14:conditionalFormatting xmlns:xm="http://schemas.microsoft.com/office/excel/2006/main">
          <x14:cfRule type="dataBar" id="{9C48B2A7-D6F1-4414-B073-AF1C4310153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L77:L77</xm:sqref>
        </x14:conditionalFormatting>
        <x14:conditionalFormatting xmlns:xm="http://schemas.microsoft.com/office/excel/2006/main">
          <x14:cfRule type="dataBar" id="{C38EB8B4-AD43-49C3-B2ED-3262B658F0F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L76:L76</xm:sqref>
        </x14:conditionalFormatting>
        <x14:conditionalFormatting xmlns:xm="http://schemas.microsoft.com/office/excel/2006/main">
          <x14:cfRule type="dataBar" id="{46EC5203-693A-4A8E-9639-57504BF6EE3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L75:L75</xm:sqref>
        </x14:conditionalFormatting>
        <x14:conditionalFormatting xmlns:xm="http://schemas.microsoft.com/office/excel/2006/main">
          <x14:cfRule type="dataBar" id="{C2C0AF06-C108-4056-B060-17836A76EC7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L74:L74</xm:sqref>
        </x14:conditionalFormatting>
        <x14:conditionalFormatting xmlns:xm="http://schemas.microsoft.com/office/excel/2006/main">
          <x14:cfRule type="dataBar" id="{BC9DD3B4-C09F-487B-BD0E-9DB408ECDE2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L73:L73</xm:sqref>
        </x14:conditionalFormatting>
        <x14:conditionalFormatting xmlns:xm="http://schemas.microsoft.com/office/excel/2006/main">
          <x14:cfRule type="dataBar" id="{E6816CDC-9052-400E-AAC8-6F811C9EF5CD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L72:L72</xm:sqref>
        </x14:conditionalFormatting>
        <x14:conditionalFormatting xmlns:xm="http://schemas.microsoft.com/office/excel/2006/main">
          <x14:cfRule type="dataBar" id="{6FCBF707-F966-452D-AABE-FD55C2ED784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L71:L71</xm:sqref>
        </x14:conditionalFormatting>
        <x14:conditionalFormatting xmlns:xm="http://schemas.microsoft.com/office/excel/2006/main">
          <x14:cfRule type="dataBar" id="{44AA1CD7-6792-4DE5-AF75-C52EA2BABA6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L70:L70</xm:sqref>
        </x14:conditionalFormatting>
        <x14:conditionalFormatting xmlns:xm="http://schemas.microsoft.com/office/excel/2006/main">
          <x14:cfRule type="dataBar" id="{E70FC0CC-8B34-43CA-8199-629FA57DA6C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L69:L69</xm:sqref>
        </x14:conditionalFormatting>
        <x14:conditionalFormatting xmlns:xm="http://schemas.microsoft.com/office/excel/2006/main">
          <x14:cfRule type="dataBar" id="{C9DD8343-BBCD-45B2-B50A-BDA0318FD9D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L68:L68</xm:sqref>
        </x14:conditionalFormatting>
        <x14:conditionalFormatting xmlns:xm="http://schemas.microsoft.com/office/excel/2006/main">
          <x14:cfRule type="dataBar" id="{B5E95728-FAAA-4B03-BCCF-46E8FF97BAE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L67:L67</xm:sqref>
        </x14:conditionalFormatting>
        <x14:conditionalFormatting xmlns:xm="http://schemas.microsoft.com/office/excel/2006/main">
          <x14:cfRule type="dataBar" id="{F31923D0-7A2A-41FA-B766-9BF0265A54F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L66:L66</xm:sqref>
        </x14:conditionalFormatting>
        <x14:conditionalFormatting xmlns:xm="http://schemas.microsoft.com/office/excel/2006/main">
          <x14:cfRule type="dataBar" id="{8F395B42-53F5-474C-9A11-AAC3F2A829A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L65:L65</xm:sqref>
        </x14:conditionalFormatting>
        <x14:conditionalFormatting xmlns:xm="http://schemas.microsoft.com/office/excel/2006/main">
          <x14:cfRule type="dataBar" id="{73803BBB-7BA9-49F9-9D53-D7AD144E721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L64:L64</xm:sqref>
        </x14:conditionalFormatting>
        <x14:conditionalFormatting xmlns:xm="http://schemas.microsoft.com/office/excel/2006/main">
          <x14:cfRule type="dataBar" id="{08B56FB4-C60C-4528-B9FA-A4F78AFF7CC4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L63:L63</xm:sqref>
        </x14:conditionalFormatting>
        <x14:conditionalFormatting xmlns:xm="http://schemas.microsoft.com/office/excel/2006/main">
          <x14:cfRule type="dataBar" id="{FB5155F4-6FCE-4544-B900-025AFE28AD5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L62:L62</xm:sqref>
        </x14:conditionalFormatting>
        <x14:conditionalFormatting xmlns:xm="http://schemas.microsoft.com/office/excel/2006/main">
          <x14:cfRule type="dataBar" id="{050AB0E2-26EE-4A9A-B938-F9905072BF9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L61:L61</xm:sqref>
        </x14:conditionalFormatting>
        <x14:conditionalFormatting xmlns:xm="http://schemas.microsoft.com/office/excel/2006/main">
          <x14:cfRule type="dataBar" id="{784D95AB-990B-462E-AE68-90B1B387341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L60:L60</xm:sqref>
        </x14:conditionalFormatting>
        <x14:conditionalFormatting xmlns:xm="http://schemas.microsoft.com/office/excel/2006/main">
          <x14:cfRule type="dataBar" id="{7F41AFB4-4878-49CA-8A1E-6983A3FF36B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L59:L59</xm:sqref>
        </x14:conditionalFormatting>
        <x14:conditionalFormatting xmlns:xm="http://schemas.microsoft.com/office/excel/2006/main">
          <x14:cfRule type="dataBar" id="{F6E0E33B-8946-4B25-82C5-B2C13FD6AEA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L58:L58</xm:sqref>
        </x14:conditionalFormatting>
        <x14:conditionalFormatting xmlns:xm="http://schemas.microsoft.com/office/excel/2006/main">
          <x14:cfRule type="dataBar" id="{53DC7617-1C10-44E2-A798-FA0448DFD57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L57:L57</xm:sqref>
        </x14:conditionalFormatting>
        <x14:conditionalFormatting xmlns:xm="http://schemas.microsoft.com/office/excel/2006/main">
          <x14:cfRule type="dataBar" id="{293022C0-DE08-4F83-B55F-402F6EE3330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L56:L56</xm:sqref>
        </x14:conditionalFormatting>
        <x14:conditionalFormatting xmlns:xm="http://schemas.microsoft.com/office/excel/2006/main">
          <x14:cfRule type="dataBar" id="{0411FE20-D162-46D9-8ACC-4F95C4CE5CA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L55:L55</xm:sqref>
        </x14:conditionalFormatting>
        <x14:conditionalFormatting xmlns:xm="http://schemas.microsoft.com/office/excel/2006/main">
          <x14:cfRule type="dataBar" id="{4A9AA19A-2952-43BC-935C-396AFF9158B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L54:L54</xm:sqref>
        </x14:conditionalFormatting>
        <x14:conditionalFormatting xmlns:xm="http://schemas.microsoft.com/office/excel/2006/main">
          <x14:cfRule type="dataBar" id="{9E59FE04-7F88-46E9-BA8A-0B195618F34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L53:L53</xm:sqref>
        </x14:conditionalFormatting>
        <x14:conditionalFormatting xmlns:xm="http://schemas.microsoft.com/office/excel/2006/main">
          <x14:cfRule type="dataBar" id="{21D719DA-BFDF-42FF-8EDB-CE0B866E1EE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L52:L52</xm:sqref>
        </x14:conditionalFormatting>
        <x14:conditionalFormatting xmlns:xm="http://schemas.microsoft.com/office/excel/2006/main">
          <x14:cfRule type="dataBar" id="{7B1DB3B2-B3DE-4BB2-8D7E-4D03CAF8590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L51:L51</xm:sqref>
        </x14:conditionalFormatting>
        <x14:conditionalFormatting xmlns:xm="http://schemas.microsoft.com/office/excel/2006/main">
          <x14:cfRule type="dataBar" id="{89E543F4-563E-4891-BB3F-63837D69C46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L50:L50</xm:sqref>
        </x14:conditionalFormatting>
        <x14:conditionalFormatting xmlns:xm="http://schemas.microsoft.com/office/excel/2006/main">
          <x14:cfRule type="dataBar" id="{F06D0ADE-9BC3-4590-ABAF-A1FDCD4D8C1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L49:L49</xm:sqref>
        </x14:conditionalFormatting>
        <x14:conditionalFormatting xmlns:xm="http://schemas.microsoft.com/office/excel/2006/main">
          <x14:cfRule type="dataBar" id="{97261179-98CC-42C1-B402-F5EE2E26C24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L48:L48</xm:sqref>
        </x14:conditionalFormatting>
        <x14:conditionalFormatting xmlns:xm="http://schemas.microsoft.com/office/excel/2006/main">
          <x14:cfRule type="dataBar" id="{F88FE13C-3658-45BD-9A11-27A622D89753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L47:L47</xm:sqref>
        </x14:conditionalFormatting>
        <x14:conditionalFormatting xmlns:xm="http://schemas.microsoft.com/office/excel/2006/main">
          <x14:cfRule type="dataBar" id="{BF50DBAE-E059-4FE3-976E-5A5B9F3A319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L46:L46</xm:sqref>
        </x14:conditionalFormatting>
        <x14:conditionalFormatting xmlns:xm="http://schemas.microsoft.com/office/excel/2006/main">
          <x14:cfRule type="dataBar" id="{53156BA1-E482-4F12-8818-33CB7583F76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L45:L45</xm:sqref>
        </x14:conditionalFormatting>
        <x14:conditionalFormatting xmlns:xm="http://schemas.microsoft.com/office/excel/2006/main">
          <x14:cfRule type="dataBar" id="{925BA279-EEEB-4F96-8F76-2DBB813B02E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L44:L44</xm:sqref>
        </x14:conditionalFormatting>
        <x14:conditionalFormatting xmlns:xm="http://schemas.microsoft.com/office/excel/2006/main">
          <x14:cfRule type="dataBar" id="{2D722132-BA3D-4B57-9FD7-628FEA14469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L43:L43</xm:sqref>
        </x14:conditionalFormatting>
        <x14:conditionalFormatting xmlns:xm="http://schemas.microsoft.com/office/excel/2006/main">
          <x14:cfRule type="dataBar" id="{DDD1D324-A2CB-4081-AA02-9FA4A2A6C65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L42:L42</xm:sqref>
        </x14:conditionalFormatting>
        <x14:conditionalFormatting xmlns:xm="http://schemas.microsoft.com/office/excel/2006/main">
          <x14:cfRule type="dataBar" id="{B4C24B8E-0132-4582-94FB-126A28ED35C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L41:L41</xm:sqref>
        </x14:conditionalFormatting>
        <x14:conditionalFormatting xmlns:xm="http://schemas.microsoft.com/office/excel/2006/main">
          <x14:cfRule type="dataBar" id="{0AE0ACDD-3FE1-4F4D-A891-F0008E55E5DB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L40:L40</xm:sqref>
        </x14:conditionalFormatting>
        <x14:conditionalFormatting xmlns:xm="http://schemas.microsoft.com/office/excel/2006/main">
          <x14:cfRule type="dataBar" id="{3DF5E045-B29C-4648-A173-9BAD272A199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L39:L39</xm:sqref>
        </x14:conditionalFormatting>
        <x14:conditionalFormatting xmlns:xm="http://schemas.microsoft.com/office/excel/2006/main">
          <x14:cfRule type="dataBar" id="{E5511E4E-1F18-42F6-B09C-279E1CE2CEF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L38:L38</xm:sqref>
        </x14:conditionalFormatting>
        <x14:conditionalFormatting xmlns:xm="http://schemas.microsoft.com/office/excel/2006/main">
          <x14:cfRule type="dataBar" id="{93302387-F510-45C2-8A07-A9BA0EA271D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L37:L37</xm:sqref>
        </x14:conditionalFormatting>
        <x14:conditionalFormatting xmlns:xm="http://schemas.microsoft.com/office/excel/2006/main">
          <x14:cfRule type="dataBar" id="{CA3D72C2-38BE-4F7E-8FDE-D9BEAAED8439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L36:L36</xm:sqref>
        </x14:conditionalFormatting>
        <x14:conditionalFormatting xmlns:xm="http://schemas.microsoft.com/office/excel/2006/main">
          <x14:cfRule type="dataBar" id="{CE6E91A6-F5D5-4D1F-9316-64607EFD990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L35:L35</xm:sqref>
        </x14:conditionalFormatting>
        <x14:conditionalFormatting xmlns:xm="http://schemas.microsoft.com/office/excel/2006/main">
          <x14:cfRule type="dataBar" id="{ED3F3819-2A8A-4F7A-839C-4D827FA2CA1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L34:L34</xm:sqref>
        </x14:conditionalFormatting>
        <x14:conditionalFormatting xmlns:xm="http://schemas.microsoft.com/office/excel/2006/main">
          <x14:cfRule type="dataBar" id="{2DD86341-57C5-4549-A99A-A90D720D9CF6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L33:L33</xm:sqref>
        </x14:conditionalFormatting>
        <x14:conditionalFormatting xmlns:xm="http://schemas.microsoft.com/office/excel/2006/main">
          <x14:cfRule type="dataBar" id="{EEA888C1-E6D9-482D-956B-FAEDBFB772BE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L32:L32</xm:sqref>
        </x14:conditionalFormatting>
        <x14:conditionalFormatting xmlns:xm="http://schemas.microsoft.com/office/excel/2006/main">
          <x14:cfRule type="dataBar" id="{F39D17EA-E793-425D-9ACB-6E4E9BC93DA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L31:L31</xm:sqref>
        </x14:conditionalFormatting>
        <x14:conditionalFormatting xmlns:xm="http://schemas.microsoft.com/office/excel/2006/main">
          <x14:cfRule type="dataBar" id="{3F77183E-BF95-49CD-A4C0-BEB41EFA849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L30:L30</xm:sqref>
        </x14:conditionalFormatting>
        <x14:conditionalFormatting xmlns:xm="http://schemas.microsoft.com/office/excel/2006/main">
          <x14:cfRule type="dataBar" id="{C5330493-F68A-43E0-8F5D-FD18F007DD01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L29:L29</xm:sqref>
        </x14:conditionalFormatting>
        <x14:conditionalFormatting xmlns:xm="http://schemas.microsoft.com/office/excel/2006/main">
          <x14:cfRule type="dataBar" id="{CF5337A5-3DEC-498B-AD15-547CE6E2B650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L28:L28</xm:sqref>
        </x14:conditionalFormatting>
        <x14:conditionalFormatting xmlns:xm="http://schemas.microsoft.com/office/excel/2006/main">
          <x14:cfRule type="dataBar" id="{1B8969A8-51A8-46EC-A08C-ED69E20260F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L17:L27</xm:sqref>
        </x14:conditionalFormatting>
        <x14:conditionalFormatting xmlns:xm="http://schemas.microsoft.com/office/excel/2006/main">
          <x14:cfRule type="dataBar" id="{1DE0C4D1-CF3F-4D21-B2A4-929D89808872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L6:L16</xm:sqref>
        </x14:conditionalFormatting>
        <x14:conditionalFormatting xmlns:xm="http://schemas.microsoft.com/office/excel/2006/main">
          <x14:cfRule type="dataBar" id="{A2749E00-E44A-4C67-8E35-89307C62647C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L5:L5</xm:sqref>
        </x14:conditionalFormatting>
        <x14:conditionalFormatting xmlns:xm="http://schemas.microsoft.com/office/excel/2006/main">
          <x14:cfRule type="dataBar" id="{7A701D82-C487-4427-B589-F622E6AFFFF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L4:L4</xm:sqref>
        </x14:conditionalFormatting>
        <x14:conditionalFormatting xmlns:xm="http://schemas.microsoft.com/office/excel/2006/main">
          <x14:cfRule type="dataBar" id="{E40DB340-CDCF-49AC-B9A0-E5A2A7C361C8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L3:L3</xm:sqref>
        </x14:conditionalFormatting>
        <x14:conditionalFormatting xmlns:xm="http://schemas.microsoft.com/office/excel/2006/main">
          <x14:cfRule type="dataBar" id="{B283EBF9-1D11-4DD6-87F0-6CD7F54BE54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M109:M109</xm:sqref>
        </x14:conditionalFormatting>
        <x14:conditionalFormatting xmlns:xm="http://schemas.microsoft.com/office/excel/2006/main">
          <x14:cfRule type="dataBar" id="{A1C82C13-2FEC-4E5E-90F0-2630B2443CB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M108:M108</xm:sqref>
        </x14:conditionalFormatting>
        <x14:conditionalFormatting xmlns:xm="http://schemas.microsoft.com/office/excel/2006/main">
          <x14:cfRule type="dataBar" id="{55216A3C-E21D-4D60-AA43-1F9E42F37CA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M107:M107</xm:sqref>
        </x14:conditionalFormatting>
        <x14:conditionalFormatting xmlns:xm="http://schemas.microsoft.com/office/excel/2006/main">
          <x14:cfRule type="dataBar" id="{052D8649-8E7C-4201-9862-521E701FF3E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M106:M106</xm:sqref>
        </x14:conditionalFormatting>
        <x14:conditionalFormatting xmlns:xm="http://schemas.microsoft.com/office/excel/2006/main">
          <x14:cfRule type="dataBar" id="{8BEA3B2A-901F-45F6-B394-80FAD75E45F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M105:M105</xm:sqref>
        </x14:conditionalFormatting>
        <x14:conditionalFormatting xmlns:xm="http://schemas.microsoft.com/office/excel/2006/main">
          <x14:cfRule type="dataBar" id="{DFFA8CB9-8916-4437-9618-6DA495CF77A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M104:M104</xm:sqref>
        </x14:conditionalFormatting>
        <x14:conditionalFormatting xmlns:xm="http://schemas.microsoft.com/office/excel/2006/main">
          <x14:cfRule type="dataBar" id="{E734E5EF-3706-4408-8782-AD2E3D1F5EE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M103:M103</xm:sqref>
        </x14:conditionalFormatting>
        <x14:conditionalFormatting xmlns:xm="http://schemas.microsoft.com/office/excel/2006/main">
          <x14:cfRule type="dataBar" id="{34732782-C0C1-484A-B99A-9A447720E8B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M102:M102</xm:sqref>
        </x14:conditionalFormatting>
        <x14:conditionalFormatting xmlns:xm="http://schemas.microsoft.com/office/excel/2006/main">
          <x14:cfRule type="dataBar" id="{2F3184F3-03C7-4B0E-BF01-AD19F9C6320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M101:M101</xm:sqref>
        </x14:conditionalFormatting>
        <x14:conditionalFormatting xmlns:xm="http://schemas.microsoft.com/office/excel/2006/main">
          <x14:cfRule type="dataBar" id="{5D5CB3EB-BD0B-472D-A12D-B3A5AF9E6C6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M100:M100</xm:sqref>
        </x14:conditionalFormatting>
        <x14:conditionalFormatting xmlns:xm="http://schemas.microsoft.com/office/excel/2006/main">
          <x14:cfRule type="dataBar" id="{8C08D464-E2B5-4D9D-8213-8B86459CE48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M99:M99</xm:sqref>
        </x14:conditionalFormatting>
        <x14:conditionalFormatting xmlns:xm="http://schemas.microsoft.com/office/excel/2006/main">
          <x14:cfRule type="dataBar" id="{101630D8-4555-4771-8569-4DECB101FA4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M98:M98</xm:sqref>
        </x14:conditionalFormatting>
        <x14:conditionalFormatting xmlns:xm="http://schemas.microsoft.com/office/excel/2006/main">
          <x14:cfRule type="dataBar" id="{EE20AE5B-53FA-41EC-8814-6B1B6DBD4462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M97:M97</xm:sqref>
        </x14:conditionalFormatting>
        <x14:conditionalFormatting xmlns:xm="http://schemas.microsoft.com/office/excel/2006/main">
          <x14:cfRule type="dataBar" id="{727C4398-FF6A-4E61-AEDB-6B407E7FBD1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M96:M96</xm:sqref>
        </x14:conditionalFormatting>
        <x14:conditionalFormatting xmlns:xm="http://schemas.microsoft.com/office/excel/2006/main">
          <x14:cfRule type="dataBar" id="{AF4B97B0-7981-43C6-B42A-537D540F7E1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M95:M95</xm:sqref>
        </x14:conditionalFormatting>
        <x14:conditionalFormatting xmlns:xm="http://schemas.microsoft.com/office/excel/2006/main">
          <x14:cfRule type="dataBar" id="{7A2D8336-105A-4A06-B0F6-101352734CB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M94:M94</xm:sqref>
        </x14:conditionalFormatting>
        <x14:conditionalFormatting xmlns:xm="http://schemas.microsoft.com/office/excel/2006/main">
          <x14:cfRule type="dataBar" id="{494C5B86-3F04-422D-AA2E-01BCF87A55D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M93:M93</xm:sqref>
        </x14:conditionalFormatting>
        <x14:conditionalFormatting xmlns:xm="http://schemas.microsoft.com/office/excel/2006/main">
          <x14:cfRule type="dataBar" id="{2457E9EE-0C53-46DC-B22D-C4F969BBD62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M92:M92</xm:sqref>
        </x14:conditionalFormatting>
        <x14:conditionalFormatting xmlns:xm="http://schemas.microsoft.com/office/excel/2006/main">
          <x14:cfRule type="dataBar" id="{70C51026-60A4-483E-BB4C-C87E2CEC600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M91:M91</xm:sqref>
        </x14:conditionalFormatting>
        <x14:conditionalFormatting xmlns:xm="http://schemas.microsoft.com/office/excel/2006/main">
          <x14:cfRule type="dataBar" id="{8F0C1A96-B055-4FB2-A159-ECCA0A890D0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M90:M90</xm:sqref>
        </x14:conditionalFormatting>
        <x14:conditionalFormatting xmlns:xm="http://schemas.microsoft.com/office/excel/2006/main">
          <x14:cfRule type="dataBar" id="{B0D166AC-2B2D-437F-A9CB-1733825F0EA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M89:M89</xm:sqref>
        </x14:conditionalFormatting>
        <x14:conditionalFormatting xmlns:xm="http://schemas.microsoft.com/office/excel/2006/main">
          <x14:cfRule type="dataBar" id="{2393E0D2-3753-4CF0-AA79-35E7B3EC803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M88:M88</xm:sqref>
        </x14:conditionalFormatting>
        <x14:conditionalFormatting xmlns:xm="http://schemas.microsoft.com/office/excel/2006/main">
          <x14:cfRule type="dataBar" id="{8759CDCC-4465-468C-B9CF-F57306F9FA4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M87:M87</xm:sqref>
        </x14:conditionalFormatting>
        <x14:conditionalFormatting xmlns:xm="http://schemas.microsoft.com/office/excel/2006/main">
          <x14:cfRule type="dataBar" id="{40928E49-5064-45D7-9BD1-515FC9FDEFC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M86:M86</xm:sqref>
        </x14:conditionalFormatting>
        <x14:conditionalFormatting xmlns:xm="http://schemas.microsoft.com/office/excel/2006/main">
          <x14:cfRule type="dataBar" id="{5797C200-4A5D-4A4A-9686-70408C01771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M85:M85</xm:sqref>
        </x14:conditionalFormatting>
        <x14:conditionalFormatting xmlns:xm="http://schemas.microsoft.com/office/excel/2006/main">
          <x14:cfRule type="dataBar" id="{D0BE8E12-4627-4720-A980-6DDBBCC14D7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M84:M84</xm:sqref>
        </x14:conditionalFormatting>
        <x14:conditionalFormatting xmlns:xm="http://schemas.microsoft.com/office/excel/2006/main">
          <x14:cfRule type="dataBar" id="{DDCD0873-45F3-40D3-981B-F6DEBAD8333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M83:M83</xm:sqref>
        </x14:conditionalFormatting>
        <x14:conditionalFormatting xmlns:xm="http://schemas.microsoft.com/office/excel/2006/main">
          <x14:cfRule type="dataBar" id="{820A22D0-5225-4F84-A7D3-8AE79EC8E0A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M82:M82</xm:sqref>
        </x14:conditionalFormatting>
        <x14:conditionalFormatting xmlns:xm="http://schemas.microsoft.com/office/excel/2006/main">
          <x14:cfRule type="dataBar" id="{83BDF5C5-9A94-43C5-847A-E485236F044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M81:M81</xm:sqref>
        </x14:conditionalFormatting>
        <x14:conditionalFormatting xmlns:xm="http://schemas.microsoft.com/office/excel/2006/main">
          <x14:cfRule type="dataBar" id="{067B33F0-BFE3-4362-9445-9E4F413A1AC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M80:M80</xm:sqref>
        </x14:conditionalFormatting>
        <x14:conditionalFormatting xmlns:xm="http://schemas.microsoft.com/office/excel/2006/main">
          <x14:cfRule type="dataBar" id="{7ECEF0B9-8870-4D5A-A133-0944FDC0D91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M79:M79</xm:sqref>
        </x14:conditionalFormatting>
        <x14:conditionalFormatting xmlns:xm="http://schemas.microsoft.com/office/excel/2006/main">
          <x14:cfRule type="dataBar" id="{A754F2EA-F530-4BD1-BBED-973B7458A2C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M78:M78</xm:sqref>
        </x14:conditionalFormatting>
        <x14:conditionalFormatting xmlns:xm="http://schemas.microsoft.com/office/excel/2006/main">
          <x14:cfRule type="dataBar" id="{C298CE81-3BE5-4D25-A609-0D28C0AAE6C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M77:M77</xm:sqref>
        </x14:conditionalFormatting>
        <x14:conditionalFormatting xmlns:xm="http://schemas.microsoft.com/office/excel/2006/main">
          <x14:cfRule type="dataBar" id="{F0537B7D-3FE3-4585-B4D3-FD88580C793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M76:M76</xm:sqref>
        </x14:conditionalFormatting>
        <x14:conditionalFormatting xmlns:xm="http://schemas.microsoft.com/office/excel/2006/main">
          <x14:cfRule type="dataBar" id="{1C465C47-D60B-4D02-AF00-34DAF69FDB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M75:M75</xm:sqref>
        </x14:conditionalFormatting>
        <x14:conditionalFormatting xmlns:xm="http://schemas.microsoft.com/office/excel/2006/main">
          <x14:cfRule type="dataBar" id="{0C2886C3-29E5-439F-9500-1A2B355E05D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M74:M74</xm:sqref>
        </x14:conditionalFormatting>
        <x14:conditionalFormatting xmlns:xm="http://schemas.microsoft.com/office/excel/2006/main">
          <x14:cfRule type="dataBar" id="{3E2DCEDC-EFB7-4F28-869A-10A2A183D07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M73:M73</xm:sqref>
        </x14:conditionalFormatting>
        <x14:conditionalFormatting xmlns:xm="http://schemas.microsoft.com/office/excel/2006/main">
          <x14:cfRule type="dataBar" id="{3DA6029F-751B-4909-9A4F-44013B2601D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M72:M72</xm:sqref>
        </x14:conditionalFormatting>
        <x14:conditionalFormatting xmlns:xm="http://schemas.microsoft.com/office/excel/2006/main">
          <x14:cfRule type="dataBar" id="{DEC7BCE1-AF07-43F3-8A91-5A3834E7EAD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M71:M71</xm:sqref>
        </x14:conditionalFormatting>
        <x14:conditionalFormatting xmlns:xm="http://schemas.microsoft.com/office/excel/2006/main">
          <x14:cfRule type="dataBar" id="{136A8DFB-5607-402D-8FCB-338DB5B31AE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M70:M70</xm:sqref>
        </x14:conditionalFormatting>
        <x14:conditionalFormatting xmlns:xm="http://schemas.microsoft.com/office/excel/2006/main">
          <x14:cfRule type="dataBar" id="{639A989D-472B-494A-9333-E40143BBA84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M69:M69</xm:sqref>
        </x14:conditionalFormatting>
        <x14:conditionalFormatting xmlns:xm="http://schemas.microsoft.com/office/excel/2006/main">
          <x14:cfRule type="dataBar" id="{97B9D925-96C7-468F-934F-314D2F7E932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M68:M68</xm:sqref>
        </x14:conditionalFormatting>
        <x14:conditionalFormatting xmlns:xm="http://schemas.microsoft.com/office/excel/2006/main">
          <x14:cfRule type="dataBar" id="{C116E66F-16C0-4609-8B5E-1807BEDD272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M67:M67</xm:sqref>
        </x14:conditionalFormatting>
        <x14:conditionalFormatting xmlns:xm="http://schemas.microsoft.com/office/excel/2006/main">
          <x14:cfRule type="dataBar" id="{840EC05A-18F7-4484-8B51-1416557C0C9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M66:M66</xm:sqref>
        </x14:conditionalFormatting>
        <x14:conditionalFormatting xmlns:xm="http://schemas.microsoft.com/office/excel/2006/main">
          <x14:cfRule type="dataBar" id="{2939BED6-48A5-495B-BD3C-3096B405F20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M65:M65</xm:sqref>
        </x14:conditionalFormatting>
        <x14:conditionalFormatting xmlns:xm="http://schemas.microsoft.com/office/excel/2006/main">
          <x14:cfRule type="dataBar" id="{E71EC418-A4F9-453E-80DE-1E5E6EB0788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M64:M64</xm:sqref>
        </x14:conditionalFormatting>
        <x14:conditionalFormatting xmlns:xm="http://schemas.microsoft.com/office/excel/2006/main">
          <x14:cfRule type="dataBar" id="{38007F28-02A2-41AE-8F3C-F0008E89820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M63:M63</xm:sqref>
        </x14:conditionalFormatting>
        <x14:conditionalFormatting xmlns:xm="http://schemas.microsoft.com/office/excel/2006/main">
          <x14:cfRule type="dataBar" id="{2CF29517-43BE-4085-9433-0A605FCF605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M62:M62</xm:sqref>
        </x14:conditionalFormatting>
        <x14:conditionalFormatting xmlns:xm="http://schemas.microsoft.com/office/excel/2006/main">
          <x14:cfRule type="dataBar" id="{4C81BFAF-373E-4110-90AF-24AC17EC39E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M61:M61</xm:sqref>
        </x14:conditionalFormatting>
        <x14:conditionalFormatting xmlns:xm="http://schemas.microsoft.com/office/excel/2006/main">
          <x14:cfRule type="dataBar" id="{A19A1E28-4F74-4D71-A53D-346535B48BC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M60:M60</xm:sqref>
        </x14:conditionalFormatting>
        <x14:conditionalFormatting xmlns:xm="http://schemas.microsoft.com/office/excel/2006/main">
          <x14:cfRule type="dataBar" id="{4A2C7CE1-CE9E-4AF2-B4DC-AFBF736DE5B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M59:M59</xm:sqref>
        </x14:conditionalFormatting>
        <x14:conditionalFormatting xmlns:xm="http://schemas.microsoft.com/office/excel/2006/main">
          <x14:cfRule type="dataBar" id="{EB17A403-681E-4455-B43E-02C795624706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M58:M58</xm:sqref>
        </x14:conditionalFormatting>
        <x14:conditionalFormatting xmlns:xm="http://schemas.microsoft.com/office/excel/2006/main">
          <x14:cfRule type="dataBar" id="{A8ABD53A-61CD-4A98-AAE5-770E749A441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M57:M57</xm:sqref>
        </x14:conditionalFormatting>
        <x14:conditionalFormatting xmlns:xm="http://schemas.microsoft.com/office/excel/2006/main">
          <x14:cfRule type="dataBar" id="{D30A78BC-97DD-4DE7-8A7F-2BCED949724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M56:M56</xm:sqref>
        </x14:conditionalFormatting>
        <x14:conditionalFormatting xmlns:xm="http://schemas.microsoft.com/office/excel/2006/main">
          <x14:cfRule type="dataBar" id="{F94141BA-B2C8-4DE0-9D1F-F1409DA4BEFE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M55:M55</xm:sqref>
        </x14:conditionalFormatting>
        <x14:conditionalFormatting xmlns:xm="http://schemas.microsoft.com/office/excel/2006/main">
          <x14:cfRule type="dataBar" id="{AE154B37-0B01-431B-A13D-A5097E50E24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M54:M54</xm:sqref>
        </x14:conditionalFormatting>
        <x14:conditionalFormatting xmlns:xm="http://schemas.microsoft.com/office/excel/2006/main">
          <x14:cfRule type="dataBar" id="{A70BA24D-962F-4723-AB75-4238712547E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M53:M53</xm:sqref>
        </x14:conditionalFormatting>
        <x14:conditionalFormatting xmlns:xm="http://schemas.microsoft.com/office/excel/2006/main">
          <x14:cfRule type="dataBar" id="{2A2C2D17-4539-47B0-A56B-7A74C9453CA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M52:M52</xm:sqref>
        </x14:conditionalFormatting>
        <x14:conditionalFormatting xmlns:xm="http://schemas.microsoft.com/office/excel/2006/main">
          <x14:cfRule type="dataBar" id="{E4C7B649-7899-4F0C-806D-A862790BA3C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M51:M51</xm:sqref>
        </x14:conditionalFormatting>
        <x14:conditionalFormatting xmlns:xm="http://schemas.microsoft.com/office/excel/2006/main">
          <x14:cfRule type="dataBar" id="{941B8697-A310-44AF-A2A4-98A19A956B6C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M50:M50</xm:sqref>
        </x14:conditionalFormatting>
        <x14:conditionalFormatting xmlns:xm="http://schemas.microsoft.com/office/excel/2006/main">
          <x14:cfRule type="dataBar" id="{7D06B491-93B2-44D7-B09A-06F3497C6A1D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M49:M49</xm:sqref>
        </x14:conditionalFormatting>
        <x14:conditionalFormatting xmlns:xm="http://schemas.microsoft.com/office/excel/2006/main">
          <x14:cfRule type="dataBar" id="{92D44085-C5EC-44D2-9E24-68124CF125A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M48:M48</xm:sqref>
        </x14:conditionalFormatting>
        <x14:conditionalFormatting xmlns:xm="http://schemas.microsoft.com/office/excel/2006/main">
          <x14:cfRule type="dataBar" id="{E9B8CFD4-791B-4FDF-AAA0-28D177F490D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M47:M47</xm:sqref>
        </x14:conditionalFormatting>
        <x14:conditionalFormatting xmlns:xm="http://schemas.microsoft.com/office/excel/2006/main">
          <x14:cfRule type="dataBar" id="{3B3E3B02-2967-46A5-BAE3-150195361AF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M46:M46</xm:sqref>
        </x14:conditionalFormatting>
        <x14:conditionalFormatting xmlns:xm="http://schemas.microsoft.com/office/excel/2006/main">
          <x14:cfRule type="dataBar" id="{E557D16A-DF1E-48C5-B574-6781AEB3B66A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M45:M45</xm:sqref>
        </x14:conditionalFormatting>
        <x14:conditionalFormatting xmlns:xm="http://schemas.microsoft.com/office/excel/2006/main">
          <x14:cfRule type="dataBar" id="{AE291C20-FE50-4CC6-885D-2BF92AE664F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M44:M44</xm:sqref>
        </x14:conditionalFormatting>
        <x14:conditionalFormatting xmlns:xm="http://schemas.microsoft.com/office/excel/2006/main">
          <x14:cfRule type="dataBar" id="{35126DBB-6FE9-4B52-ADA2-27084EB1568F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M43:M43</xm:sqref>
        </x14:conditionalFormatting>
        <x14:conditionalFormatting xmlns:xm="http://schemas.microsoft.com/office/excel/2006/main">
          <x14:cfRule type="dataBar" id="{A7BE2D75-1F24-4978-923D-1F2633E61DD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M42:M42</xm:sqref>
        </x14:conditionalFormatting>
        <x14:conditionalFormatting xmlns:xm="http://schemas.microsoft.com/office/excel/2006/main">
          <x14:cfRule type="dataBar" id="{AD69367C-BE87-4E50-BA9F-ACF76907F97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M41:M41</xm:sqref>
        </x14:conditionalFormatting>
        <x14:conditionalFormatting xmlns:xm="http://schemas.microsoft.com/office/excel/2006/main">
          <x14:cfRule type="dataBar" id="{6B712A29-3FEC-40BB-8487-0194F671ACC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M40:M40</xm:sqref>
        </x14:conditionalFormatting>
        <x14:conditionalFormatting xmlns:xm="http://schemas.microsoft.com/office/excel/2006/main">
          <x14:cfRule type="dataBar" id="{D3FA48F0-8FD8-47A6-9E58-89CB93AFFD6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M39:M39</xm:sqref>
        </x14:conditionalFormatting>
        <x14:conditionalFormatting xmlns:xm="http://schemas.microsoft.com/office/excel/2006/main">
          <x14:cfRule type="dataBar" id="{26352780-A417-49CB-9AA1-44FD72C7253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M38:M38</xm:sqref>
        </x14:conditionalFormatting>
        <x14:conditionalFormatting xmlns:xm="http://schemas.microsoft.com/office/excel/2006/main">
          <x14:cfRule type="dataBar" id="{AD6A3252-F3F7-4172-A797-D2A890A31095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M37:M37</xm:sqref>
        </x14:conditionalFormatting>
        <x14:conditionalFormatting xmlns:xm="http://schemas.microsoft.com/office/excel/2006/main">
          <x14:cfRule type="dataBar" id="{812E8C59-F846-40C3-BF1A-6986DFBD901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M36:M36</xm:sqref>
        </x14:conditionalFormatting>
        <x14:conditionalFormatting xmlns:xm="http://schemas.microsoft.com/office/excel/2006/main">
          <x14:cfRule type="dataBar" id="{85F3AE1B-E7C8-4D7B-B964-8BD97D4170C3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M35:M35</xm:sqref>
        </x14:conditionalFormatting>
        <x14:conditionalFormatting xmlns:xm="http://schemas.microsoft.com/office/excel/2006/main">
          <x14:cfRule type="dataBar" id="{B94D28F2-88EB-43BD-AA32-0BE886D118A1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M34:M34</xm:sqref>
        </x14:conditionalFormatting>
        <x14:conditionalFormatting xmlns:xm="http://schemas.microsoft.com/office/excel/2006/main">
          <x14:cfRule type="dataBar" id="{BDB85036-CA21-4B70-9FF8-5F9DC601E049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M33:M33</xm:sqref>
        </x14:conditionalFormatting>
        <x14:conditionalFormatting xmlns:xm="http://schemas.microsoft.com/office/excel/2006/main">
          <x14:cfRule type="dataBar" id="{5839B2E2-0735-4E33-A731-2EE6BC892DA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M32:M32</xm:sqref>
        </x14:conditionalFormatting>
        <x14:conditionalFormatting xmlns:xm="http://schemas.microsoft.com/office/excel/2006/main">
          <x14:cfRule type="dataBar" id="{8A67E81B-8F7F-4148-B356-0FA3EB0E5600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M31:M31</xm:sqref>
        </x14:conditionalFormatting>
        <x14:conditionalFormatting xmlns:xm="http://schemas.microsoft.com/office/excel/2006/main">
          <x14:cfRule type="dataBar" id="{9E8B8B66-0073-4593-BA07-7F9F0CD9066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M30:M30</xm:sqref>
        </x14:conditionalFormatting>
        <x14:conditionalFormatting xmlns:xm="http://schemas.microsoft.com/office/excel/2006/main">
          <x14:cfRule type="dataBar" id="{9FCD52AF-8AC3-4D34-B98F-62EC5A70310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M29:M29</xm:sqref>
        </x14:conditionalFormatting>
        <x14:conditionalFormatting xmlns:xm="http://schemas.microsoft.com/office/excel/2006/main">
          <x14:cfRule type="dataBar" id="{A2A04B2C-E311-4EC2-A3FC-F129D7678A2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M28:M28</xm:sqref>
        </x14:conditionalFormatting>
        <x14:conditionalFormatting xmlns:xm="http://schemas.microsoft.com/office/excel/2006/main">
          <x14:cfRule type="dataBar" id="{9199ABBC-1302-4808-8D18-7553134A6A04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M17:M27</xm:sqref>
        </x14:conditionalFormatting>
        <x14:conditionalFormatting xmlns:xm="http://schemas.microsoft.com/office/excel/2006/main">
          <x14:cfRule type="dataBar" id="{8BB679FB-BA88-4858-8661-80C86796074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M6:M16</xm:sqref>
        </x14:conditionalFormatting>
        <x14:conditionalFormatting xmlns:xm="http://schemas.microsoft.com/office/excel/2006/main">
          <x14:cfRule type="dataBar" id="{57DB9729-7C40-4342-BCC6-C1514639C4F8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M5:M5</xm:sqref>
        </x14:conditionalFormatting>
        <x14:conditionalFormatting xmlns:xm="http://schemas.microsoft.com/office/excel/2006/main">
          <x14:cfRule type="dataBar" id="{08AB1F2A-68E2-45C4-B6BC-64312310CF3B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M4:M4</xm:sqref>
        </x14:conditionalFormatting>
        <x14:conditionalFormatting xmlns:xm="http://schemas.microsoft.com/office/excel/2006/main">
          <x14:cfRule type="dataBar" id="{31C2BF13-522C-40A4-B498-A97A4452587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M3:M3</xm:sqref>
        </x14:conditionalFormatting>
        <x14:conditionalFormatting xmlns:xm="http://schemas.microsoft.com/office/excel/2006/main">
          <x14:cfRule type="dataBar" id="{C1DDE344-0D0E-4552-9327-EE0F362597E7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AE1:AE2 AE2:AE3 AE110:AE110</xm:sqref>
        </x14:conditionalFormatting>
        <x14:conditionalFormatting xmlns:xm="http://schemas.microsoft.com/office/excel/2006/main">
          <x14:cfRule type="dataBar" id="{2CA61FD2-9674-4A88-9097-FA905552E585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AY2:AY2 AY2:AY3 AY1:AY1048576</xm:sqref>
        </x14:conditionalFormatting>
        <x14:conditionalFormatting xmlns:xm="http://schemas.microsoft.com/office/excel/2006/main">
          <x14:cfRule type="dataBar" id="{AD43C782-7CAB-4277-8330-1286D48CBA8A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AX2:AX2 AX2:AX3 AX1:AX1048576</xm:sqref>
        </x14:conditionalFormatting>
        <x14:conditionalFormatting xmlns:xm="http://schemas.microsoft.com/office/excel/2006/main">
          <x14:cfRule type="dataBar" id="{E20D6D12-432A-4F28-833A-5F6696953EDF}">
            <x14:dataBar minLength="0" maxLength="100" gradient="false" axisPosition="none">
              <x14:cfvo type="autoMin"/>
              <x14:cfvo type="autoMax"/>
              <x14:negativeFillColor rgb="ff0000"/>
            </x14:dataBar>
          </x14:cfRule>
          <xm:sqref>L1:L2 L2:L3 L110:L110</xm:sqref>
        </x14:conditionalFormatting>
        <x14:conditionalFormatting xmlns:xm="http://schemas.microsoft.com/office/excel/2006/main">
          <x14:cfRule type="dataBar" id="{A402688A-DC2C-4B73-A93C-2201A83D97C7}">
            <x14:dataBar minLength="0" maxLength="100" gradient="true" axisPosition="none">
              <x14:cfvo type="autoMin"/>
              <x14:cfvo type="autoMax"/>
              <x14:negativeFillColor rgb="ff0000"/>
            </x14:dataBar>
          </x14:cfRule>
          <xm:sqref>M1:M2 M2:M3 M110:M110</xm:sqref>
        </x14:conditionalFormatting>
        <x14:conditionalFormatting xmlns:xm="http://schemas.microsoft.com/office/excel/2006/main">
          <x14:cfRule type="dataBar" id="{82C4701C-BF97-4EFB-A041-3B93A3B744F5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N1:N1</xm:sqref>
        </x14:conditionalFormatting>
        <x14:conditionalFormatting xmlns:xm="http://schemas.microsoft.com/office/excel/2006/main">
          <x14:cfRule type="dataBar" id="{7499A920-90C2-4F99-A97A-F35C6B4A4DF4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M1:M2 O1:O1</xm:sqref>
        </x14:conditionalFormatting>
        <x14:conditionalFormatting xmlns:xm="http://schemas.microsoft.com/office/excel/2006/main">
          <x14:cfRule type="dataBar" id="{4597C129-8D5C-4D35-A736-27ACBC767519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AF1:AF2</xm:sqref>
        </x14:conditionalFormatting>
        <x14:conditionalFormatting xmlns:xm="http://schemas.microsoft.com/office/excel/2006/main">
          <x14:cfRule type="dataBar" id="{2EAF8AC7-8C11-48E6-BC94-036EB55F061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A06BFFA0-EC86-4D4A-87C3-360610F6FD7F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AF2:AF2</xm:sqref>
        </x14:conditionalFormatting>
        <x14:conditionalFormatting xmlns:xm="http://schemas.microsoft.com/office/excel/2006/main">
          <x14:cfRule type="dataBar" id="{08FE2D8D-12D7-4FBE-A2C0-5B9A804F573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AK2:AK2</xm:sqref>
        </x14:conditionalFormatting>
        <x14:conditionalFormatting xmlns:xm="http://schemas.microsoft.com/office/excel/2006/main">
          <x14:cfRule type="dataBar" id="{C9896F30-F81A-4454-B1BE-FE154029D147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P1:P2 Q1:Q1</xm:sqref>
        </x14:conditionalFormatting>
        <x14:conditionalFormatting xmlns:xm="http://schemas.microsoft.com/office/excel/2006/main">
          <x14:cfRule type="dataBar" id="{7A02A295-149E-4AB1-9444-C6CA47FF0C5C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AJ2:AJ2</xm:sqref>
        </x14:conditionalFormatting>
        <x14:conditionalFormatting xmlns:xm="http://schemas.microsoft.com/office/excel/2006/main">
          <x14:cfRule type="dataBar" id="{D350AF8A-01B7-46D3-804C-84FDA1AEE84A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P1:P2 Q1:Q1</xm:sqref>
        </x14:conditionalFormatting>
        <x14:conditionalFormatting xmlns:xm="http://schemas.microsoft.com/office/excel/2006/main">
          <x14:cfRule type="dataBar" id="{5A30B9D1-D2BC-41DE-BA6F-78A3FE90F9A8}">
            <x14:dataBar minLength="0" maxLength="100" gradient="true" axisPosition="none">
              <x14:cfvo type="min"/>
              <x14:cfvo type="max"/>
              <x14:negativeFillColor rgb="ffffff"/>
            </x14:dataBar>
          </x14:cfRule>
          <xm:sqref>AK2:AK2</xm:sqref>
        </x14:conditionalFormatting>
      </x14:conditionalFormattings>
    </ext>
  </extLst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7.4"/>
    <col collapsed="false" customWidth="true" hidden="false" max="11" min="11" style="0" width="10.6"/>
    <col collapsed="false" customWidth="true" hidden="false" max="20" min="20" style="0" width="12.6"/>
    <col collapsed="false" customWidth="true" hidden="false" max="27" min="27" style="0" width="9.533333333333333"/>
    <col collapsed="false" customWidth="true" hidden="false" max="36" min="36" style="0" width="12.6"/>
    <col collapsed="false" customWidth="true" hidden="false" max="4" min="4" style="0" width="13.666666666666666"/>
    <col collapsed="false" customWidth="true" hidden="false" max="12" min="12" style="0" width="10.6"/>
    <col collapsed="false" customWidth="true" hidden="false" max="28" min="28" style="0" width="9.533333333333333"/>
    <col collapsed="false" customWidth="true" hidden="false" max="37" min="37" style="0" width="9.533333333333333"/>
    <col collapsed="false" customWidth="true" hidden="false" max="5" min="5" style="0" width="12.6"/>
    <col collapsed="false" customWidth="true" hidden="false" max="13" min="13" style="0" width="8.466666666666667"/>
    <col collapsed="false" customWidth="true" hidden="false" max="21" min="21" style="0" width="9.533333333333333"/>
    <col collapsed="false" customWidth="true" hidden="false" max="29" min="29" style="0" width="12.6"/>
    <col collapsed="false" customWidth="true" hidden="false" max="38" min="38" style="0" width="12.6"/>
    <col collapsed="false" customWidth="true" hidden="false" max="6" min="6" style="0" width="12.6"/>
    <col collapsed="false" customWidth="true" hidden="false" max="14" min="14" style="0" width="8.466666666666667"/>
    <col collapsed="false" customWidth="true" hidden="false" max="22" min="22" style="0" width="9.533333333333333"/>
    <col collapsed="false" customWidth="true" hidden="false" max="30" min="30" style="0" width="12.6"/>
    <col collapsed="false" customWidth="true" hidden="false" max="39" min="39" style="0" width="9.533333333333333"/>
    <col collapsed="false" customWidth="true" hidden="false" max="7" min="7" style="0" width="8.466666666666667"/>
    <col collapsed="false" customWidth="true" hidden="false" max="15" min="15" style="0" width="8.466666666666667"/>
    <col collapsed="false" customWidth="true" hidden="false" max="23" min="23" style="0" width="9.533333333333333"/>
    <col collapsed="false" customWidth="true" hidden="false" max="31" min="31" style="0" width="12.6"/>
    <col collapsed="false" customWidth="true" hidden="false" max="40" min="40" style="0" width="100.73333333333333"/>
    <col collapsed="false" customWidth="true" hidden="false" max="8" min="8" style="0" width="8.466666666666667"/>
    <col collapsed="false" customWidth="true" hidden="false" max="16" min="16" style="0" width="8.466666666666667"/>
    <col collapsed="false" customWidth="true" hidden="false" max="24" min="24" style="0" width="9.533333333333333"/>
    <col collapsed="false" customWidth="true" hidden="false" max="32" min="32" style="0" width="10.6"/>
    <col collapsed="false" customWidth="true" hidden="false" max="33" min="33" style="0" width="12.6"/>
    <col collapsed="false" customWidth="true" hidden="false" max="1" min="1" style="0" width="14.733333333333333"/>
    <col collapsed="false" customWidth="true" hidden="false" max="9" min="9" style="0" width="12.6"/>
    <col collapsed="false" customWidth="true" hidden="false" max="17" min="17" style="0" width="12.6"/>
    <col collapsed="false" customWidth="true" hidden="false" max="25" min="25" style="0" width="9.533333333333333"/>
    <col collapsed="false" customWidth="true" hidden="false" max="34" min="34" style="0" width="12.6"/>
    <col collapsed="false" customWidth="true" hidden="false" max="35" min="35" style="0" width="12.6"/>
    <col collapsed="false" customWidth="true" hidden="false" max="2" min="2" style="0" width="7.4"/>
    <col collapsed="false" customWidth="true" hidden="false" max="10" min="10" style="0" width="10.6"/>
    <col collapsed="false" customWidth="true" hidden="false" max="18" min="18" style="0" width="9.533333333333333"/>
    <col collapsed="false" customWidth="true" hidden="false" max="19" min="19" style="0" width="10.6"/>
    <col collapsed="false" customWidth="true" hidden="false" max="26" min="26" style="0" width="9.533333333333333"/>
  </cols>
  <sheetData>
    <row customHeight="true" ht="25.925925925925924" r="1">
      <c r="A1" s="195" t="s">
        <v>254</v>
      </c>
      <c r="B1" s="196"/>
      <c r="C1" s="196"/>
      <c r="D1" s="197"/>
      <c r="E1" s="197"/>
      <c r="F1" s="198"/>
      <c r="G1" s="196"/>
      <c r="H1" s="199"/>
      <c r="I1" s="200" t="s">
        <v>255</v>
      </c>
      <c r="J1" s="201"/>
      <c r="K1" s="201"/>
      <c r="L1" s="201"/>
      <c r="M1" s="201"/>
      <c r="N1" s="201"/>
      <c r="O1" s="201"/>
      <c r="P1" s="201"/>
      <c r="Q1" s="201"/>
      <c r="R1" s="202"/>
      <c r="S1" s="203" t="s">
        <v>256</v>
      </c>
      <c r="T1" s="203"/>
      <c r="U1" s="204"/>
      <c r="V1" s="204"/>
      <c r="W1" s="204"/>
      <c r="X1" s="205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6" t="s">
        <v>257</v>
      </c>
    </row>
    <row customHeight="true" ht="57.77777777777777" r="2">
      <c r="A2" s="207" t="s">
        <v>258</v>
      </c>
      <c r="B2" s="207" t="s">
        <v>259</v>
      </c>
      <c r="C2" s="208" t="s">
        <v>260</v>
      </c>
      <c r="D2" s="207" t="s">
        <v>261</v>
      </c>
      <c r="E2" s="207" t="s">
        <v>262</v>
      </c>
      <c r="F2" s="207" t="s">
        <v>263</v>
      </c>
      <c r="G2" s="207" t="s">
        <v>264</v>
      </c>
      <c r="H2" s="207" t="s">
        <v>265</v>
      </c>
      <c r="I2" s="209" t="s">
        <v>266</v>
      </c>
      <c r="J2" s="207" t="s">
        <v>267</v>
      </c>
      <c r="K2" s="207" t="s">
        <v>268</v>
      </c>
      <c r="L2" s="207" t="s">
        <v>269</v>
      </c>
      <c r="M2" s="210" t="s">
        <v>270</v>
      </c>
      <c r="N2" s="211" t="s">
        <v>271</v>
      </c>
      <c r="O2" s="211" t="s">
        <v>272</v>
      </c>
      <c r="P2" s="211" t="s">
        <v>273</v>
      </c>
      <c r="Q2" s="211" t="s">
        <v>274</v>
      </c>
      <c r="R2" s="212" t="s">
        <v>275</v>
      </c>
      <c r="S2" s="213" t="s">
        <v>276</v>
      </c>
      <c r="T2" s="214" t="s">
        <v>277</v>
      </c>
      <c r="U2" s="213" t="s">
        <v>278</v>
      </c>
      <c r="V2" s="214" t="s">
        <v>279</v>
      </c>
      <c r="W2" s="214" t="s">
        <v>280</v>
      </c>
      <c r="X2" s="215" t="s">
        <v>281</v>
      </c>
      <c r="Y2" s="213" t="s">
        <v>282</v>
      </c>
      <c r="Z2" s="214" t="s">
        <v>283</v>
      </c>
      <c r="AA2" s="214" t="s">
        <v>284</v>
      </c>
      <c r="AB2" s="213" t="s">
        <v>285</v>
      </c>
      <c r="AC2" s="213" t="s">
        <v>286</v>
      </c>
      <c r="AD2" s="216" t="s">
        <v>287</v>
      </c>
      <c r="AE2" s="213" t="s">
        <v>288</v>
      </c>
      <c r="AF2" s="213" t="s">
        <v>289</v>
      </c>
      <c r="AG2" s="214" t="s">
        <v>290</v>
      </c>
      <c r="AH2" s="213" t="s">
        <v>291</v>
      </c>
      <c r="AI2" s="214" t="s">
        <v>292</v>
      </c>
      <c r="AJ2" s="214" t="s">
        <v>293</v>
      </c>
      <c r="AK2" s="214" t="s">
        <v>294</v>
      </c>
      <c r="AL2" s="213" t="s">
        <v>295</v>
      </c>
      <c r="AM2" s="214" t="s">
        <v>296</v>
      </c>
      <c r="AN2" s="217" t="s">
        <v>297</v>
      </c>
    </row>
    <row customHeight="true" ht="59.25925925925925" r="3">
      <c r="A3" s="218">
        <v>45581</v>
      </c>
      <c r="B3" s="219" t="s">
        <v>298</v>
      </c>
      <c r="C3" s="220" t="s">
        <v>299</v>
      </c>
      <c r="D3" s="221" t="s">
        <v>300</v>
      </c>
      <c r="E3" s="221" t="s">
        <v>301</v>
      </c>
      <c r="F3" s="222" t="s">
        <v>302</v>
      </c>
      <c r="G3" s="220" t="s">
        <v>303</v>
      </c>
      <c r="H3" s="220">
        <v>89</v>
      </c>
      <c r="I3" s="220">
        <v>0</v>
      </c>
      <c r="J3" s="220">
        <v>252</v>
      </c>
      <c r="K3" s="220">
        <v>0</v>
      </c>
      <c r="L3" s="220">
        <v>0</v>
      </c>
      <c r="M3" s="220">
        <f>I3+J3+K3+L3</f>
      </c>
      <c r="N3" s="220">
        <v>0</v>
      </c>
      <c r="O3" s="220">
        <v>0</v>
      </c>
      <c r="P3" s="220">
        <v>0</v>
      </c>
      <c r="Q3" s="223">
        <v>0.15</v>
      </c>
      <c r="R3" s="223">
        <v>0.03</v>
      </c>
      <c r="S3" s="224">
        <f>N3/7*0.5+O3/14*0.3+P3/30*0.2</f>
      </c>
      <c r="T3" s="220"/>
      <c r="U3" s="225" t="s">
        <v>304</v>
      </c>
      <c r="V3" s="225" t="s">
        <v>305</v>
      </c>
      <c r="W3" s="226">
        <v>45590</v>
      </c>
      <c r="X3" s="227">
        <f>W3+Y3</f>
      </c>
      <c r="Y3" s="220">
        <v>30</v>
      </c>
      <c r="Z3" s="220">
        <v>15</v>
      </c>
      <c r="AA3" s="220">
        <v>0</v>
      </c>
      <c r="AB3" s="228">
        <f>Y3+Z3</f>
      </c>
      <c r="AC3" s="228">
        <f>(K3+J3)/S3</f>
      </c>
      <c r="AD3" s="229">
        <f>AG3/S3</f>
      </c>
      <c r="AE3" s="229">
        <f>IF((AD3-AB3+AC3)&gt;(35),"备货过多",IF((AD3-AB3+AC3)&gt;=(25),"合理","备货太少"))</f>
      </c>
      <c r="AF3" s="229">
        <f>(AB3-AC3+30)*S3</f>
      </c>
      <c r="AG3" s="229">
        <v>1080</v>
      </c>
      <c r="AH3" s="229">
        <f>AG3*77</f>
      </c>
      <c r="AI3" s="229" t="s">
        <v>306</v>
      </c>
      <c r="AJ3" s="229" t="s">
        <v>307</v>
      </c>
      <c r="AK3" s="229">
        <v>1080</v>
      </c>
      <c r="AL3" s="229">
        <v>83160</v>
      </c>
      <c r="AM3" s="229"/>
      <c r="AN3" s="222" t="s">
        <v>308</v>
      </c>
    </row>
    <row customHeight="true" ht="23.703703703703702" r="4">
      <c r="W4" s="230"/>
      <c r="X4" s="230"/>
    </row>
    <row customHeight="true" ht="23.703703703703702" r="5">
      <c r="W5" s="230"/>
      <c r="X5" s="230"/>
    </row>
    <row customHeight="true" ht="84.44444444444444" r="6">
      <c r="A6" s="207" t="s">
        <v>258</v>
      </c>
      <c r="B6" s="207" t="s">
        <v>259</v>
      </c>
      <c r="C6" s="208" t="s">
        <v>260</v>
      </c>
      <c r="D6" s="207" t="s">
        <v>261</v>
      </c>
      <c r="E6" s="207" t="s">
        <v>262</v>
      </c>
      <c r="F6" s="207" t="s">
        <v>263</v>
      </c>
      <c r="G6" s="207" t="s">
        <v>264</v>
      </c>
      <c r="H6" s="207" t="s">
        <v>265</v>
      </c>
      <c r="I6" s="209" t="s">
        <v>266</v>
      </c>
      <c r="J6" s="207" t="s">
        <v>309</v>
      </c>
      <c r="K6" s="207" t="s">
        <v>310</v>
      </c>
      <c r="L6" s="207" t="s">
        <v>311</v>
      </c>
      <c r="M6" s="210" t="s">
        <v>270</v>
      </c>
      <c r="N6" s="211" t="s">
        <v>271</v>
      </c>
      <c r="O6" s="211" t="s">
        <v>272</v>
      </c>
      <c r="P6" s="211" t="s">
        <v>273</v>
      </c>
      <c r="Q6" s="211" t="s">
        <v>274</v>
      </c>
      <c r="R6" s="212" t="s">
        <v>275</v>
      </c>
      <c r="S6" s="213" t="s">
        <v>276</v>
      </c>
      <c r="T6" s="214" t="s">
        <v>277</v>
      </c>
      <c r="U6" s="213" t="s">
        <v>278</v>
      </c>
      <c r="V6" s="214" t="s">
        <v>279</v>
      </c>
      <c r="W6" s="214" t="s">
        <v>280</v>
      </c>
      <c r="X6" s="215" t="s">
        <v>281</v>
      </c>
      <c r="Y6" s="213" t="s">
        <v>282</v>
      </c>
      <c r="Z6" s="214" t="s">
        <v>283</v>
      </c>
      <c r="AA6" s="214" t="s">
        <v>284</v>
      </c>
      <c r="AB6" s="213" t="s">
        <v>285</v>
      </c>
      <c r="AC6" s="213" t="s">
        <v>286</v>
      </c>
      <c r="AD6" s="216" t="s">
        <v>287</v>
      </c>
      <c r="AE6" s="213" t="s">
        <v>288</v>
      </c>
      <c r="AF6" s="213" t="s">
        <v>289</v>
      </c>
      <c r="AG6" s="214" t="s">
        <v>290</v>
      </c>
      <c r="AH6" s="213" t="s">
        <v>291</v>
      </c>
      <c r="AI6" s="214" t="s">
        <v>292</v>
      </c>
      <c r="AJ6" s="214" t="s">
        <v>293</v>
      </c>
      <c r="AK6" s="214" t="s">
        <v>294</v>
      </c>
      <c r="AL6" s="213" t="s">
        <v>295</v>
      </c>
      <c r="AM6" s="214" t="s">
        <v>296</v>
      </c>
      <c r="AN6" s="217" t="s">
        <v>312</v>
      </c>
    </row>
    <row customHeight="true" ht="86.66666666666666" r="7">
      <c r="A7" s="218">
        <v>45581</v>
      </c>
      <c r="B7" s="219" t="s">
        <v>313</v>
      </c>
      <c r="C7" s="220" t="s">
        <v>299</v>
      </c>
      <c r="D7" s="221" t="s">
        <v>300</v>
      </c>
      <c r="E7" s="221" t="s">
        <v>301</v>
      </c>
      <c r="F7" s="222" t="s">
        <v>302</v>
      </c>
      <c r="G7" s="220" t="s">
        <v>303</v>
      </c>
      <c r="H7" s="220">
        <v>89</v>
      </c>
      <c r="I7" s="220">
        <v>0</v>
      </c>
      <c r="J7" s="220">
        <v>216</v>
      </c>
      <c r="K7" s="220">
        <v>0</v>
      </c>
      <c r="L7" s="220">
        <v>0</v>
      </c>
      <c r="M7" s="220">
        <f>I7+J7+K7+L7</f>
      </c>
      <c r="N7" s="220">
        <v>0</v>
      </c>
      <c r="O7" s="220">
        <v>0</v>
      </c>
      <c r="P7" s="220">
        <v>0</v>
      </c>
      <c r="Q7" s="223">
        <v>0.15</v>
      </c>
      <c r="R7" s="223">
        <v>0.03</v>
      </c>
      <c r="S7" s="224">
        <f>N7/7*0.5+O7/14*0.3+P7/30*0.2</f>
      </c>
      <c r="T7" s="220"/>
      <c r="U7" s="225" t="s">
        <v>304</v>
      </c>
      <c r="V7" s="225" t="s">
        <v>314</v>
      </c>
      <c r="W7" s="226">
        <v>45590</v>
      </c>
      <c r="X7" s="227">
        <f>W7+Y7</f>
      </c>
      <c r="Y7" s="220">
        <v>30</v>
      </c>
      <c r="Z7" s="220">
        <v>15</v>
      </c>
      <c r="AA7" s="220">
        <v>0</v>
      </c>
      <c r="AB7" s="228">
        <f>Y7+Z7</f>
      </c>
      <c r="AC7" s="228">
        <f>(K7+J7)/S7</f>
      </c>
      <c r="AD7" s="229">
        <f>AG7/S7</f>
      </c>
      <c r="AE7" s="229">
        <f>IF((AD7-AB7+AC7)&gt;(35),"备货过多",IF((AD7-AB7+AC7)&gt;=(25),"合理","备货太少"))</f>
      </c>
      <c r="AF7" s="229">
        <f>(AB7-AC7+30)*S7</f>
      </c>
      <c r="AG7" s="229">
        <v>300</v>
      </c>
      <c r="AH7" s="229">
        <f>AG7*77</f>
      </c>
      <c r="AI7" s="229" t="s">
        <v>306</v>
      </c>
      <c r="AJ7" s="229" t="s">
        <v>307</v>
      </c>
      <c r="AK7" s="229">
        <v>300</v>
      </c>
      <c r="AL7" s="229">
        <v>23100</v>
      </c>
      <c r="AM7" s="229"/>
      <c r="AN7" s="222" t="s">
        <v>315</v>
      </c>
    </row>
    <row customHeight="true" ht="23.703703703703702" r="8">
      <c r="W8" s="230"/>
      <c r="X8" s="230"/>
    </row>
    <row customHeight="true" ht="23.703703703703702" r="9">
      <c r="W9" s="230"/>
      <c r="X9" s="230"/>
    </row>
    <row customHeight="true" ht="23.703703703703702" r="10">
      <c r="W10" s="230"/>
      <c r="X10" s="230"/>
    </row>
    <row customHeight="true" ht="23.703703703703702" r="11">
      <c r="W11" s="230"/>
      <c r="X11" s="230"/>
    </row>
    <row customHeight="true" ht="23.703703703703702" r="12">
      <c r="W12" s="230"/>
      <c r="X12" s="230"/>
    </row>
    <row customHeight="true" ht="23.703703703703702" r="13">
      <c r="W13" s="230"/>
      <c r="X13" s="230"/>
    </row>
    <row customHeight="true" ht="23.703703703703702" r="14">
      <c r="W14" s="230"/>
      <c r="X14" s="230"/>
    </row>
    <row customHeight="true" ht="23.703703703703702" r="15">
      <c r="W15" s="230"/>
      <c r="X15" s="230"/>
    </row>
    <row customHeight="true" ht="23.703703703703702" r="16">
      <c r="W16" s="230"/>
      <c r="X16" s="230"/>
    </row>
    <row customHeight="true" ht="23.703703703703702" r="17">
      <c r="W17" s="230"/>
      <c r="X17" s="230"/>
    </row>
    <row customHeight="true" ht="23.703703703703702" r="18">
      <c r="W18" s="230"/>
      <c r="X18" s="230"/>
    </row>
    <row customHeight="true" ht="23.703703703703702" r="19">
      <c r="W19" s="230"/>
      <c r="X19" s="230"/>
    </row>
    <row customHeight="true" ht="23.703703703703702" r="20">
      <c r="W20" s="230"/>
      <c r="X20" s="230"/>
    </row>
  </sheetData>
  <mergeCells>
    <mergeCell ref="A1:H1"/>
    <mergeCell ref="I1:R1"/>
    <mergeCell ref="S1:AM1"/>
  </mergeCells>
  <conditionalFormatting sqref="A6:A6">
    <cfRule dxfId="0" priority="1" stopIfTrue="true" type="duplicateValues"/>
  </conditionalFormatting>
  <conditionalFormatting sqref="E6:E6">
    <cfRule dxfId="1" priority="2" stopIfTrue="true" type="duplicateValues"/>
  </conditionalFormatting>
  <conditionalFormatting sqref="A2:A2">
    <cfRule dxfId="2" priority="3" stopIfTrue="true" type="duplicateValues"/>
  </conditionalFormatting>
  <conditionalFormatting sqref="A1:A1 E2:E2">
    <cfRule dxfId="3" priority="4" stopIfTrue="true" type="duplicateValues"/>
  </conditionalFormatting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17" min="17" style="0" width="19.933333333333334"/>
    <col collapsed="false" customWidth="true" hidden="false" max="21" min="21" style="0" width="19.933333333333334"/>
    <col collapsed="false" customWidth="true" hidden="false" max="25" min="25" style="0" width="22.066666666666666"/>
    <col collapsed="false" customWidth="true" hidden="false" max="1" min="1" style="0" width="14.733333333333333"/>
    <col collapsed="false" customWidth="true" hidden="false" max="5" min="5" style="0" width="14.733333333333333"/>
    <col collapsed="false" customWidth="true" hidden="false" max="9" min="9" style="0" width="14.733333333333333"/>
    <col collapsed="false" customWidth="true" hidden="false" max="13" min="13" style="0" width="19.933333333333334"/>
    <col collapsed="false" customWidth="true" hidden="false" max="20" min="20" style="0" width="19.933333333333334"/>
    <col collapsed="false" customWidth="true" hidden="false" max="24" min="24" style="0" width="19.933333333333334"/>
    <col collapsed="false" customWidth="true" hidden="false" max="28" min="28" style="0" width="19.933333333333334"/>
    <col collapsed="false" customWidth="true" hidden="false" max="4" min="4" style="0" width="14.733333333333333"/>
    <col collapsed="false" customWidth="true" hidden="false" max="8" min="8" style="0" width="14.733333333333333"/>
    <col collapsed="false" customWidth="true" hidden="false" max="12" min="12" style="0" width="19.933333333333334"/>
    <col collapsed="false" customWidth="true" hidden="false" max="16" min="16" style="0" width="19.933333333333334"/>
    <col collapsed="false" customWidth="true" hidden="false" max="19" min="19" style="0" width="19.933333333333334"/>
    <col collapsed="false" customWidth="true" hidden="false" max="23" min="23" style="0" width="19.933333333333334"/>
    <col collapsed="false" customWidth="true" hidden="false" max="27" min="27" style="0" width="19.933333333333334"/>
    <col collapsed="false" customWidth="true" hidden="false" max="3" min="3" style="0" width="29.4"/>
    <col collapsed="false" customWidth="true" hidden="false" max="7" min="7" style="0" width="14.733333333333333"/>
    <col collapsed="false" customWidth="true" hidden="false" max="11" min="11" style="0" width="14.733333333333333"/>
    <col collapsed="false" customWidth="true" hidden="false" max="15" min="15" style="0" width="19.933333333333334"/>
    <col collapsed="false" customWidth="true" hidden="false" max="18" min="18" style="0" width="19.933333333333334"/>
    <col collapsed="false" customWidth="true" hidden="false" max="22" min="22" style="0" width="19.933333333333334"/>
    <col collapsed="false" customWidth="true" hidden="false" max="26" min="26" style="0" width="24.2"/>
    <col collapsed="false" customWidth="true" hidden="false" max="2" min="2" style="0" width="31.533333333333335"/>
    <col collapsed="false" customWidth="true" hidden="false" max="6" min="6" style="0" width="14.733333333333333"/>
    <col collapsed="false" customWidth="true" hidden="false" max="10" min="10" style="0" width="14.733333333333333"/>
    <col collapsed="false" customWidth="true" hidden="false" max="14" min="14" style="0" width="19.933333333333334"/>
  </cols>
  <sheetData>
    <row customHeight="true" ht="33.33333333333333" r="1">
      <c r="A1" s="231" t="s">
        <v>316</v>
      </c>
      <c r="B1" s="231" t="s">
        <v>317</v>
      </c>
      <c r="C1" s="231" t="s">
        <v>318</v>
      </c>
      <c r="D1" s="231" t="s">
        <v>319</v>
      </c>
      <c r="E1" s="231" t="s">
        <v>320</v>
      </c>
      <c r="F1" s="231" t="s">
        <v>321</v>
      </c>
      <c r="G1" s="231" t="s">
        <v>322</v>
      </c>
      <c r="H1" s="231" t="s">
        <v>323</v>
      </c>
      <c r="I1" s="231" t="s">
        <v>324</v>
      </c>
      <c r="J1" s="231" t="s">
        <v>325</v>
      </c>
      <c r="K1" s="232" t="s">
        <v>326</v>
      </c>
      <c r="L1" s="231" t="s">
        <v>327</v>
      </c>
      <c r="M1" s="231"/>
      <c r="N1" s="231"/>
      <c r="O1" s="231"/>
      <c r="P1" s="231"/>
      <c r="Q1" s="231" t="s">
        <v>328</v>
      </c>
      <c r="R1" s="231"/>
      <c r="S1" s="231"/>
      <c r="T1" s="231"/>
      <c r="U1" s="231"/>
      <c r="V1" s="233" t="s">
        <v>329</v>
      </c>
      <c r="W1" s="234"/>
      <c r="X1" s="235" t="s">
        <v>330</v>
      </c>
      <c r="Y1" s="236" t="s">
        <v>331</v>
      </c>
      <c r="Z1" s="236"/>
      <c r="AA1" s="236"/>
      <c r="AB1" s="235" t="s">
        <v>332</v>
      </c>
    </row>
    <row customHeight="true" ht="33.33333333333333" r="2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2"/>
      <c r="L2" s="231" t="s">
        <v>333</v>
      </c>
      <c r="M2" s="231" t="s">
        <v>334</v>
      </c>
      <c r="N2" s="231" t="s">
        <v>335</v>
      </c>
      <c r="O2" s="231" t="s">
        <v>336</v>
      </c>
      <c r="P2" s="237" t="s">
        <v>337</v>
      </c>
      <c r="Q2" s="231" t="s">
        <v>333</v>
      </c>
      <c r="R2" s="231" t="s">
        <v>334</v>
      </c>
      <c r="S2" s="231" t="s">
        <v>335</v>
      </c>
      <c r="T2" s="231" t="s">
        <v>338</v>
      </c>
      <c r="U2" s="237" t="s">
        <v>339</v>
      </c>
      <c r="V2" s="238" t="s">
        <v>340</v>
      </c>
      <c r="W2" s="238" t="s">
        <v>341</v>
      </c>
      <c r="X2" s="235"/>
      <c r="Y2" s="239" t="s">
        <v>342</v>
      </c>
      <c r="Z2" s="239" t="s">
        <v>343</v>
      </c>
      <c r="AA2" s="236" t="s">
        <v>344</v>
      </c>
      <c r="AB2" s="235"/>
    </row>
    <row customHeight="true" ht="33.33333333333333" r="3">
      <c r="A3" s="240">
        <v>45581</v>
      </c>
      <c r="B3" s="236" t="s">
        <v>345</v>
      </c>
      <c r="C3" s="236" t="s">
        <v>346</v>
      </c>
      <c r="D3" s="236">
        <v>77</v>
      </c>
      <c r="E3" s="236">
        <v>0</v>
      </c>
      <c r="F3" s="236">
        <v>0</v>
      </c>
      <c r="G3" s="236">
        <v>0</v>
      </c>
      <c r="H3" s="236">
        <v>0</v>
      </c>
      <c r="I3" s="236">
        <v>0</v>
      </c>
      <c r="J3" s="236">
        <v>219</v>
      </c>
      <c r="K3" s="236"/>
      <c r="L3" s="236">
        <v>21</v>
      </c>
      <c r="M3" s="236">
        <v>49</v>
      </c>
      <c r="N3" s="236">
        <v>107</v>
      </c>
      <c r="O3" s="236">
        <v>4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>
        <f>IF((X3)&gt;(100),"库存滞销",IF((X3)&gt;=(70),"合理","库存告急"))</f>
      </c>
    </row>
    <row customHeight="true" ht="33.33333333333333" r="4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</row>
    <row customHeight="true" ht="33.33333333333333" r="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</row>
    <row customHeight="true" ht="33.33333333333333" r="6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</row>
    <row customHeight="true" ht="33.33333333333333" r="7">
      <c r="A7" s="241"/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</row>
    <row customHeight="true" ht="33.33333333333333" r="8">
      <c r="A8" s="241"/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</row>
    <row customHeight="true" ht="33.33333333333333" r="9">
      <c r="A9" s="241"/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</row>
    <row customHeight="true" ht="33.33333333333333" r="10">
      <c r="A10" s="241"/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</row>
    <row customHeight="true" ht="33.33333333333333" r="11">
      <c r="A11" s="241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</row>
    <row customHeight="true" ht="33.33333333333333" r="12">
      <c r="A12" s="241"/>
      <c r="B12" s="241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</row>
    <row customHeight="true" ht="33.33333333333333" r="13">
      <c r="A13" s="241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</row>
    <row customHeight="true" ht="33.33333333333333" r="14">
      <c r="A14" s="241"/>
      <c r="B14" s="24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</row>
    <row customHeight="true" ht="33.33333333333333" r="15"/>
    <row customHeight="true" ht="33.33333333333333" r="16"/>
    <row customHeight="true" ht="33.33333333333333" r="17"/>
    <row customHeight="true" ht="33.33333333333333" r="18"/>
    <row customHeight="true" ht="33.33333333333333" r="19"/>
    <row customHeight="true" ht="33.33333333333333" r="20"/>
  </sheetData>
  <mergeCells>
    <mergeCell ref="L1:P1"/>
    <mergeCell ref="Q1:U1"/>
    <mergeCell ref="V1:W1"/>
    <mergeCell ref="Y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X1:X2"/>
    <mergeCell ref="AB1:AB2"/>
  </mergeCells>
  <conditionalFormatting sqref="AB3:AB3">
    <cfRule dxfId="4" operator="containsText" priority="1" stopIfTrue="true" text="库存滞销" type="containsText">
      <formula>NOT(ISERROR(SEARCH("库存滞销",AB3)))</formula>
    </cfRule>
  </conditionalFormatting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533333333333333"/>
    <col collapsed="false" customWidth="true" hidden="false" max="5" min="5" style="0" width="9.533333333333333"/>
    <col collapsed="false" customWidth="true" hidden="false" max="9" min="9" style="0" width="9.533333333333333"/>
    <col collapsed="false" customWidth="true" hidden="false" max="13" min="13" style="0" width="9.533333333333333"/>
    <col collapsed="false" customWidth="true" hidden="false" max="17" min="17" style="0" width="9.533333333333333"/>
    <col collapsed="false" customWidth="true" hidden="false" max="21" min="21" style="0" width="9.533333333333333"/>
    <col collapsed="false" customWidth="true" hidden="false" max="2" min="2" style="0" width="9.533333333333333"/>
    <col collapsed="false" customWidth="true" hidden="false" max="6" min="6" style="0" width="9.533333333333333"/>
    <col collapsed="false" customWidth="true" hidden="false" max="10" min="10" style="0" width="9.533333333333333"/>
    <col collapsed="false" customWidth="true" hidden="false" max="14" min="14" style="0" width="9.533333333333333"/>
    <col collapsed="false" customWidth="true" hidden="false" max="18" min="18" style="0" width="9.533333333333333"/>
    <col collapsed="false" customWidth="true" hidden="false" max="22" min="22" style="0" width="9.533333333333333"/>
    <col collapsed="false" customWidth="true" hidden="false" max="3" min="3" style="0" width="9.533333333333333"/>
    <col collapsed="false" customWidth="true" hidden="false" max="7" min="7" style="0" width="9.533333333333333"/>
    <col collapsed="false" customWidth="true" hidden="false" max="11" min="11" style="0" width="9.533333333333333"/>
    <col collapsed="false" customWidth="true" hidden="false" max="15" min="15" style="0" width="9.533333333333333"/>
    <col collapsed="false" customWidth="true" hidden="false" max="19" min="19" style="0" width="9.533333333333333"/>
    <col collapsed="false" customWidth="true" hidden="false" max="4" min="4" style="0" width="9.533333333333333"/>
    <col collapsed="false" customWidth="true" hidden="false" max="8" min="8" style="0" width="9.533333333333333"/>
    <col collapsed="false" customWidth="true" hidden="false" max="12" min="12" style="0" width="9.533333333333333"/>
    <col collapsed="false" customWidth="true" hidden="false" max="16" min="16" style="0" width="9.533333333333333"/>
    <col collapsed="false" customWidth="true" hidden="false" max="20" min="20" style="0" width="9.533333333333333"/>
  </cols>
  <sheetData>
    <row customHeight="true" ht="14.814814814814813" r="1">
      <c r="A1" s="242" t="s">
        <v>347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</row>
    <row customHeight="true" ht="14.814814814814813" r="2">
      <c r="A2" s="243" t="s">
        <v>348</v>
      </c>
      <c r="B2" s="243">
        <v>45645</v>
      </c>
      <c r="C2" s="243">
        <v>45646</v>
      </c>
      <c r="D2" s="243">
        <v>45647</v>
      </c>
      <c r="E2" s="243">
        <v>45648</v>
      </c>
      <c r="F2" s="243">
        <v>45649</v>
      </c>
      <c r="G2" s="243">
        <v>45650</v>
      </c>
      <c r="H2" s="243">
        <v>45651</v>
      </c>
      <c r="I2" s="243">
        <v>45652</v>
      </c>
      <c r="J2" s="243">
        <v>45653</v>
      </c>
      <c r="K2" s="243">
        <v>45654</v>
      </c>
      <c r="L2" s="243">
        <v>45655</v>
      </c>
      <c r="M2" s="243">
        <v>45656</v>
      </c>
      <c r="N2" s="243">
        <v>45657</v>
      </c>
      <c r="O2" s="243">
        <v>45658</v>
      </c>
      <c r="P2" s="243">
        <v>45659</v>
      </c>
      <c r="Q2" s="243">
        <v>45660</v>
      </c>
      <c r="R2" s="243">
        <v>45661</v>
      </c>
      <c r="S2" s="243">
        <v>45662</v>
      </c>
      <c r="T2" s="243">
        <v>45663</v>
      </c>
      <c r="U2" s="243">
        <v>45664</v>
      </c>
      <c r="V2" s="243">
        <v>45665</v>
      </c>
    </row>
    <row customHeight="true" ht="14.814814814814813" r="3">
      <c r="A3" s="244" t="s">
        <v>349</v>
      </c>
      <c r="B3" s="244" t="s">
        <v>350</v>
      </c>
      <c r="C3" s="244" t="s">
        <v>351</v>
      </c>
      <c r="D3" s="244" t="s">
        <v>352</v>
      </c>
      <c r="E3" s="244" t="s">
        <v>353</v>
      </c>
      <c r="F3" s="244" t="s">
        <v>354</v>
      </c>
      <c r="G3" s="244" t="s">
        <v>355</v>
      </c>
      <c r="H3" s="244" t="s">
        <v>356</v>
      </c>
      <c r="I3" s="244" t="s">
        <v>350</v>
      </c>
      <c r="J3" s="244" t="s">
        <v>351</v>
      </c>
      <c r="K3" s="244" t="s">
        <v>352</v>
      </c>
      <c r="L3" s="244" t="s">
        <v>353</v>
      </c>
      <c r="M3" s="244" t="s">
        <v>354</v>
      </c>
      <c r="N3" s="244" t="s">
        <v>355</v>
      </c>
      <c r="O3" s="244" t="s">
        <v>356</v>
      </c>
      <c r="P3" s="244" t="s">
        <v>350</v>
      </c>
      <c r="Q3" s="244" t="s">
        <v>351</v>
      </c>
      <c r="R3" s="244" t="s">
        <v>352</v>
      </c>
      <c r="S3" s="244" t="s">
        <v>353</v>
      </c>
      <c r="T3" s="244" t="s">
        <v>354</v>
      </c>
      <c r="U3" s="244" t="s">
        <v>355</v>
      </c>
      <c r="V3" s="244" t="s">
        <v>356</v>
      </c>
    </row>
    <row customHeight="true" ht="14.814814814814813" r="4">
      <c r="A4" s="244" t="s">
        <v>357</v>
      </c>
      <c r="B4" s="244">
        <v>4</v>
      </c>
      <c r="C4" s="244">
        <v>2</v>
      </c>
      <c r="D4" s="244">
        <v>1</v>
      </c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</row>
    <row customHeight="true" ht="14.814814814814813" r="5">
      <c r="A5" s="244" t="s">
        <v>358</v>
      </c>
      <c r="B5" s="244">
        <v>3</v>
      </c>
      <c r="C5" s="244">
        <v>1</v>
      </c>
      <c r="D5" s="244">
        <v>1</v>
      </c>
      <c r="E5" s="244">
        <v>1</v>
      </c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</row>
    <row customHeight="true" ht="14.814814814814813" r="6">
      <c r="A6" s="244" t="s">
        <v>359</v>
      </c>
      <c r="B6" s="244">
        <v>3</v>
      </c>
      <c r="C6" s="244">
        <v>2</v>
      </c>
      <c r="D6" s="244">
        <v>1</v>
      </c>
      <c r="E6" s="244">
        <v>1</v>
      </c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</row>
    <row customHeight="true" ht="14.814814814814813" r="7">
      <c r="A7" s="244" t="s">
        <v>360</v>
      </c>
      <c r="B7" s="244"/>
      <c r="C7" s="244">
        <v>5</v>
      </c>
      <c r="D7" s="244">
        <v>2</v>
      </c>
      <c r="E7" s="244">
        <v>1</v>
      </c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</row>
    <row customHeight="true" ht="14.814814814814813" r="8">
      <c r="A8" s="244" t="s">
        <v>361</v>
      </c>
      <c r="B8" s="244"/>
      <c r="C8" s="244"/>
      <c r="D8" s="244">
        <v>6</v>
      </c>
      <c r="E8" s="244">
        <v>4</v>
      </c>
      <c r="F8" s="244">
        <v>2</v>
      </c>
      <c r="G8" s="244">
        <v>1</v>
      </c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</row>
    <row customHeight="true" ht="14.814814814814813" r="9">
      <c r="A9" s="244" t="s">
        <v>362</v>
      </c>
      <c r="B9" s="244"/>
      <c r="C9" s="244"/>
      <c r="D9" s="244"/>
      <c r="E9" s="244">
        <v>5</v>
      </c>
      <c r="F9" s="244">
        <v>4</v>
      </c>
      <c r="G9" s="244">
        <v>3</v>
      </c>
      <c r="H9" s="244">
        <v>2</v>
      </c>
      <c r="I9" s="244">
        <v>1</v>
      </c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</row>
    <row customHeight="true" ht="14.814814814814813" r="10">
      <c r="A10" s="244" t="s">
        <v>363</v>
      </c>
      <c r="B10" s="244"/>
      <c r="C10" s="244"/>
      <c r="D10" s="244"/>
      <c r="E10" s="244"/>
      <c r="F10" s="244">
        <v>7</v>
      </c>
      <c r="G10" s="244">
        <v>5</v>
      </c>
      <c r="H10" s="244">
        <v>3</v>
      </c>
      <c r="I10" s="244">
        <v>1</v>
      </c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</row>
    <row customHeight="true" ht="28.888888888888886" r="11">
      <c r="A11" s="245" t="s">
        <v>364</v>
      </c>
      <c r="B11" s="245">
        <f>SUM(B4:B10)</f>
      </c>
      <c r="C11" s="245">
        <f>SUM(C4:C10)</f>
      </c>
      <c r="D11" s="245">
        <f>SUM(D4:D10)</f>
      </c>
      <c r="E11" s="245">
        <f>SUM(E4:E10)</f>
      </c>
      <c r="F11" s="245">
        <f>SUM(F4:F10)</f>
      </c>
      <c r="G11" s="245">
        <f>SUM(G4:G10)</f>
      </c>
      <c r="H11" s="245">
        <f>SUM(H4:H10)</f>
      </c>
      <c r="I11" s="245">
        <f>SUM(I4:I10)</f>
      </c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</row>
    <row customHeight="true" ht="14.814814814814813" r="12">
      <c r="A12" s="246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</row>
    <row customHeight="true" ht="14.814814814814813" r="13">
      <c r="A13" s="246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</row>
    <row customHeight="true" ht="14.814814814814813" r="14">
      <c r="A14" s="247" t="s">
        <v>365</v>
      </c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</row>
    <row customHeight="true" ht="14.814814814814813" r="15">
      <c r="A15" s="243" t="s">
        <v>348</v>
      </c>
      <c r="B15" s="243">
        <v>45645</v>
      </c>
      <c r="C15" s="243">
        <v>45646</v>
      </c>
      <c r="D15" s="243">
        <v>45647</v>
      </c>
      <c r="E15" s="243">
        <v>45648</v>
      </c>
      <c r="F15" s="243">
        <v>45649</v>
      </c>
      <c r="G15" s="243">
        <v>45650</v>
      </c>
      <c r="H15" s="243">
        <v>45651</v>
      </c>
      <c r="I15" s="243">
        <v>45652</v>
      </c>
      <c r="J15" s="243">
        <v>45653</v>
      </c>
      <c r="K15" s="243">
        <v>45654</v>
      </c>
      <c r="L15" s="243">
        <v>45655</v>
      </c>
      <c r="M15" s="243">
        <v>45656</v>
      </c>
      <c r="N15" s="243">
        <v>45657</v>
      </c>
      <c r="O15" s="243">
        <v>45658</v>
      </c>
      <c r="P15" s="243">
        <v>45659</v>
      </c>
      <c r="Q15" s="243">
        <v>45660</v>
      </c>
      <c r="R15" s="243">
        <v>45661</v>
      </c>
      <c r="S15" s="243">
        <v>45662</v>
      </c>
      <c r="T15" s="243">
        <v>45663</v>
      </c>
      <c r="U15" s="243">
        <v>45664</v>
      </c>
      <c r="V15" s="243">
        <v>45665</v>
      </c>
    </row>
    <row customHeight="true" ht="14.814814814814813" r="16">
      <c r="A16" s="244" t="s">
        <v>349</v>
      </c>
      <c r="B16" s="244" t="s">
        <v>350</v>
      </c>
      <c r="C16" s="244" t="s">
        <v>351</v>
      </c>
      <c r="D16" s="244" t="s">
        <v>352</v>
      </c>
      <c r="E16" s="244" t="s">
        <v>353</v>
      </c>
      <c r="F16" s="244" t="s">
        <v>354</v>
      </c>
      <c r="G16" s="244" t="s">
        <v>355</v>
      </c>
      <c r="H16" s="244" t="s">
        <v>356</v>
      </c>
      <c r="I16" s="244" t="s">
        <v>350</v>
      </c>
      <c r="J16" s="244" t="s">
        <v>351</v>
      </c>
      <c r="K16" s="244" t="s">
        <v>352</v>
      </c>
      <c r="L16" s="244" t="s">
        <v>353</v>
      </c>
      <c r="M16" s="244" t="s">
        <v>354</v>
      </c>
      <c r="N16" s="244" t="s">
        <v>355</v>
      </c>
      <c r="O16" s="244" t="s">
        <v>356</v>
      </c>
      <c r="P16" s="244" t="s">
        <v>350</v>
      </c>
      <c r="Q16" s="244" t="s">
        <v>351</v>
      </c>
      <c r="R16" s="244" t="s">
        <v>352</v>
      </c>
      <c r="S16" s="244" t="s">
        <v>353</v>
      </c>
      <c r="T16" s="244" t="s">
        <v>354</v>
      </c>
      <c r="U16" s="244" t="s">
        <v>355</v>
      </c>
      <c r="V16" s="244" t="s">
        <v>356</v>
      </c>
    </row>
    <row customHeight="true" ht="14.814814814814813" r="17">
      <c r="A17" s="244" t="s">
        <v>357</v>
      </c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</row>
    <row customHeight="true" ht="14.814814814814813" r="18">
      <c r="A18" s="244" t="s">
        <v>358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</row>
    <row customHeight="true" ht="14.814814814814813" r="19">
      <c r="A19" s="244" t="s">
        <v>359</v>
      </c>
      <c r="B19" s="244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</row>
    <row customHeight="true" ht="14.814814814814813" r="20">
      <c r="A20" s="244" t="s">
        <v>360</v>
      </c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</row>
    <row customHeight="true" ht="14.814814814814813" r="21">
      <c r="A21" s="244" t="s">
        <v>361</v>
      </c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</row>
    <row customHeight="true" ht="14.814814814814813" r="22">
      <c r="A22" s="244" t="s">
        <v>362</v>
      </c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</row>
    <row customHeight="true" ht="14.814814814814813" r="23">
      <c r="A23" s="244" t="s">
        <v>363</v>
      </c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</row>
    <row customHeight="true" ht="28.888888888888886" r="24">
      <c r="A24" s="245" t="s">
        <v>364</v>
      </c>
      <c r="B24" s="248">
        <v>7</v>
      </c>
      <c r="C24" s="248">
        <v>4</v>
      </c>
      <c r="D24" s="248">
        <v>56</v>
      </c>
      <c r="E24" s="248">
        <v>29</v>
      </c>
      <c r="F24" s="248">
        <v>0</v>
      </c>
      <c r="G24" s="248">
        <v>0</v>
      </c>
      <c r="H24" s="248">
        <v>0</v>
      </c>
      <c r="I24" s="248">
        <v>0</v>
      </c>
      <c r="J24" s="248">
        <v>0</v>
      </c>
      <c r="K24" s="248">
        <v>0</v>
      </c>
      <c r="L24" s="248">
        <v>0</v>
      </c>
      <c r="M24" s="248">
        <v>0</v>
      </c>
      <c r="N24" s="248">
        <v>0</v>
      </c>
      <c r="O24" s="248">
        <v>0</v>
      </c>
      <c r="P24" s="248">
        <v>0</v>
      </c>
      <c r="Q24" s="248">
        <v>0</v>
      </c>
      <c r="R24" s="248">
        <v>0</v>
      </c>
      <c r="S24" s="248">
        <v>0</v>
      </c>
      <c r="T24" s="248">
        <v>0</v>
      </c>
      <c r="U24" s="248">
        <v>0</v>
      </c>
      <c r="V24" s="248">
        <v>0</v>
      </c>
    </row>
  </sheetData>
  <mergeCells>
    <mergeCell ref="A1:V1"/>
    <mergeCell ref="A14:V14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4.733333333333333"/>
    <col collapsed="false" customWidth="true" hidden="false" max="6" min="6" style="0" width="14.733333333333333"/>
    <col collapsed="false" customWidth="true" hidden="false" max="10" min="10" style="0" width="14.733333333333333"/>
    <col collapsed="false" customWidth="true" hidden="false" max="14" min="14" style="0" width="14.733333333333333"/>
    <col collapsed="false" customWidth="true" hidden="false" max="18" min="18" style="0" width="14.733333333333333"/>
    <col collapsed="false" customWidth="true" hidden="false" max="3" min="3" style="0" width="14.733333333333333"/>
    <col collapsed="false" customWidth="true" hidden="false" max="7" min="7" style="0" width="14.733333333333333"/>
    <col collapsed="false" customWidth="true" hidden="false" max="11" min="11" style="0" width="14.733333333333333"/>
    <col collapsed="false" customWidth="true" hidden="false" max="15" min="15" style="0" width="14.733333333333333"/>
    <col collapsed="false" customWidth="true" hidden="false" max="19" min="19" style="0" width="14.733333333333333"/>
    <col collapsed="false" customWidth="true" hidden="false" max="4" min="4" style="0" width="14.733333333333333"/>
    <col collapsed="false" customWidth="true" hidden="false" max="8" min="8" style="0" width="14.733333333333333"/>
    <col collapsed="false" customWidth="true" hidden="false" max="12" min="12" style="0" width="14.733333333333333"/>
    <col collapsed="false" customWidth="true" hidden="false" max="16" min="16" style="0" width="14.733333333333333"/>
    <col collapsed="false" customWidth="true" hidden="false" max="20" min="20" style="0" width="14.733333333333333"/>
    <col collapsed="false" customWidth="true" hidden="false" max="1" min="1" style="0" width="29.4"/>
    <col collapsed="false" customWidth="true" hidden="false" max="5" min="5" style="0" width="14.733333333333333"/>
    <col collapsed="false" customWidth="true" hidden="false" max="9" min="9" style="0" width="14.733333333333333"/>
    <col collapsed="false" customWidth="true" hidden="false" max="13" min="13" style="0" width="14.733333333333333"/>
    <col collapsed="false" customWidth="true" hidden="false" max="17" min="17" style="0" width="14.733333333333333"/>
  </cols>
  <sheetData>
    <row customHeight="true" ht="14.814814814814813" r="1">
      <c r="A1" s="249" t="s">
        <v>366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50"/>
      <c r="Q1" s="250"/>
      <c r="R1" s="250"/>
      <c r="S1" s="250"/>
      <c r="T1" s="250"/>
    </row>
    <row customHeight="true" ht="14.814814814814813" r="2">
      <c r="A2" s="251" t="s">
        <v>367</v>
      </c>
      <c r="B2" s="252">
        <v>45625</v>
      </c>
      <c r="C2" s="252">
        <v>45626</v>
      </c>
      <c r="D2" s="252">
        <v>45627</v>
      </c>
      <c r="E2" s="252">
        <v>45628</v>
      </c>
      <c r="F2" s="252">
        <v>45629</v>
      </c>
      <c r="G2" s="252">
        <v>45630</v>
      </c>
      <c r="H2" s="252">
        <v>45631</v>
      </c>
      <c r="I2" s="252">
        <v>45632</v>
      </c>
      <c r="J2" s="252">
        <v>45633</v>
      </c>
      <c r="K2" s="252">
        <v>45634</v>
      </c>
      <c r="L2" s="252">
        <v>45635</v>
      </c>
      <c r="M2" s="252">
        <v>45636</v>
      </c>
      <c r="N2" s="252">
        <v>45637</v>
      </c>
      <c r="O2" s="252">
        <v>45638</v>
      </c>
      <c r="P2" s="250"/>
      <c r="Q2" s="250"/>
      <c r="R2" s="250"/>
      <c r="S2" s="250"/>
      <c r="T2" s="250"/>
    </row>
    <row customHeight="true" ht="14.814814814814813" r="3">
      <c r="A3" s="251" t="s">
        <v>368</v>
      </c>
      <c r="B3" s="251" t="s">
        <v>369</v>
      </c>
      <c r="C3" s="251" t="s">
        <v>370</v>
      </c>
      <c r="D3" s="251" t="s">
        <v>371</v>
      </c>
      <c r="E3" s="251" t="s">
        <v>372</v>
      </c>
      <c r="F3" s="251" t="s">
        <v>373</v>
      </c>
      <c r="G3" s="251" t="s">
        <v>374</v>
      </c>
      <c r="H3" s="251" t="s">
        <v>375</v>
      </c>
      <c r="I3" s="251" t="s">
        <v>369</v>
      </c>
      <c r="J3" s="251" t="s">
        <v>370</v>
      </c>
      <c r="K3" s="251" t="s">
        <v>371</v>
      </c>
      <c r="L3" s="251" t="s">
        <v>372</v>
      </c>
      <c r="M3" s="251" t="s">
        <v>373</v>
      </c>
      <c r="N3" s="251" t="s">
        <v>374</v>
      </c>
      <c r="O3" s="251" t="s">
        <v>375</v>
      </c>
      <c r="P3" s="250"/>
      <c r="Q3" s="250"/>
      <c r="R3" s="250"/>
      <c r="S3" s="250"/>
      <c r="T3" s="250"/>
    </row>
    <row customHeight="true" ht="14.814814814814813" r="4">
      <c r="A4" s="251" t="s">
        <v>376</v>
      </c>
      <c r="B4" s="251">
        <v>1</v>
      </c>
      <c r="C4" s="251">
        <v>2</v>
      </c>
      <c r="D4" s="251">
        <v>2</v>
      </c>
      <c r="E4" s="251">
        <v>3</v>
      </c>
      <c r="F4" s="251">
        <v>3</v>
      </c>
      <c r="G4" s="251">
        <v>4</v>
      </c>
      <c r="H4" s="251">
        <v>6</v>
      </c>
      <c r="I4" s="251"/>
      <c r="J4" s="251"/>
      <c r="K4" s="251"/>
      <c r="L4" s="251"/>
      <c r="M4" s="251"/>
      <c r="N4" s="251"/>
      <c r="O4" s="251"/>
      <c r="P4" s="250"/>
      <c r="Q4" s="250"/>
      <c r="R4" s="250"/>
      <c r="S4" s="250"/>
      <c r="T4" s="250"/>
    </row>
    <row customHeight="true" ht="14.814814814814813" r="5">
      <c r="A5" s="251" t="s">
        <v>377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0"/>
      <c r="Q5" s="250"/>
      <c r="R5" s="250"/>
      <c r="S5" s="250"/>
      <c r="T5" s="250"/>
    </row>
    <row customHeight="true" ht="14.814814814814813" r="6">
      <c r="A6" s="251" t="s">
        <v>378</v>
      </c>
      <c r="B6" s="254">
        <v>0.15</v>
      </c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0"/>
      <c r="Q6" s="250"/>
      <c r="R6" s="250"/>
      <c r="S6" s="250"/>
      <c r="T6" s="250"/>
    </row>
    <row customHeight="true" ht="14.814814814814813" r="7">
      <c r="A7" s="251" t="s">
        <v>379</v>
      </c>
      <c r="B7" s="255">
        <v>0.12</v>
      </c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0"/>
      <c r="Q7" s="250"/>
      <c r="R7" s="250"/>
      <c r="S7" s="250"/>
      <c r="T7" s="250"/>
    </row>
    <row customHeight="true" ht="14.814814814814813" r="8">
      <c r="A8" s="251" t="s">
        <v>380</v>
      </c>
      <c r="B8" s="256">
        <v>0.12</v>
      </c>
      <c r="C8" s="256">
        <v>0.13</v>
      </c>
      <c r="D8" s="256">
        <v>0.15</v>
      </c>
      <c r="E8" s="256">
        <v>0.15</v>
      </c>
      <c r="F8" s="256">
        <v>0.16</v>
      </c>
      <c r="G8" s="256">
        <v>0.16</v>
      </c>
      <c r="H8" s="256">
        <v>0.18</v>
      </c>
      <c r="I8" s="256"/>
      <c r="J8" s="256"/>
      <c r="K8" s="256"/>
      <c r="L8" s="256"/>
      <c r="M8" s="256"/>
      <c r="N8" s="256"/>
      <c r="O8" s="256"/>
      <c r="P8" s="250"/>
      <c r="Q8" s="250"/>
      <c r="R8" s="250"/>
      <c r="S8" s="250"/>
      <c r="T8" s="250"/>
    </row>
    <row customHeight="true" ht="14.814814814814813" r="9">
      <c r="A9" s="251" t="s">
        <v>381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0"/>
      <c r="Q9" s="250"/>
      <c r="R9" s="250"/>
      <c r="S9" s="250"/>
      <c r="T9" s="250"/>
    </row>
    <row customHeight="true" ht="14.814814814814813" r="10">
      <c r="A10" s="251" t="s">
        <v>382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0"/>
      <c r="Q10" s="250"/>
      <c r="R10" s="250"/>
      <c r="S10" s="250"/>
      <c r="T10" s="250"/>
    </row>
    <row customHeight="true" ht="14.814814814814813" r="11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0"/>
      <c r="Q11" s="250"/>
      <c r="R11" s="250"/>
      <c r="S11" s="250"/>
      <c r="T11" s="250"/>
    </row>
    <row customHeight="true" ht="14.814814814814813" r="12">
      <c r="A12" s="250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</row>
    <row customHeight="true" ht="14.814814814814813" r="13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</row>
    <row customHeight="true" ht="14.814814814814813" r="14">
      <c r="A14" s="250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</row>
    <row customHeight="true" ht="14.814814814814813" r="15">
      <c r="A15" s="250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</row>
    <row customHeight="true" ht="14.814814814814813" r="16">
      <c r="A16" s="250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</row>
    <row customHeight="true" ht="14.814814814814813" r="17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</row>
    <row customHeight="true" ht="14.814814814814813" r="18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</row>
    <row customHeight="true" ht="14.814814814814813" r="19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</row>
    <row customHeight="true" ht="14.814814814814813" r="20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</row>
  </sheetData>
  <mergeCells>
    <mergeCell ref="A1:O1"/>
    <mergeCell ref="B6:O6"/>
    <mergeCell ref="B7:O7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4.733333333333333"/>
    <col collapsed="false" customWidth="true" hidden="false" max="6" min="6" style="0" width="14.733333333333333"/>
    <col collapsed="false" customWidth="true" hidden="false" max="10" min="10" style="0" width="14.733333333333333"/>
    <col collapsed="false" customWidth="true" hidden="false" max="14" min="14" style="0" width="14.733333333333333"/>
    <col collapsed="false" customWidth="true" hidden="false" max="18" min="18" style="0" width="14.733333333333333"/>
    <col collapsed="false" customWidth="true" hidden="false" max="3" min="3" style="0" width="14.733333333333333"/>
    <col collapsed="false" customWidth="true" hidden="false" max="7" min="7" style="0" width="14.733333333333333"/>
    <col collapsed="false" customWidth="true" hidden="false" max="11" min="11" style="0" width="14.733333333333333"/>
    <col collapsed="false" customWidth="true" hidden="false" max="15" min="15" style="0" width="14.733333333333333"/>
    <col collapsed="false" customWidth="true" hidden="false" max="19" min="19" style="0" width="14.733333333333333"/>
    <col collapsed="false" customWidth="true" hidden="false" max="4" min="4" style="0" width="14.733333333333333"/>
    <col collapsed="false" customWidth="true" hidden="false" max="8" min="8" style="0" width="14.733333333333333"/>
    <col collapsed="false" customWidth="true" hidden="false" max="12" min="12" style="0" width="14.733333333333333"/>
    <col collapsed="false" customWidth="true" hidden="false" max="16" min="16" style="0" width="14.733333333333333"/>
    <col collapsed="false" customWidth="true" hidden="false" max="20" min="20" style="0" width="14.733333333333333"/>
    <col collapsed="false" customWidth="true" hidden="false" max="1" min="1" style="0" width="29.4"/>
    <col collapsed="false" customWidth="true" hidden="false" max="5" min="5" style="0" width="14.733333333333333"/>
    <col collapsed="false" customWidth="true" hidden="false" max="9" min="9" style="0" width="14.733333333333333"/>
    <col collapsed="false" customWidth="true" hidden="false" max="13" min="13" style="0" width="14.733333333333333"/>
    <col collapsed="false" customWidth="true" hidden="false" max="17" min="17" style="0" width="14.733333333333333"/>
  </cols>
  <sheetData>
    <row customHeight="true" ht="14.814814814814813" r="1">
      <c r="A1" s="258" t="s">
        <v>383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9"/>
      <c r="Q1" s="259"/>
      <c r="R1" s="259"/>
      <c r="S1" s="259"/>
      <c r="T1" s="259"/>
    </row>
    <row customHeight="true" ht="14.814814814814813" r="2">
      <c r="A2" s="260" t="s">
        <v>384</v>
      </c>
      <c r="B2" s="261">
        <v>45625</v>
      </c>
      <c r="C2" s="261">
        <v>45626</v>
      </c>
      <c r="D2" s="261">
        <v>45627</v>
      </c>
      <c r="E2" s="261">
        <v>45628</v>
      </c>
      <c r="F2" s="261">
        <v>45629</v>
      </c>
      <c r="G2" s="261">
        <v>45630</v>
      </c>
      <c r="H2" s="261">
        <v>45631</v>
      </c>
      <c r="I2" s="261">
        <v>45632</v>
      </c>
      <c r="J2" s="261">
        <v>45633</v>
      </c>
      <c r="K2" s="261">
        <v>45634</v>
      </c>
      <c r="L2" s="261">
        <v>45635</v>
      </c>
      <c r="M2" s="261">
        <v>45636</v>
      </c>
      <c r="N2" s="261">
        <v>45637</v>
      </c>
      <c r="O2" s="261">
        <v>45638</v>
      </c>
      <c r="P2" s="259"/>
      <c r="Q2" s="259"/>
      <c r="R2" s="259"/>
      <c r="S2" s="259"/>
      <c r="T2" s="259"/>
    </row>
    <row customHeight="true" ht="14.814814814814813" r="3">
      <c r="A3" s="260" t="s">
        <v>385</v>
      </c>
      <c r="B3" s="260" t="s">
        <v>386</v>
      </c>
      <c r="C3" s="260" t="s">
        <v>387</v>
      </c>
      <c r="D3" s="260" t="s">
        <v>388</v>
      </c>
      <c r="E3" s="260" t="s">
        <v>389</v>
      </c>
      <c r="F3" s="260" t="s">
        <v>390</v>
      </c>
      <c r="G3" s="260" t="s">
        <v>391</v>
      </c>
      <c r="H3" s="260" t="s">
        <v>392</v>
      </c>
      <c r="I3" s="260" t="s">
        <v>386</v>
      </c>
      <c r="J3" s="260" t="s">
        <v>387</v>
      </c>
      <c r="K3" s="260" t="s">
        <v>388</v>
      </c>
      <c r="L3" s="260" t="s">
        <v>389</v>
      </c>
      <c r="M3" s="260" t="s">
        <v>390</v>
      </c>
      <c r="N3" s="260" t="s">
        <v>391</v>
      </c>
      <c r="O3" s="260" t="s">
        <v>392</v>
      </c>
      <c r="P3" s="259"/>
      <c r="Q3" s="259"/>
      <c r="R3" s="259"/>
      <c r="S3" s="259"/>
      <c r="T3" s="259"/>
    </row>
    <row customHeight="true" ht="14.814814814814813" r="4">
      <c r="A4" s="260" t="s">
        <v>393</v>
      </c>
      <c r="B4" s="260">
        <v>1</v>
      </c>
      <c r="C4" s="260">
        <v>2</v>
      </c>
      <c r="D4" s="260">
        <v>2</v>
      </c>
      <c r="E4" s="260">
        <v>3</v>
      </c>
      <c r="F4" s="260">
        <v>3</v>
      </c>
      <c r="G4" s="260">
        <v>4</v>
      </c>
      <c r="H4" s="260">
        <v>6</v>
      </c>
      <c r="I4" s="260"/>
      <c r="J4" s="260"/>
      <c r="K4" s="260"/>
      <c r="L4" s="260"/>
      <c r="M4" s="260"/>
      <c r="N4" s="260"/>
      <c r="O4" s="260"/>
      <c r="P4" s="259"/>
      <c r="Q4" s="259"/>
      <c r="R4" s="259"/>
      <c r="S4" s="259"/>
      <c r="T4" s="259"/>
    </row>
    <row customHeight="true" ht="14.814814814814813" r="5">
      <c r="A5" s="260" t="s">
        <v>394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59"/>
      <c r="Q5" s="259"/>
      <c r="R5" s="259"/>
      <c r="S5" s="259"/>
      <c r="T5" s="259"/>
    </row>
    <row customHeight="true" ht="14.814814814814813" r="6">
      <c r="A6" s="260" t="s">
        <v>395</v>
      </c>
      <c r="B6" s="263">
        <v>0.15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59"/>
      <c r="Q6" s="259"/>
      <c r="R6" s="259"/>
      <c r="S6" s="259"/>
      <c r="T6" s="259"/>
    </row>
    <row customHeight="true" ht="14.814814814814813" r="7">
      <c r="A7" s="260" t="s">
        <v>396</v>
      </c>
      <c r="B7" s="264">
        <v>0.12</v>
      </c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59"/>
      <c r="Q7" s="259"/>
      <c r="R7" s="259"/>
      <c r="S7" s="259"/>
      <c r="T7" s="259"/>
    </row>
    <row customHeight="true" ht="14.814814814814813" r="8">
      <c r="A8" s="260" t="s">
        <v>397</v>
      </c>
      <c r="B8" s="265">
        <v>0.12</v>
      </c>
      <c r="C8" s="265">
        <v>0.13</v>
      </c>
      <c r="D8" s="265">
        <v>0.15</v>
      </c>
      <c r="E8" s="265">
        <v>0.15</v>
      </c>
      <c r="F8" s="265">
        <v>0.16</v>
      </c>
      <c r="G8" s="265">
        <v>0.16</v>
      </c>
      <c r="H8" s="265">
        <v>0.18</v>
      </c>
      <c r="I8" s="265"/>
      <c r="J8" s="265"/>
      <c r="K8" s="265"/>
      <c r="L8" s="265"/>
      <c r="M8" s="265"/>
      <c r="N8" s="265"/>
      <c r="O8" s="265"/>
      <c r="P8" s="259"/>
      <c r="Q8" s="259"/>
      <c r="R8" s="259"/>
      <c r="S8" s="259"/>
      <c r="T8" s="259"/>
    </row>
    <row customHeight="true" ht="14.814814814814813" r="9">
      <c r="A9" s="260" t="s">
        <v>398</v>
      </c>
      <c r="B9" s="260"/>
      <c r="C9" s="260"/>
      <c r="D9" s="260"/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59"/>
      <c r="Q9" s="259"/>
      <c r="R9" s="259"/>
      <c r="S9" s="259"/>
      <c r="T9" s="259"/>
    </row>
    <row customHeight="true" ht="14.814814814814813" r="10">
      <c r="A10" s="260" t="s">
        <v>399</v>
      </c>
      <c r="B10" s="260"/>
      <c r="C10" s="260"/>
      <c r="D10" s="260"/>
      <c r="E10" s="260"/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59"/>
      <c r="Q10" s="259"/>
      <c r="R10" s="259"/>
      <c r="S10" s="259"/>
      <c r="T10" s="259"/>
    </row>
    <row customHeight="true" ht="14.814814814814813" r="11">
      <c r="A11" s="266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59"/>
      <c r="Q11" s="259"/>
      <c r="R11" s="259"/>
      <c r="S11" s="259"/>
      <c r="T11" s="259"/>
    </row>
    <row customHeight="true" ht="14.814814814814813" r="12">
      <c r="A12" s="259"/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</row>
    <row customHeight="true" ht="14.814814814814813" r="13">
      <c r="A13" s="259"/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</row>
    <row customHeight="true" ht="14.814814814814813" r="14">
      <c r="A14" s="259"/>
      <c r="B14" s="259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</row>
    <row customHeight="true" ht="14.814814814814813" r="15">
      <c r="A15" s="259"/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</row>
    <row customHeight="true" ht="14.814814814814813" r="16">
      <c r="A16" s="259"/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</row>
    <row customHeight="true" ht="14.814814814814813" r="17">
      <c r="A17" s="259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</row>
    <row customHeight="true" ht="14.814814814814813" r="18">
      <c r="A18" s="259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</row>
    <row customHeight="true" ht="14.814814814814813" r="19">
      <c r="A19" s="259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</row>
    <row customHeight="true" ht="14.814814814814813" r="20">
      <c r="A20" s="259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</row>
  </sheetData>
  <mergeCells>
    <mergeCell ref="A1:O1"/>
    <mergeCell ref="B6:O6"/>
    <mergeCell ref="B7:O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